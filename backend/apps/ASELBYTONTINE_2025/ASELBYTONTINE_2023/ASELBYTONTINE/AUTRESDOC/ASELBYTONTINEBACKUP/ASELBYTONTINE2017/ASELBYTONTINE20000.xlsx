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240" yWindow="60" windowWidth="15600" windowHeight="7950" firstSheet="16" activeTab="14"/>
  </bookViews>
  <sheets>
    <sheet name="RECAPEMPRUNTREMB" sheetId="18" r:id="rId1"/>
    <sheet name="LISTADHERENT" sheetId="15" r:id="rId2"/>
    <sheet name="TRAVAUXINVENTAIREBACKUP" sheetId="19" r:id="rId3"/>
    <sheet name="TRAVAUXINVENTAIRE" sheetId="17" r:id="rId4"/>
    <sheet name="FONDSDECAISSE" sheetId="16" r:id="rId5"/>
    <sheet name="TONT20000DEC2016" sheetId="20" r:id="rId6"/>
    <sheet name="TONT20000JANV2017" sheetId="23" r:id="rId7"/>
    <sheet name="MODEVERSEMENT" sheetId="22" r:id="rId8"/>
    <sheet name="TONT20000DEC2015" sheetId="14" r:id="rId9"/>
    <sheet name="TONT20000JANV" sheetId="1" r:id="rId10"/>
    <sheet name="TONT20000FEV" sheetId="4" r:id="rId11"/>
    <sheet name="TONT20000MARS" sheetId="5" r:id="rId12"/>
    <sheet name="TONT20000AVRIL" sheetId="7" r:id="rId13"/>
    <sheet name="TONT20000MAI" sheetId="8" r:id="rId14"/>
    <sheet name="TONT20000JUIN" sheetId="9" r:id="rId15"/>
    <sheet name="TONT20000JUIL" sheetId="10" r:id="rId16"/>
    <sheet name="TONT20000AOUT" sheetId="6" r:id="rId17"/>
    <sheet name="TONT20000SEPT" sheetId="3" r:id="rId18"/>
    <sheet name="TONT20000OCT" sheetId="12" r:id="rId19"/>
    <sheet name="TONT20000NOV" sheetId="11" r:id="rId20"/>
    <sheet name="RECAPTONT20000" sheetId="2" r:id="rId21"/>
  </sheets>
  <externalReferences>
    <externalReference r:id="rId22"/>
  </externalReferences>
  <definedNames>
    <definedName name="_xlnm._FilterDatabase" localSheetId="1" hidden="1">LISTADHERENT!$A$4:$H$51</definedName>
    <definedName name="_xlnm._FilterDatabase" localSheetId="0" hidden="1">RECAPEMPRUNTREMB!$A$4:$E$49</definedName>
    <definedName name="_xlnm._FilterDatabase" localSheetId="20" hidden="1">RECAPTONT20000!$A$4:$V$50</definedName>
    <definedName name="_xlnm._FilterDatabase" localSheetId="16" hidden="1">TONT20000AOUT!$A$4:$O$51</definedName>
    <definedName name="_xlnm._FilterDatabase" localSheetId="12" hidden="1">TONT20000AVRIL!$A$4:$O$51</definedName>
    <definedName name="_xlnm._FilterDatabase" localSheetId="8" hidden="1">TONT20000DEC2015!$A$4:$Q$49</definedName>
    <definedName name="_xlnm._FilterDatabase" localSheetId="5" hidden="1">TONT20000DEC2016!$A$4:$S$45</definedName>
    <definedName name="_xlnm._FilterDatabase" localSheetId="10" hidden="1">TONT20000FEV!$A$4:$O$51</definedName>
    <definedName name="_xlnm._FilterDatabase" localSheetId="9" hidden="1">TONT20000JANV!$A$4:$O$51</definedName>
    <definedName name="_xlnm._FilterDatabase" localSheetId="6" hidden="1">TONT20000JANV2017!$A$4:$S$48</definedName>
    <definedName name="_xlnm._FilterDatabase" localSheetId="15" hidden="1">TONT20000JUIL!$A$4:$O$51</definedName>
    <definedName name="_xlnm._FilterDatabase" localSheetId="14" hidden="1">TONT20000JUIN!$A$4:$O$51</definedName>
    <definedName name="_xlnm._FilterDatabase" localSheetId="13" hidden="1">TONT20000MAI!$A$4:$O$51</definedName>
    <definedName name="_xlnm._FilterDatabase" localSheetId="11" hidden="1">TONT20000MARS!$A$4:$O$51</definedName>
    <definedName name="_xlnm._FilterDatabase" localSheetId="19" hidden="1">TONT20000NOV!$A$4:$P$51</definedName>
    <definedName name="_xlnm._FilterDatabase" localSheetId="18" hidden="1">TONT20000OCT!$A$4:$O$51</definedName>
    <definedName name="_xlnm._FilterDatabase" localSheetId="17" hidden="1">TONT20000SEPT!$A$4:$O$51</definedName>
    <definedName name="_xlnm._FilterDatabase" localSheetId="3" hidden="1">TRAVAUXINVENTAIRE!$A$4:$AB$50</definedName>
    <definedName name="_xlnm._FilterDatabase" localSheetId="2" hidden="1">TRAVAUXINVENTAIREBACKUP!$A$4:$AB$50</definedName>
    <definedName name="BANQUE" localSheetId="6">#REF!</definedName>
    <definedName name="BANQUE">#REF!</definedName>
    <definedName name="_xlnm.Print_Titles" localSheetId="1">LISTADHERENT!$1:$4</definedName>
    <definedName name="MODEPAID">[1]Feuil2!$A$1:$A$3</definedName>
    <definedName name="MODEVERSEMENT" localSheetId="6">#REF!</definedName>
    <definedName name="MODEVERSEMENT">#REF!</definedName>
    <definedName name="MODEVERSEMENTS">MODEVERSEMENT!$A$1:$A$3</definedName>
    <definedName name="MODPAID" localSheetId="6">TONT20000JANV2017!$J$5</definedName>
    <definedName name="MODPAID">TONT20000DEC2016!$J$5</definedName>
  </definedNames>
  <calcPr calcId="152511"/>
</workbook>
</file>

<file path=xl/calcChain.xml><?xml version="1.0" encoding="utf-8"?>
<calcChain xmlns="http://schemas.openxmlformats.org/spreadsheetml/2006/main">
  <c r="G61" i="23" l="1"/>
  <c r="G64" i="23"/>
  <c r="G60" i="23"/>
  <c r="G59" i="23"/>
  <c r="G57" i="23"/>
  <c r="G56" i="23"/>
  <c r="U52" i="23" l="1"/>
  <c r="V52" i="23"/>
  <c r="K15" i="23"/>
  <c r="T52" i="23"/>
  <c r="S52" i="23"/>
  <c r="Q52" i="23"/>
  <c r="P52" i="23"/>
  <c r="O52" i="23"/>
  <c r="N52" i="23"/>
  <c r="M52" i="23"/>
  <c r="L52" i="23"/>
  <c r="G52" i="23"/>
  <c r="D52" i="23"/>
  <c r="I48" i="23"/>
  <c r="H48" i="23"/>
  <c r="K48" i="23" s="1"/>
  <c r="F48" i="23"/>
  <c r="C48" i="23"/>
  <c r="B48" i="23"/>
  <c r="I47" i="23"/>
  <c r="H47" i="23"/>
  <c r="K47" i="23" s="1"/>
  <c r="F47" i="23"/>
  <c r="C47" i="23"/>
  <c r="B47" i="23"/>
  <c r="I46" i="23"/>
  <c r="H46" i="23"/>
  <c r="K46" i="23" s="1"/>
  <c r="F46" i="23"/>
  <c r="C46" i="23"/>
  <c r="B46" i="23"/>
  <c r="I45" i="23"/>
  <c r="H45" i="23"/>
  <c r="K45" i="23" s="1"/>
  <c r="F45" i="23"/>
  <c r="C45" i="23"/>
  <c r="B45" i="23"/>
  <c r="I44" i="23"/>
  <c r="H44" i="23"/>
  <c r="K44" i="23" s="1"/>
  <c r="F44" i="23"/>
  <c r="C44" i="23"/>
  <c r="B44" i="23"/>
  <c r="I43" i="23"/>
  <c r="H43" i="23"/>
  <c r="K43" i="23" s="1"/>
  <c r="F43" i="23"/>
  <c r="C43" i="23"/>
  <c r="B43" i="23"/>
  <c r="I42" i="23"/>
  <c r="H42" i="23"/>
  <c r="K42" i="23" s="1"/>
  <c r="F42" i="23"/>
  <c r="C42" i="23"/>
  <c r="B42" i="23"/>
  <c r="I41" i="23"/>
  <c r="H41" i="23"/>
  <c r="K41" i="23" s="1"/>
  <c r="F41" i="23"/>
  <c r="C41" i="23"/>
  <c r="B41" i="23"/>
  <c r="I40" i="23"/>
  <c r="H40" i="23"/>
  <c r="K40" i="23" s="1"/>
  <c r="F40" i="23"/>
  <c r="C40" i="23"/>
  <c r="B40" i="23"/>
  <c r="I39" i="23"/>
  <c r="H39" i="23"/>
  <c r="K39" i="23" s="1"/>
  <c r="F39" i="23"/>
  <c r="C39" i="23"/>
  <c r="B39" i="23"/>
  <c r="I38" i="23"/>
  <c r="H38" i="23"/>
  <c r="K38" i="23" s="1"/>
  <c r="F38" i="23"/>
  <c r="C38" i="23"/>
  <c r="B38" i="23"/>
  <c r="I37" i="23"/>
  <c r="H37" i="23"/>
  <c r="K37" i="23" s="1"/>
  <c r="F37" i="23"/>
  <c r="C37" i="23"/>
  <c r="B37" i="23"/>
  <c r="I36" i="23"/>
  <c r="H36" i="23"/>
  <c r="K36" i="23" s="1"/>
  <c r="F36" i="23"/>
  <c r="C36" i="23"/>
  <c r="B36" i="23"/>
  <c r="I35" i="23"/>
  <c r="H35" i="23"/>
  <c r="K35" i="23" s="1"/>
  <c r="F35" i="23"/>
  <c r="C35" i="23"/>
  <c r="B35" i="23"/>
  <c r="I34" i="23"/>
  <c r="H34" i="23"/>
  <c r="K34" i="23" s="1"/>
  <c r="F34" i="23"/>
  <c r="C34" i="23"/>
  <c r="B34" i="23"/>
  <c r="I33" i="23"/>
  <c r="H33" i="23"/>
  <c r="K33" i="23" s="1"/>
  <c r="F33" i="23"/>
  <c r="C33" i="23"/>
  <c r="B33" i="23"/>
  <c r="I32" i="23"/>
  <c r="H32" i="23"/>
  <c r="K32" i="23" s="1"/>
  <c r="F32" i="23"/>
  <c r="C32" i="23"/>
  <c r="B32" i="23"/>
  <c r="I31" i="23"/>
  <c r="H31" i="23"/>
  <c r="K31" i="23" s="1"/>
  <c r="F31" i="23"/>
  <c r="C31" i="23"/>
  <c r="B31" i="23"/>
  <c r="I30" i="23"/>
  <c r="H30" i="23"/>
  <c r="K30" i="23" s="1"/>
  <c r="F30" i="23"/>
  <c r="C30" i="23"/>
  <c r="B30" i="23"/>
  <c r="I29" i="23"/>
  <c r="H29" i="23"/>
  <c r="K29" i="23" s="1"/>
  <c r="F29" i="23"/>
  <c r="C29" i="23"/>
  <c r="B29" i="23"/>
  <c r="I28" i="23"/>
  <c r="H28" i="23"/>
  <c r="K28" i="23" s="1"/>
  <c r="F28" i="23"/>
  <c r="C28" i="23"/>
  <c r="B28" i="23"/>
  <c r="I27" i="23"/>
  <c r="H27" i="23"/>
  <c r="K27" i="23" s="1"/>
  <c r="F27" i="23"/>
  <c r="C27" i="23"/>
  <c r="B27" i="23"/>
  <c r="I26" i="23"/>
  <c r="H26" i="23"/>
  <c r="K26" i="23" s="1"/>
  <c r="F26" i="23"/>
  <c r="C26" i="23"/>
  <c r="B26" i="23"/>
  <c r="I25" i="23"/>
  <c r="H25" i="23"/>
  <c r="K25" i="23" s="1"/>
  <c r="F25" i="23"/>
  <c r="C25" i="23"/>
  <c r="B25" i="23"/>
  <c r="I24" i="23"/>
  <c r="H24" i="23"/>
  <c r="K24" i="23" s="1"/>
  <c r="F24" i="23"/>
  <c r="C24" i="23"/>
  <c r="B24" i="23"/>
  <c r="I23" i="23"/>
  <c r="H23" i="23"/>
  <c r="K23" i="23" s="1"/>
  <c r="F23" i="23"/>
  <c r="C23" i="23"/>
  <c r="B23" i="23"/>
  <c r="I22" i="23"/>
  <c r="H22" i="23"/>
  <c r="K22" i="23" s="1"/>
  <c r="F22" i="23"/>
  <c r="C22" i="23"/>
  <c r="B22" i="23"/>
  <c r="I21" i="23"/>
  <c r="H21" i="23"/>
  <c r="K21" i="23" s="1"/>
  <c r="F21" i="23"/>
  <c r="C21" i="23"/>
  <c r="B21" i="23"/>
  <c r="I20" i="23"/>
  <c r="H20" i="23"/>
  <c r="K20" i="23" s="1"/>
  <c r="F20" i="23"/>
  <c r="C20" i="23"/>
  <c r="B20" i="23"/>
  <c r="I19" i="23"/>
  <c r="H19" i="23"/>
  <c r="K19" i="23" s="1"/>
  <c r="F19" i="23"/>
  <c r="C19" i="23"/>
  <c r="B19" i="23"/>
  <c r="I18" i="23"/>
  <c r="H18" i="23"/>
  <c r="K18" i="23" s="1"/>
  <c r="F18" i="23"/>
  <c r="C18" i="23"/>
  <c r="B18" i="23"/>
  <c r="I17" i="23"/>
  <c r="H17" i="23"/>
  <c r="K17" i="23" s="1"/>
  <c r="F17" i="23"/>
  <c r="C17" i="23"/>
  <c r="B17" i="23"/>
  <c r="I16" i="23"/>
  <c r="H16" i="23"/>
  <c r="K16" i="23" s="1"/>
  <c r="F16" i="23"/>
  <c r="C16" i="23"/>
  <c r="B16" i="23"/>
  <c r="I15" i="23"/>
  <c r="F15" i="23"/>
  <c r="C15" i="23"/>
  <c r="B15" i="23"/>
  <c r="I14" i="23"/>
  <c r="H14" i="23"/>
  <c r="K14" i="23" s="1"/>
  <c r="F14" i="23"/>
  <c r="C14" i="23"/>
  <c r="B14" i="23"/>
  <c r="I13" i="23"/>
  <c r="H13" i="23"/>
  <c r="K13" i="23" s="1"/>
  <c r="F13" i="23"/>
  <c r="C13" i="23"/>
  <c r="B13" i="23"/>
  <c r="I12" i="23"/>
  <c r="H12" i="23"/>
  <c r="K12" i="23" s="1"/>
  <c r="F12" i="23"/>
  <c r="C12" i="23"/>
  <c r="B12" i="23"/>
  <c r="I11" i="23"/>
  <c r="H11" i="23"/>
  <c r="K11" i="23" s="1"/>
  <c r="F11" i="23"/>
  <c r="C11" i="23"/>
  <c r="B11" i="23"/>
  <c r="I10" i="23"/>
  <c r="H10" i="23"/>
  <c r="K10" i="23" s="1"/>
  <c r="F10" i="23"/>
  <c r="C10" i="23"/>
  <c r="B10" i="23"/>
  <c r="I9" i="23"/>
  <c r="H9" i="23"/>
  <c r="K9" i="23" s="1"/>
  <c r="F9" i="23"/>
  <c r="C9" i="23"/>
  <c r="B9" i="23"/>
  <c r="I8" i="23"/>
  <c r="H8" i="23"/>
  <c r="K8" i="23" s="1"/>
  <c r="F8" i="23"/>
  <c r="C8" i="23"/>
  <c r="B8" i="23"/>
  <c r="I7" i="23"/>
  <c r="H7" i="23"/>
  <c r="K7" i="23" s="1"/>
  <c r="F7" i="23"/>
  <c r="C7" i="23"/>
  <c r="B7" i="23"/>
  <c r="R6" i="23"/>
  <c r="R52" i="23" s="1"/>
  <c r="I6" i="23"/>
  <c r="H6" i="23"/>
  <c r="K6" i="23" s="1"/>
  <c r="F6" i="23"/>
  <c r="C6" i="23"/>
  <c r="B6" i="23"/>
  <c r="F5" i="23"/>
  <c r="C5" i="23"/>
  <c r="B5" i="23"/>
  <c r="C52" i="23" l="1"/>
  <c r="I52" i="23"/>
  <c r="F52" i="23"/>
  <c r="E47" i="23" s="1"/>
  <c r="K52" i="23"/>
  <c r="H52" i="23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7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6" i="20"/>
  <c r="E11" i="23" l="1"/>
  <c r="E42" i="23"/>
  <c r="E23" i="23"/>
  <c r="E14" i="23"/>
  <c r="E20" i="23"/>
  <c r="E5" i="23"/>
  <c r="E25" i="23"/>
  <c r="E32" i="23"/>
  <c r="E26" i="23"/>
  <c r="E37" i="23"/>
  <c r="E35" i="23"/>
  <c r="E6" i="23"/>
  <c r="E41" i="23"/>
  <c r="E36" i="23"/>
  <c r="E34" i="23"/>
  <c r="E45" i="23"/>
  <c r="E39" i="23"/>
  <c r="E30" i="23"/>
  <c r="E16" i="23"/>
  <c r="E48" i="23"/>
  <c r="E10" i="23"/>
  <c r="E19" i="23"/>
  <c r="E7" i="23"/>
  <c r="E17" i="23"/>
  <c r="E9" i="23"/>
  <c r="E24" i="23"/>
  <c r="E40" i="23"/>
  <c r="E18" i="23"/>
  <c r="E38" i="23"/>
  <c r="E29" i="23"/>
  <c r="E8" i="23"/>
  <c r="E27" i="23"/>
  <c r="E43" i="23"/>
  <c r="E15" i="23"/>
  <c r="E21" i="23"/>
  <c r="E13" i="23"/>
  <c r="E28" i="23"/>
  <c r="E44" i="23"/>
  <c r="E22" i="23"/>
  <c r="E46" i="23"/>
  <c r="E33" i="23"/>
  <c r="E12" i="23"/>
  <c r="E31" i="23"/>
  <c r="I52" i="20"/>
  <c r="E52" i="23" l="1"/>
  <c r="H46" i="20"/>
  <c r="H47" i="20"/>
  <c r="H48" i="20"/>
  <c r="H7" i="20"/>
  <c r="H8" i="20"/>
  <c r="H9" i="20"/>
  <c r="H10" i="20"/>
  <c r="H11" i="20"/>
  <c r="H12" i="20"/>
  <c r="H13" i="20"/>
  <c r="H14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6" i="20"/>
  <c r="K6" i="20" s="1"/>
  <c r="M52" i="20"/>
  <c r="R6" i="20"/>
  <c r="R52" i="20" s="1"/>
  <c r="T52" i="20"/>
  <c r="S52" i="20"/>
  <c r="Q52" i="20"/>
  <c r="P52" i="20"/>
  <c r="O52" i="20"/>
  <c r="N52" i="20"/>
  <c r="L52" i="20"/>
  <c r="G52" i="20"/>
  <c r="D52" i="20"/>
  <c r="F48" i="20"/>
  <c r="C48" i="20"/>
  <c r="B48" i="20"/>
  <c r="F47" i="20"/>
  <c r="C47" i="20"/>
  <c r="B47" i="20"/>
  <c r="F46" i="20"/>
  <c r="C46" i="20"/>
  <c r="B46" i="20"/>
  <c r="F45" i="20"/>
  <c r="C45" i="20"/>
  <c r="B45" i="20"/>
  <c r="F44" i="20"/>
  <c r="C44" i="20"/>
  <c r="B44" i="20"/>
  <c r="F43" i="20"/>
  <c r="C43" i="20"/>
  <c r="B43" i="20"/>
  <c r="F42" i="20"/>
  <c r="C42" i="20"/>
  <c r="B42" i="20"/>
  <c r="F41" i="20"/>
  <c r="C41" i="20"/>
  <c r="B41" i="20"/>
  <c r="F40" i="20"/>
  <c r="C40" i="20"/>
  <c r="B40" i="20"/>
  <c r="F39" i="20"/>
  <c r="C39" i="20"/>
  <c r="B39" i="20"/>
  <c r="F38" i="20"/>
  <c r="C38" i="20"/>
  <c r="B38" i="20"/>
  <c r="F37" i="20"/>
  <c r="C37" i="20"/>
  <c r="B37" i="20"/>
  <c r="F36" i="20"/>
  <c r="C36" i="20"/>
  <c r="B36" i="20"/>
  <c r="F35" i="20"/>
  <c r="C35" i="20"/>
  <c r="B35" i="20"/>
  <c r="F34" i="20"/>
  <c r="C34" i="20"/>
  <c r="B34" i="20"/>
  <c r="F33" i="20"/>
  <c r="C33" i="20"/>
  <c r="B33" i="20"/>
  <c r="F32" i="20"/>
  <c r="C32" i="20"/>
  <c r="B32" i="20"/>
  <c r="F31" i="20"/>
  <c r="C31" i="20"/>
  <c r="B31" i="20"/>
  <c r="F30" i="20"/>
  <c r="C30" i="20"/>
  <c r="B30" i="20"/>
  <c r="F29" i="20"/>
  <c r="C29" i="20"/>
  <c r="B29" i="20"/>
  <c r="F28" i="20"/>
  <c r="C28" i="20"/>
  <c r="B28" i="20"/>
  <c r="F27" i="20"/>
  <c r="C27" i="20"/>
  <c r="B27" i="20"/>
  <c r="F26" i="20"/>
  <c r="C26" i="20"/>
  <c r="B26" i="20"/>
  <c r="F25" i="20"/>
  <c r="C25" i="20"/>
  <c r="B25" i="20"/>
  <c r="F24" i="20"/>
  <c r="C24" i="20"/>
  <c r="B24" i="20"/>
  <c r="F23" i="20"/>
  <c r="C23" i="20"/>
  <c r="B23" i="20"/>
  <c r="F22" i="20"/>
  <c r="C22" i="20"/>
  <c r="B22" i="20"/>
  <c r="F21" i="20"/>
  <c r="C21" i="20"/>
  <c r="B21" i="20"/>
  <c r="F20" i="20"/>
  <c r="C20" i="20"/>
  <c r="B20" i="20"/>
  <c r="F19" i="20"/>
  <c r="C19" i="20"/>
  <c r="B19" i="20"/>
  <c r="F18" i="20"/>
  <c r="C18" i="20"/>
  <c r="B18" i="20"/>
  <c r="F17" i="20"/>
  <c r="C17" i="20"/>
  <c r="B17" i="20"/>
  <c r="F16" i="20"/>
  <c r="C16" i="20"/>
  <c r="B16" i="20"/>
  <c r="F15" i="20"/>
  <c r="C15" i="20"/>
  <c r="B15" i="20"/>
  <c r="F14" i="20"/>
  <c r="C14" i="20"/>
  <c r="B14" i="20"/>
  <c r="F13" i="20"/>
  <c r="C13" i="20"/>
  <c r="B13" i="20"/>
  <c r="F12" i="20"/>
  <c r="C12" i="20"/>
  <c r="B12" i="20"/>
  <c r="F11" i="20"/>
  <c r="C11" i="20"/>
  <c r="B11" i="20"/>
  <c r="F10" i="20"/>
  <c r="C10" i="20"/>
  <c r="B10" i="20"/>
  <c r="F9" i="20"/>
  <c r="C9" i="20"/>
  <c r="B9" i="20"/>
  <c r="F8" i="20"/>
  <c r="C8" i="20"/>
  <c r="B8" i="20"/>
  <c r="F7" i="20"/>
  <c r="C7" i="20"/>
  <c r="B7" i="20"/>
  <c r="F6" i="20"/>
  <c r="C6" i="20"/>
  <c r="B6" i="20"/>
  <c r="F5" i="20"/>
  <c r="C5" i="20"/>
  <c r="B5" i="20"/>
  <c r="K52" i="20" l="1"/>
  <c r="H52" i="20"/>
  <c r="F52" i="20"/>
  <c r="E41" i="20" s="1"/>
  <c r="C52" i="20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36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6" i="17"/>
  <c r="F7" i="17"/>
  <c r="F8" i="17"/>
  <c r="F9" i="17"/>
  <c r="F10" i="17"/>
  <c r="F5" i="17"/>
  <c r="E8" i="20" l="1"/>
  <c r="E15" i="20"/>
  <c r="E23" i="20"/>
  <c r="E30" i="20"/>
  <c r="E36" i="20"/>
  <c r="E44" i="20"/>
  <c r="E9" i="20"/>
  <c r="E16" i="20"/>
  <c r="E24" i="20"/>
  <c r="E31" i="20"/>
  <c r="E37" i="20"/>
  <c r="E45" i="20"/>
  <c r="E10" i="20"/>
  <c r="E17" i="20"/>
  <c r="E25" i="20"/>
  <c r="E32" i="20"/>
  <c r="E38" i="20"/>
  <c r="E46" i="20"/>
  <c r="E18" i="20"/>
  <c r="E26" i="20"/>
  <c r="E39" i="20"/>
  <c r="E47" i="20"/>
  <c r="E6" i="20"/>
  <c r="E13" i="20"/>
  <c r="E21" i="20"/>
  <c r="E28" i="20"/>
  <c r="E34" i="20"/>
  <c r="E42" i="20"/>
  <c r="E7" i="20"/>
  <c r="E14" i="20"/>
  <c r="E22" i="20"/>
  <c r="E29" i="20"/>
  <c r="E35" i="20"/>
  <c r="E43" i="20"/>
  <c r="E5" i="20"/>
  <c r="E11" i="20"/>
  <c r="E19" i="20"/>
  <c r="E33" i="20"/>
  <c r="E40" i="20"/>
  <c r="E48" i="20"/>
  <c r="E12" i="20"/>
  <c r="E20" i="20"/>
  <c r="E27" i="20"/>
  <c r="H6" i="17"/>
  <c r="E52" i="20" l="1"/>
  <c r="B37" i="17"/>
  <c r="B35" i="17"/>
  <c r="B11" i="17"/>
  <c r="M19" i="17" l="1"/>
  <c r="F64" i="19" l="1"/>
  <c r="L54" i="19"/>
  <c r="F66" i="19" s="1"/>
  <c r="K54" i="19"/>
  <c r="D54" i="19"/>
  <c r="E58" i="19" s="1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I52" i="19" s="1"/>
  <c r="C52" i="19"/>
  <c r="E52" i="19" s="1"/>
  <c r="B52" i="19"/>
  <c r="AA51" i="19"/>
  <c r="Z51" i="19"/>
  <c r="Y51" i="19"/>
  <c r="X51" i="19"/>
  <c r="W51" i="19"/>
  <c r="V51" i="19"/>
  <c r="U51" i="19"/>
  <c r="T51" i="19"/>
  <c r="S51" i="19"/>
  <c r="R51" i="19"/>
  <c r="Q51" i="19"/>
  <c r="N51" i="19" s="1"/>
  <c r="I51" i="19" s="1"/>
  <c r="P51" i="19"/>
  <c r="O51" i="19"/>
  <c r="C51" i="19"/>
  <c r="E51" i="19" s="1"/>
  <c r="B51" i="19"/>
  <c r="AA50" i="19"/>
  <c r="Z50" i="19"/>
  <c r="Y50" i="19"/>
  <c r="X50" i="19"/>
  <c r="W50" i="19"/>
  <c r="V50" i="19"/>
  <c r="U50" i="19"/>
  <c r="T50" i="19"/>
  <c r="S50" i="19"/>
  <c r="R50" i="19"/>
  <c r="Q50" i="19"/>
  <c r="N50" i="19" s="1"/>
  <c r="I50" i="19" s="1"/>
  <c r="P50" i="19"/>
  <c r="O50" i="19"/>
  <c r="C50" i="19"/>
  <c r="E50" i="19" s="1"/>
  <c r="B50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C49" i="19"/>
  <c r="B49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I48" i="19" s="1"/>
  <c r="C48" i="19"/>
  <c r="E48" i="19" s="1"/>
  <c r="B48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E47" i="19" s="1"/>
  <c r="O47" i="19"/>
  <c r="B47" i="19"/>
  <c r="AA46" i="19"/>
  <c r="Z46" i="19"/>
  <c r="Y46" i="19"/>
  <c r="X46" i="19"/>
  <c r="W46" i="19"/>
  <c r="V46" i="19"/>
  <c r="U46" i="19"/>
  <c r="T46" i="19"/>
  <c r="S46" i="19"/>
  <c r="R46" i="19"/>
  <c r="Q46" i="19"/>
  <c r="N46" i="19" s="1"/>
  <c r="P46" i="19"/>
  <c r="O46" i="19"/>
  <c r="I46" i="19"/>
  <c r="E46" i="19"/>
  <c r="C46" i="19"/>
  <c r="B46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I45" i="19" s="1"/>
  <c r="M45" i="19"/>
  <c r="E45" i="19"/>
  <c r="C45" i="19"/>
  <c r="B45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I44" i="19" s="1"/>
  <c r="E44" i="19"/>
  <c r="B44" i="19"/>
  <c r="AA43" i="19"/>
  <c r="Z43" i="19"/>
  <c r="Y43" i="19"/>
  <c r="X43" i="19"/>
  <c r="W43" i="19"/>
  <c r="V43" i="19"/>
  <c r="U43" i="19"/>
  <c r="T43" i="19"/>
  <c r="S43" i="19"/>
  <c r="N43" i="19" s="1"/>
  <c r="I43" i="19" s="1"/>
  <c r="R43" i="19"/>
  <c r="Q43" i="19"/>
  <c r="P43" i="19"/>
  <c r="O43" i="19"/>
  <c r="C43" i="19"/>
  <c r="E43" i="19" s="1"/>
  <c r="B43" i="19"/>
  <c r="AA42" i="19"/>
  <c r="Z42" i="19"/>
  <c r="Y42" i="19"/>
  <c r="X42" i="19"/>
  <c r="W42" i="19"/>
  <c r="V42" i="19"/>
  <c r="U42" i="19"/>
  <c r="T42" i="19"/>
  <c r="S42" i="19"/>
  <c r="R42" i="19"/>
  <c r="Q42" i="19"/>
  <c r="N42" i="19" s="1"/>
  <c r="I42" i="19" s="1"/>
  <c r="P42" i="19"/>
  <c r="O42" i="19"/>
  <c r="E42" i="19"/>
  <c r="C42" i="19"/>
  <c r="B42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I41" i="19" s="1"/>
  <c r="C41" i="19"/>
  <c r="E41" i="19" s="1"/>
  <c r="B41" i="19"/>
  <c r="AA40" i="19"/>
  <c r="Z40" i="19"/>
  <c r="Y40" i="19"/>
  <c r="X40" i="19"/>
  <c r="W40" i="19"/>
  <c r="V40" i="19"/>
  <c r="U40" i="19"/>
  <c r="T40" i="19"/>
  <c r="S40" i="19"/>
  <c r="R40" i="19"/>
  <c r="Q40" i="19"/>
  <c r="N40" i="19" s="1"/>
  <c r="P40" i="19"/>
  <c r="E40" i="19" s="1"/>
  <c r="O40" i="19"/>
  <c r="M40" i="19"/>
  <c r="B40" i="19"/>
  <c r="AA39" i="19"/>
  <c r="Z39" i="19"/>
  <c r="Y39" i="19"/>
  <c r="X39" i="19"/>
  <c r="W39" i="19"/>
  <c r="V39" i="19"/>
  <c r="U39" i="19"/>
  <c r="T39" i="19"/>
  <c r="S39" i="19"/>
  <c r="N39" i="19" s="1"/>
  <c r="I39" i="19" s="1"/>
  <c r="R39" i="19"/>
  <c r="Q39" i="19"/>
  <c r="P39" i="19"/>
  <c r="O39" i="19"/>
  <c r="E39" i="19"/>
  <c r="C39" i="19"/>
  <c r="B39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E38" i="19" s="1"/>
  <c r="O38" i="19"/>
  <c r="N38" i="19"/>
  <c r="I38" i="19" s="1"/>
  <c r="C38" i="19"/>
  <c r="B38" i="19"/>
  <c r="AA37" i="19"/>
  <c r="Z37" i="19"/>
  <c r="Y37" i="19"/>
  <c r="X37" i="19"/>
  <c r="W37" i="19"/>
  <c r="V37" i="19"/>
  <c r="U37" i="19"/>
  <c r="T37" i="19"/>
  <c r="S37" i="19"/>
  <c r="N37" i="19" s="1"/>
  <c r="I37" i="19" s="1"/>
  <c r="R37" i="19"/>
  <c r="Q37" i="19"/>
  <c r="P37" i="19"/>
  <c r="O37" i="19"/>
  <c r="E37" i="19"/>
  <c r="C37" i="19"/>
  <c r="B37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E36" i="19" s="1"/>
  <c r="O36" i="19"/>
  <c r="N36" i="19"/>
  <c r="I36" i="19"/>
  <c r="C36" i="19"/>
  <c r="B36" i="19"/>
  <c r="AA35" i="19"/>
  <c r="Z35" i="19"/>
  <c r="Y35" i="19"/>
  <c r="X35" i="19"/>
  <c r="W35" i="19"/>
  <c r="V35" i="19"/>
  <c r="U35" i="19"/>
  <c r="T35" i="19"/>
  <c r="S35" i="19"/>
  <c r="N35" i="19" s="1"/>
  <c r="I35" i="19" s="1"/>
  <c r="R35" i="19"/>
  <c r="Q35" i="19"/>
  <c r="P35" i="19"/>
  <c r="O35" i="19"/>
  <c r="E35" i="19"/>
  <c r="C35" i="19"/>
  <c r="B35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E34" i="19" s="1"/>
  <c r="O34" i="19"/>
  <c r="N34" i="19"/>
  <c r="I34" i="19" s="1"/>
  <c r="C34" i="19"/>
  <c r="B34" i="19"/>
  <c r="AA33" i="19"/>
  <c r="Z33" i="19"/>
  <c r="Y33" i="19"/>
  <c r="X33" i="19"/>
  <c r="W33" i="19"/>
  <c r="V33" i="19"/>
  <c r="U33" i="19"/>
  <c r="T33" i="19"/>
  <c r="S33" i="19"/>
  <c r="N33" i="19" s="1"/>
  <c r="I33" i="19" s="1"/>
  <c r="R33" i="19"/>
  <c r="Q33" i="19"/>
  <c r="P33" i="19"/>
  <c r="O33" i="19"/>
  <c r="M33" i="19"/>
  <c r="E33" i="19"/>
  <c r="B33" i="19"/>
  <c r="AA32" i="19"/>
  <c r="Z32" i="19"/>
  <c r="Y32" i="19"/>
  <c r="X32" i="19"/>
  <c r="W32" i="19"/>
  <c r="V32" i="19"/>
  <c r="U32" i="19"/>
  <c r="T32" i="19"/>
  <c r="S32" i="19"/>
  <c r="R32" i="19"/>
  <c r="Q32" i="19"/>
  <c r="N32" i="19" s="1"/>
  <c r="I32" i="19" s="1"/>
  <c r="P32" i="19"/>
  <c r="O32" i="19"/>
  <c r="E32" i="19"/>
  <c r="C32" i="19"/>
  <c r="B32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E31" i="19" s="1"/>
  <c r="O31" i="19"/>
  <c r="N31" i="19"/>
  <c r="I31" i="19" s="1"/>
  <c r="B31" i="19"/>
  <c r="AA30" i="19"/>
  <c r="Z30" i="19"/>
  <c r="Y30" i="19"/>
  <c r="X30" i="19"/>
  <c r="W30" i="19"/>
  <c r="V30" i="19"/>
  <c r="U30" i="19"/>
  <c r="T30" i="19"/>
  <c r="S30" i="19"/>
  <c r="R30" i="19"/>
  <c r="Q30" i="19"/>
  <c r="N30" i="19" s="1"/>
  <c r="P30" i="19"/>
  <c r="E30" i="19" s="1"/>
  <c r="O30" i="19"/>
  <c r="M30" i="19"/>
  <c r="I30" i="19" s="1"/>
  <c r="C30" i="19"/>
  <c r="B30" i="19"/>
  <c r="AA29" i="19"/>
  <c r="Z29" i="19"/>
  <c r="Y29" i="19"/>
  <c r="X29" i="19"/>
  <c r="W29" i="19"/>
  <c r="V29" i="19"/>
  <c r="U29" i="19"/>
  <c r="T29" i="19"/>
  <c r="S29" i="19"/>
  <c r="N29" i="19" s="1"/>
  <c r="I29" i="19" s="1"/>
  <c r="R29" i="19"/>
  <c r="Q29" i="19"/>
  <c r="P29" i="19"/>
  <c r="O29" i="19"/>
  <c r="E29" i="19"/>
  <c r="C29" i="19"/>
  <c r="B29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I28" i="19"/>
  <c r="C28" i="19"/>
  <c r="E28" i="19" s="1"/>
  <c r="B28" i="19"/>
  <c r="AA27" i="19"/>
  <c r="Z27" i="19"/>
  <c r="Y27" i="19"/>
  <c r="X27" i="19"/>
  <c r="W27" i="19"/>
  <c r="V27" i="19"/>
  <c r="U27" i="19"/>
  <c r="T27" i="19"/>
  <c r="S27" i="19"/>
  <c r="R27" i="19"/>
  <c r="Q27" i="19"/>
  <c r="N27" i="19" s="1"/>
  <c r="I27" i="19" s="1"/>
  <c r="P27" i="19"/>
  <c r="O27" i="19"/>
  <c r="C27" i="19"/>
  <c r="E27" i="19" s="1"/>
  <c r="B27" i="19"/>
  <c r="AA26" i="19"/>
  <c r="Z26" i="19"/>
  <c r="Y26" i="19"/>
  <c r="X26" i="19"/>
  <c r="W26" i="19"/>
  <c r="V26" i="19"/>
  <c r="U26" i="19"/>
  <c r="T26" i="19"/>
  <c r="S26" i="19"/>
  <c r="R26" i="19"/>
  <c r="Q26" i="19"/>
  <c r="N26" i="19" s="1"/>
  <c r="P26" i="19"/>
  <c r="O26" i="19"/>
  <c r="I26" i="19"/>
  <c r="E26" i="19"/>
  <c r="C26" i="19"/>
  <c r="B26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I25" i="19" s="1"/>
  <c r="C25" i="19"/>
  <c r="E25" i="19" s="1"/>
  <c r="B25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C24" i="19"/>
  <c r="E24" i="19" s="1"/>
  <c r="B24" i="19"/>
  <c r="AA23" i="19"/>
  <c r="Z23" i="19"/>
  <c r="Y23" i="19"/>
  <c r="X23" i="19"/>
  <c r="W23" i="19"/>
  <c r="V23" i="19"/>
  <c r="U23" i="19"/>
  <c r="T23" i="19"/>
  <c r="S23" i="19"/>
  <c r="R23" i="19"/>
  <c r="Q23" i="19"/>
  <c r="N23" i="19" s="1"/>
  <c r="I23" i="19" s="1"/>
  <c r="P23" i="19"/>
  <c r="O23" i="19"/>
  <c r="C23" i="19"/>
  <c r="E23" i="19" s="1"/>
  <c r="B23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E22" i="19"/>
  <c r="B22" i="19"/>
  <c r="AA21" i="19"/>
  <c r="Z21" i="19"/>
  <c r="Y21" i="19"/>
  <c r="X21" i="19"/>
  <c r="W21" i="19"/>
  <c r="V21" i="19"/>
  <c r="U21" i="19"/>
  <c r="T21" i="19"/>
  <c r="S21" i="19"/>
  <c r="R21" i="19"/>
  <c r="Q21" i="19"/>
  <c r="N21" i="19" s="1"/>
  <c r="I21" i="19" s="1"/>
  <c r="P21" i="19"/>
  <c r="O21" i="19"/>
  <c r="E21" i="19"/>
  <c r="C21" i="19"/>
  <c r="B21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N20" i="19"/>
  <c r="I20" i="19" s="1"/>
  <c r="C20" i="19"/>
  <c r="B20" i="19"/>
  <c r="AA19" i="19"/>
  <c r="Z19" i="19"/>
  <c r="Y19" i="19"/>
  <c r="X19" i="19"/>
  <c r="W19" i="19"/>
  <c r="V19" i="19"/>
  <c r="U19" i="19"/>
  <c r="T19" i="19"/>
  <c r="S19" i="19"/>
  <c r="R19" i="19"/>
  <c r="Q19" i="19"/>
  <c r="N19" i="19" s="1"/>
  <c r="P19" i="19"/>
  <c r="M19" i="19"/>
  <c r="C19" i="19"/>
  <c r="E19" i="19" s="1"/>
  <c r="B19" i="19"/>
  <c r="AA18" i="19"/>
  <c r="Z18" i="19"/>
  <c r="Y18" i="19"/>
  <c r="X18" i="19"/>
  <c r="W18" i="19"/>
  <c r="V18" i="19"/>
  <c r="U18" i="19"/>
  <c r="T18" i="19"/>
  <c r="S18" i="19"/>
  <c r="R18" i="19"/>
  <c r="Q18" i="19"/>
  <c r="N18" i="19" s="1"/>
  <c r="P18" i="19"/>
  <c r="O18" i="19"/>
  <c r="I18" i="19"/>
  <c r="C18" i="19"/>
  <c r="E18" i="19" s="1"/>
  <c r="B18" i="19"/>
  <c r="AA17" i="19"/>
  <c r="Z17" i="19"/>
  <c r="Y17" i="19"/>
  <c r="X17" i="19"/>
  <c r="W17" i="19"/>
  <c r="V17" i="19"/>
  <c r="U17" i="19"/>
  <c r="T17" i="19"/>
  <c r="S17" i="19"/>
  <c r="R17" i="19"/>
  <c r="Q17" i="19"/>
  <c r="N17" i="19" s="1"/>
  <c r="P17" i="19"/>
  <c r="O17" i="19"/>
  <c r="M17" i="19"/>
  <c r="E17" i="19"/>
  <c r="B17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C16" i="19"/>
  <c r="E16" i="19" s="1"/>
  <c r="B16" i="19"/>
  <c r="AA15" i="19"/>
  <c r="Z15" i="19"/>
  <c r="Y15" i="19"/>
  <c r="X15" i="19"/>
  <c r="W15" i="19"/>
  <c r="V15" i="19"/>
  <c r="U15" i="19"/>
  <c r="T15" i="19"/>
  <c r="S15" i="19"/>
  <c r="R15" i="19"/>
  <c r="Q15" i="19"/>
  <c r="N15" i="19" s="1"/>
  <c r="I15" i="19" s="1"/>
  <c r="P15" i="19"/>
  <c r="O15" i="19"/>
  <c r="C15" i="19"/>
  <c r="E15" i="19" s="1"/>
  <c r="B15" i="19"/>
  <c r="AA14" i="19"/>
  <c r="Z14" i="19"/>
  <c r="Y14" i="19"/>
  <c r="X14" i="19"/>
  <c r="W14" i="19"/>
  <c r="V14" i="19"/>
  <c r="U14" i="19"/>
  <c r="T14" i="19"/>
  <c r="S14" i="19"/>
  <c r="R14" i="19"/>
  <c r="Q14" i="19"/>
  <c r="N14" i="19" s="1"/>
  <c r="P14" i="19"/>
  <c r="O14" i="19"/>
  <c r="I14" i="19"/>
  <c r="E14" i="19"/>
  <c r="C14" i="19"/>
  <c r="B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I13" i="19" s="1"/>
  <c r="E13" i="19"/>
  <c r="B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I12" i="19" s="1"/>
  <c r="C12" i="19"/>
  <c r="E12" i="19" s="1"/>
  <c r="B12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I11" i="19"/>
  <c r="E11" i="19"/>
  <c r="C11" i="19"/>
  <c r="B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I10" i="19" s="1"/>
  <c r="C10" i="19"/>
  <c r="E10" i="19" s="1"/>
  <c r="B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C9" i="19"/>
  <c r="E9" i="19" s="1"/>
  <c r="B9" i="19"/>
  <c r="AA8" i="19"/>
  <c r="Z8" i="19"/>
  <c r="Y8" i="19"/>
  <c r="X8" i="19"/>
  <c r="W8" i="19"/>
  <c r="V8" i="19"/>
  <c r="U8" i="19"/>
  <c r="T8" i="19"/>
  <c r="S8" i="19"/>
  <c r="R8" i="19"/>
  <c r="Q8" i="19"/>
  <c r="N8" i="19" s="1"/>
  <c r="I8" i="19" s="1"/>
  <c r="P8" i="19"/>
  <c r="O8" i="19"/>
  <c r="C8" i="19"/>
  <c r="E8" i="19" s="1"/>
  <c r="B8" i="19"/>
  <c r="AA7" i="19"/>
  <c r="Z7" i="19"/>
  <c r="Y7" i="19"/>
  <c r="Y54" i="19" s="1"/>
  <c r="X7" i="19"/>
  <c r="W7" i="19"/>
  <c r="V7" i="19"/>
  <c r="U7" i="19"/>
  <c r="U54" i="19" s="1"/>
  <c r="T7" i="19"/>
  <c r="S7" i="19"/>
  <c r="R7" i="19"/>
  <c r="Q7" i="19"/>
  <c r="N7" i="19" s="1"/>
  <c r="I7" i="19" s="1"/>
  <c r="P7" i="19"/>
  <c r="O7" i="19"/>
  <c r="E7" i="19"/>
  <c r="C7" i="19"/>
  <c r="B7" i="19"/>
  <c r="AA6" i="19"/>
  <c r="Z6" i="19"/>
  <c r="Z54" i="19" s="1"/>
  <c r="Y6" i="19"/>
  <c r="X6" i="19"/>
  <c r="W6" i="19"/>
  <c r="V6" i="19"/>
  <c r="V54" i="19" s="1"/>
  <c r="U6" i="19"/>
  <c r="T6" i="19"/>
  <c r="S6" i="19"/>
  <c r="R6" i="19"/>
  <c r="R54" i="19" s="1"/>
  <c r="Q6" i="19"/>
  <c r="P6" i="19"/>
  <c r="O6" i="19"/>
  <c r="C6" i="19"/>
  <c r="E6" i="19" s="1"/>
  <c r="B6" i="19"/>
  <c r="AA5" i="19"/>
  <c r="Z5" i="19"/>
  <c r="Y5" i="19"/>
  <c r="X5" i="19"/>
  <c r="X54" i="19" s="1"/>
  <c r="W5" i="19"/>
  <c r="V5" i="19"/>
  <c r="U5" i="19"/>
  <c r="T5" i="19"/>
  <c r="T54" i="19" s="1"/>
  <c r="S5" i="19"/>
  <c r="R5" i="19"/>
  <c r="Q5" i="19"/>
  <c r="P5" i="19"/>
  <c r="P54" i="19" s="1"/>
  <c r="E60" i="19" s="1"/>
  <c r="O5" i="19"/>
  <c r="I5" i="19"/>
  <c r="E5" i="19"/>
  <c r="C5" i="19"/>
  <c r="B5" i="19"/>
  <c r="E20" i="19" l="1"/>
  <c r="E54" i="19"/>
  <c r="I17" i="19"/>
  <c r="N22" i="19"/>
  <c r="I22" i="19" s="1"/>
  <c r="N47" i="19"/>
  <c r="I47" i="19" s="1"/>
  <c r="E49" i="19"/>
  <c r="Q54" i="19"/>
  <c r="C54" i="19"/>
  <c r="N24" i="19"/>
  <c r="I24" i="19" s="1"/>
  <c r="N6" i="19"/>
  <c r="I19" i="19"/>
  <c r="I40" i="19"/>
  <c r="M54" i="19"/>
  <c r="F63" i="19" s="1"/>
  <c r="S54" i="19"/>
  <c r="W54" i="19"/>
  <c r="AA54" i="19"/>
  <c r="N9" i="19"/>
  <c r="I9" i="19" s="1"/>
  <c r="N16" i="19"/>
  <c r="I16" i="19" s="1"/>
  <c r="N49" i="19"/>
  <c r="I49" i="19" s="1"/>
  <c r="I28" i="17"/>
  <c r="I5" i="17"/>
  <c r="I6" i="19" l="1"/>
  <c r="I54" i="19" s="1"/>
  <c r="N54" i="19"/>
  <c r="F65" i="19" s="1"/>
  <c r="M45" i="17"/>
  <c r="M40" i="17"/>
  <c r="M33" i="17"/>
  <c r="M30" i="17"/>
  <c r="M17" i="17"/>
  <c r="K54" i="17" l="1"/>
  <c r="F64" i="17" s="1"/>
  <c r="P43" i="17"/>
  <c r="P17" i="17"/>
  <c r="P45" i="17"/>
  <c r="P33" i="17"/>
  <c r="D12" i="2"/>
  <c r="P19" i="17"/>
  <c r="P48" i="17"/>
  <c r="P40" i="17"/>
  <c r="P30" i="17"/>
  <c r="K47" i="16"/>
  <c r="C22" i="16"/>
  <c r="D54" i="16"/>
  <c r="E54" i="16"/>
  <c r="F54" i="16"/>
  <c r="G54" i="16"/>
  <c r="H54" i="16"/>
  <c r="I54" i="16"/>
  <c r="J54" i="16"/>
  <c r="K54" i="16"/>
  <c r="L54" i="16"/>
  <c r="M54" i="16"/>
  <c r="N54" i="16"/>
  <c r="C58" i="18" l="1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J6" i="18"/>
  <c r="AK6" i="18"/>
  <c r="AL6" i="18"/>
  <c r="AJ7" i="18"/>
  <c r="AK7" i="18"/>
  <c r="AL7" i="18"/>
  <c r="AJ8" i="18"/>
  <c r="AK8" i="18"/>
  <c r="AL8" i="18"/>
  <c r="AJ9" i="18"/>
  <c r="AK9" i="18"/>
  <c r="AL9" i="18"/>
  <c r="AJ10" i="18"/>
  <c r="AK10" i="18"/>
  <c r="AL10" i="18"/>
  <c r="AJ11" i="18"/>
  <c r="AK11" i="18"/>
  <c r="AL11" i="18"/>
  <c r="AJ12" i="18"/>
  <c r="AK12" i="18"/>
  <c r="AL12" i="18"/>
  <c r="AJ13" i="18"/>
  <c r="AK13" i="18"/>
  <c r="AL13" i="18"/>
  <c r="AJ14" i="18"/>
  <c r="AK14" i="18"/>
  <c r="AL14" i="18"/>
  <c r="AJ15" i="18"/>
  <c r="AK15" i="18"/>
  <c r="AL15" i="18"/>
  <c r="AJ16" i="18"/>
  <c r="AK16" i="18"/>
  <c r="AL16" i="18"/>
  <c r="AJ17" i="18"/>
  <c r="AK17" i="18"/>
  <c r="AL17" i="18"/>
  <c r="AJ18" i="18"/>
  <c r="AK18" i="18"/>
  <c r="AL18" i="18"/>
  <c r="AJ19" i="18"/>
  <c r="AK19" i="18"/>
  <c r="AL19" i="18"/>
  <c r="AJ20" i="18"/>
  <c r="AK20" i="18"/>
  <c r="AL20" i="18"/>
  <c r="AJ21" i="18"/>
  <c r="AK21" i="18"/>
  <c r="AL21" i="18"/>
  <c r="AJ22" i="18"/>
  <c r="AK22" i="18"/>
  <c r="AL22" i="18"/>
  <c r="AJ23" i="18"/>
  <c r="AK23" i="18"/>
  <c r="AL23" i="18"/>
  <c r="AJ24" i="18"/>
  <c r="AK24" i="18"/>
  <c r="AL24" i="18"/>
  <c r="AJ25" i="18"/>
  <c r="AK25" i="18"/>
  <c r="AL25" i="18"/>
  <c r="AJ26" i="18"/>
  <c r="AK26" i="18"/>
  <c r="AL26" i="18"/>
  <c r="AJ27" i="18"/>
  <c r="AK27" i="18"/>
  <c r="AL27" i="18"/>
  <c r="AJ28" i="18"/>
  <c r="AK28" i="18"/>
  <c r="AL28" i="18"/>
  <c r="AJ29" i="18"/>
  <c r="AK29" i="18"/>
  <c r="AL29" i="18"/>
  <c r="AJ30" i="18"/>
  <c r="AK30" i="18"/>
  <c r="AL30" i="18"/>
  <c r="AJ31" i="18"/>
  <c r="AK31" i="18"/>
  <c r="AL31" i="18"/>
  <c r="AJ32" i="18"/>
  <c r="AK32" i="18"/>
  <c r="AL32" i="18"/>
  <c r="AJ33" i="18"/>
  <c r="AK33" i="18"/>
  <c r="AL33" i="18"/>
  <c r="AJ34" i="18"/>
  <c r="AK34" i="18"/>
  <c r="AL34" i="18"/>
  <c r="AJ35" i="18"/>
  <c r="AK35" i="18"/>
  <c r="AL35" i="18"/>
  <c r="AJ36" i="18"/>
  <c r="AK36" i="18"/>
  <c r="AL36" i="18"/>
  <c r="AJ37" i="18"/>
  <c r="AK37" i="18"/>
  <c r="AL37" i="18"/>
  <c r="AJ38" i="18"/>
  <c r="AK38" i="18"/>
  <c r="AL38" i="18"/>
  <c r="AJ39" i="18"/>
  <c r="AK39" i="18"/>
  <c r="AL39" i="18"/>
  <c r="AJ40" i="18"/>
  <c r="AK40" i="18"/>
  <c r="AL40" i="18"/>
  <c r="AJ41" i="18"/>
  <c r="AK41" i="18"/>
  <c r="AL41" i="18"/>
  <c r="AJ42" i="18"/>
  <c r="AK42" i="18"/>
  <c r="AL42" i="18"/>
  <c r="AJ43" i="18"/>
  <c r="AK43" i="18"/>
  <c r="AL43" i="18"/>
  <c r="AJ44" i="18"/>
  <c r="AK44" i="18"/>
  <c r="AL44" i="18"/>
  <c r="AJ45" i="18"/>
  <c r="AK45" i="18"/>
  <c r="AL45" i="18"/>
  <c r="AJ46" i="18"/>
  <c r="AK46" i="18"/>
  <c r="AL46" i="18"/>
  <c r="AJ47" i="18"/>
  <c r="AK47" i="18"/>
  <c r="AL47" i="18"/>
  <c r="AJ48" i="18"/>
  <c r="AK48" i="18"/>
  <c r="AL48" i="18"/>
  <c r="AJ49" i="18"/>
  <c r="AK49" i="18"/>
  <c r="AL49" i="18"/>
  <c r="AJ50" i="18"/>
  <c r="AK50" i="18"/>
  <c r="AL50" i="18"/>
  <c r="AJ51" i="18"/>
  <c r="AK51" i="18"/>
  <c r="AL51" i="18"/>
  <c r="AJ52" i="18"/>
  <c r="AK52" i="18"/>
  <c r="AL52" i="18"/>
  <c r="AL5" i="18"/>
  <c r="AK5" i="18"/>
  <c r="AJ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C56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V5" i="17" l="1"/>
  <c r="V6" i="17"/>
  <c r="V7" i="17"/>
  <c r="V8" i="17"/>
  <c r="V9" i="17"/>
  <c r="V10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6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O9" i="17"/>
  <c r="P9" i="17"/>
  <c r="Q9" i="17"/>
  <c r="R9" i="17"/>
  <c r="S9" i="17"/>
  <c r="T9" i="17"/>
  <c r="U9" i="17"/>
  <c r="W9" i="17"/>
  <c r="X9" i="17"/>
  <c r="Y9" i="17"/>
  <c r="Z9" i="17"/>
  <c r="AA9" i="17"/>
  <c r="O10" i="17"/>
  <c r="P10" i="17"/>
  <c r="Q10" i="17"/>
  <c r="R10" i="17"/>
  <c r="S10" i="17"/>
  <c r="T10" i="17"/>
  <c r="U10" i="17"/>
  <c r="W10" i="17"/>
  <c r="X10" i="17"/>
  <c r="Y10" i="17"/>
  <c r="Z10" i="17"/>
  <c r="AA10" i="17"/>
  <c r="O12" i="17"/>
  <c r="P12" i="17"/>
  <c r="Q12" i="17"/>
  <c r="R12" i="17"/>
  <c r="S12" i="17"/>
  <c r="T12" i="17"/>
  <c r="U12" i="17"/>
  <c r="W12" i="17"/>
  <c r="X12" i="17"/>
  <c r="Y12" i="17"/>
  <c r="Z12" i="17"/>
  <c r="AA12" i="17"/>
  <c r="O13" i="17"/>
  <c r="P13" i="17"/>
  <c r="Q13" i="17"/>
  <c r="R13" i="17"/>
  <c r="S13" i="17"/>
  <c r="T13" i="17"/>
  <c r="U13" i="17"/>
  <c r="W13" i="17"/>
  <c r="X13" i="17"/>
  <c r="Y13" i="17"/>
  <c r="Z13" i="17"/>
  <c r="AA13" i="17"/>
  <c r="O14" i="17"/>
  <c r="P14" i="17"/>
  <c r="Q14" i="17"/>
  <c r="R14" i="17"/>
  <c r="S14" i="17"/>
  <c r="T14" i="17"/>
  <c r="U14" i="17"/>
  <c r="W14" i="17"/>
  <c r="X14" i="17"/>
  <c r="Y14" i="17"/>
  <c r="Z14" i="17"/>
  <c r="AA14" i="17"/>
  <c r="O15" i="17"/>
  <c r="P15" i="17"/>
  <c r="Q15" i="17"/>
  <c r="R15" i="17"/>
  <c r="S15" i="17"/>
  <c r="T15" i="17"/>
  <c r="U15" i="17"/>
  <c r="W15" i="17"/>
  <c r="X15" i="17"/>
  <c r="Y15" i="17"/>
  <c r="Z15" i="17"/>
  <c r="AA15" i="17"/>
  <c r="O16" i="17"/>
  <c r="P16" i="17"/>
  <c r="Q16" i="17"/>
  <c r="R16" i="17"/>
  <c r="S16" i="17"/>
  <c r="T16" i="17"/>
  <c r="U16" i="17"/>
  <c r="W16" i="17"/>
  <c r="X16" i="17"/>
  <c r="Y16" i="17"/>
  <c r="Z16" i="17"/>
  <c r="AA16" i="17"/>
  <c r="O17" i="17"/>
  <c r="Q17" i="17"/>
  <c r="R17" i="17"/>
  <c r="S17" i="17"/>
  <c r="T17" i="17"/>
  <c r="U17" i="17"/>
  <c r="W17" i="17"/>
  <c r="X17" i="17"/>
  <c r="Y17" i="17"/>
  <c r="Z17" i="17"/>
  <c r="AA17" i="17"/>
  <c r="O18" i="17"/>
  <c r="P18" i="17"/>
  <c r="Q18" i="17"/>
  <c r="R18" i="17"/>
  <c r="S18" i="17"/>
  <c r="T18" i="17"/>
  <c r="U18" i="17"/>
  <c r="W18" i="17"/>
  <c r="X18" i="17"/>
  <c r="Y18" i="17"/>
  <c r="Z18" i="17"/>
  <c r="AA18" i="17"/>
  <c r="Q19" i="17"/>
  <c r="R19" i="17"/>
  <c r="S19" i="17"/>
  <c r="T19" i="17"/>
  <c r="U19" i="17"/>
  <c r="W19" i="17"/>
  <c r="X19" i="17"/>
  <c r="Y19" i="17"/>
  <c r="Z19" i="17"/>
  <c r="AA19" i="17"/>
  <c r="P20" i="17"/>
  <c r="Q20" i="17"/>
  <c r="R20" i="17"/>
  <c r="S20" i="17"/>
  <c r="T20" i="17"/>
  <c r="U20" i="17"/>
  <c r="W20" i="17"/>
  <c r="X20" i="17"/>
  <c r="Y20" i="17"/>
  <c r="Z20" i="17"/>
  <c r="AA20" i="17"/>
  <c r="O21" i="17"/>
  <c r="P21" i="17"/>
  <c r="Q21" i="17"/>
  <c r="R21" i="17"/>
  <c r="S21" i="17"/>
  <c r="T21" i="17"/>
  <c r="U21" i="17"/>
  <c r="W21" i="17"/>
  <c r="X21" i="17"/>
  <c r="Y21" i="17"/>
  <c r="Z21" i="17"/>
  <c r="AA21" i="17"/>
  <c r="O22" i="17"/>
  <c r="P22" i="17"/>
  <c r="Q22" i="17"/>
  <c r="R22" i="17"/>
  <c r="S22" i="17"/>
  <c r="T22" i="17"/>
  <c r="U22" i="17"/>
  <c r="W22" i="17"/>
  <c r="X22" i="17"/>
  <c r="Y22" i="17"/>
  <c r="Z22" i="17"/>
  <c r="AA22" i="17"/>
  <c r="O23" i="17"/>
  <c r="P23" i="17"/>
  <c r="Q23" i="17"/>
  <c r="R23" i="17"/>
  <c r="S23" i="17"/>
  <c r="T23" i="17"/>
  <c r="U23" i="17"/>
  <c r="W23" i="17"/>
  <c r="X23" i="17"/>
  <c r="Y23" i="17"/>
  <c r="Z23" i="17"/>
  <c r="AA23" i="17"/>
  <c r="O24" i="17"/>
  <c r="P24" i="17"/>
  <c r="Q24" i="17"/>
  <c r="R24" i="17"/>
  <c r="S24" i="17"/>
  <c r="T24" i="17"/>
  <c r="U24" i="17"/>
  <c r="W24" i="17"/>
  <c r="X24" i="17"/>
  <c r="Y24" i="17"/>
  <c r="Z24" i="17"/>
  <c r="AA24" i="17"/>
  <c r="O25" i="17"/>
  <c r="P25" i="17"/>
  <c r="Q25" i="17"/>
  <c r="R25" i="17"/>
  <c r="S25" i="17"/>
  <c r="T25" i="17"/>
  <c r="U25" i="17"/>
  <c r="W25" i="17"/>
  <c r="X25" i="17"/>
  <c r="Y25" i="17"/>
  <c r="Z25" i="17"/>
  <c r="AA25" i="17"/>
  <c r="O26" i="17"/>
  <c r="P26" i="17"/>
  <c r="Q26" i="17"/>
  <c r="R26" i="17"/>
  <c r="S26" i="17"/>
  <c r="T26" i="17"/>
  <c r="U26" i="17"/>
  <c r="W26" i="17"/>
  <c r="X26" i="17"/>
  <c r="Y26" i="17"/>
  <c r="Z26" i="17"/>
  <c r="AA26" i="17"/>
  <c r="O27" i="17"/>
  <c r="P27" i="17"/>
  <c r="Q27" i="17"/>
  <c r="R27" i="17"/>
  <c r="S27" i="17"/>
  <c r="T27" i="17"/>
  <c r="U27" i="17"/>
  <c r="W27" i="17"/>
  <c r="X27" i="17"/>
  <c r="Y27" i="17"/>
  <c r="Z27" i="17"/>
  <c r="AA27" i="17"/>
  <c r="O28" i="17"/>
  <c r="P28" i="17"/>
  <c r="Q28" i="17"/>
  <c r="R28" i="17"/>
  <c r="S28" i="17"/>
  <c r="T28" i="17"/>
  <c r="U28" i="17"/>
  <c r="W28" i="17"/>
  <c r="X28" i="17"/>
  <c r="Y28" i="17"/>
  <c r="Z28" i="17"/>
  <c r="AA28" i="17"/>
  <c r="O29" i="17"/>
  <c r="P29" i="17"/>
  <c r="Q29" i="17"/>
  <c r="R29" i="17"/>
  <c r="S29" i="17"/>
  <c r="T29" i="17"/>
  <c r="U29" i="17"/>
  <c r="W29" i="17"/>
  <c r="X29" i="17"/>
  <c r="Y29" i="17"/>
  <c r="Z29" i="17"/>
  <c r="AA29" i="17"/>
  <c r="O30" i="17"/>
  <c r="Q30" i="17"/>
  <c r="R30" i="17"/>
  <c r="S30" i="17"/>
  <c r="T30" i="17"/>
  <c r="U30" i="17"/>
  <c r="W30" i="17"/>
  <c r="X30" i="17"/>
  <c r="Y30" i="17"/>
  <c r="Z30" i="17"/>
  <c r="AA30" i="17"/>
  <c r="O31" i="17"/>
  <c r="P31" i="17"/>
  <c r="Q31" i="17"/>
  <c r="R31" i="17"/>
  <c r="S31" i="17"/>
  <c r="T31" i="17"/>
  <c r="U31" i="17"/>
  <c r="W31" i="17"/>
  <c r="X31" i="17"/>
  <c r="Y31" i="17"/>
  <c r="Z31" i="17"/>
  <c r="AA31" i="17"/>
  <c r="O32" i="17"/>
  <c r="P32" i="17"/>
  <c r="Q32" i="17"/>
  <c r="R32" i="17"/>
  <c r="S32" i="17"/>
  <c r="T32" i="17"/>
  <c r="U32" i="17"/>
  <c r="W32" i="17"/>
  <c r="X32" i="17"/>
  <c r="Y32" i="17"/>
  <c r="Z32" i="17"/>
  <c r="AA32" i="17"/>
  <c r="O33" i="17"/>
  <c r="Q33" i="17"/>
  <c r="R33" i="17"/>
  <c r="S33" i="17"/>
  <c r="T33" i="17"/>
  <c r="U33" i="17"/>
  <c r="W33" i="17"/>
  <c r="X33" i="17"/>
  <c r="Y33" i="17"/>
  <c r="Z33" i="17"/>
  <c r="AA33" i="17"/>
  <c r="O34" i="17"/>
  <c r="P34" i="17"/>
  <c r="Q34" i="17"/>
  <c r="R34" i="17"/>
  <c r="S34" i="17"/>
  <c r="T34" i="17"/>
  <c r="U34" i="17"/>
  <c r="W34" i="17"/>
  <c r="X34" i="17"/>
  <c r="Y34" i="17"/>
  <c r="Z34" i="17"/>
  <c r="AA34" i="17"/>
  <c r="O36" i="17"/>
  <c r="P36" i="17"/>
  <c r="Q36" i="17"/>
  <c r="R36" i="17"/>
  <c r="S36" i="17"/>
  <c r="T36" i="17"/>
  <c r="U36" i="17"/>
  <c r="W36" i="17"/>
  <c r="X36" i="17"/>
  <c r="Y36" i="17"/>
  <c r="Z36" i="17"/>
  <c r="AA36" i="17"/>
  <c r="O38" i="17"/>
  <c r="P38" i="17"/>
  <c r="Q38" i="17"/>
  <c r="R38" i="17"/>
  <c r="S38" i="17"/>
  <c r="T38" i="17"/>
  <c r="U38" i="17"/>
  <c r="W38" i="17"/>
  <c r="X38" i="17"/>
  <c r="Y38" i="17"/>
  <c r="Z38" i="17"/>
  <c r="AA38" i="17"/>
  <c r="O39" i="17"/>
  <c r="P39" i="17"/>
  <c r="Q39" i="17"/>
  <c r="R39" i="17"/>
  <c r="S39" i="17"/>
  <c r="T39" i="17"/>
  <c r="U39" i="17"/>
  <c r="W39" i="17"/>
  <c r="X39" i="17"/>
  <c r="Y39" i="17"/>
  <c r="Z39" i="17"/>
  <c r="AA39" i="17"/>
  <c r="O40" i="17"/>
  <c r="Q40" i="17"/>
  <c r="R40" i="17"/>
  <c r="S40" i="17"/>
  <c r="T40" i="17"/>
  <c r="U40" i="17"/>
  <c r="W40" i="17"/>
  <c r="X40" i="17"/>
  <c r="Y40" i="17"/>
  <c r="Z40" i="17"/>
  <c r="AA40" i="17"/>
  <c r="O41" i="17"/>
  <c r="P41" i="17"/>
  <c r="Q41" i="17"/>
  <c r="R41" i="17"/>
  <c r="S41" i="17"/>
  <c r="T41" i="17"/>
  <c r="U41" i="17"/>
  <c r="W41" i="17"/>
  <c r="X41" i="17"/>
  <c r="Y41" i="17"/>
  <c r="Z41" i="17"/>
  <c r="AA41" i="17"/>
  <c r="P42" i="17"/>
  <c r="Q42" i="17"/>
  <c r="R42" i="17"/>
  <c r="S42" i="17"/>
  <c r="T42" i="17"/>
  <c r="U42" i="17"/>
  <c r="W42" i="17"/>
  <c r="X42" i="17"/>
  <c r="Y42" i="17"/>
  <c r="Z42" i="17"/>
  <c r="AA42" i="17"/>
  <c r="Q43" i="17"/>
  <c r="R43" i="17"/>
  <c r="S43" i="17"/>
  <c r="T43" i="17"/>
  <c r="U43" i="17"/>
  <c r="W43" i="17"/>
  <c r="X43" i="17"/>
  <c r="Y43" i="17"/>
  <c r="Z43" i="17"/>
  <c r="AA43" i="17"/>
  <c r="O44" i="17"/>
  <c r="P44" i="17"/>
  <c r="Q44" i="17"/>
  <c r="R44" i="17"/>
  <c r="S44" i="17"/>
  <c r="T44" i="17"/>
  <c r="U44" i="17"/>
  <c r="W44" i="17"/>
  <c r="X44" i="17"/>
  <c r="Y44" i="17"/>
  <c r="Z44" i="17"/>
  <c r="AA44" i="17"/>
  <c r="O45" i="17"/>
  <c r="Q45" i="17"/>
  <c r="R45" i="17"/>
  <c r="S45" i="17"/>
  <c r="T45" i="17"/>
  <c r="U45" i="17"/>
  <c r="W45" i="17"/>
  <c r="X45" i="17"/>
  <c r="Y45" i="17"/>
  <c r="Z45" i="17"/>
  <c r="AA45" i="17"/>
  <c r="O46" i="17"/>
  <c r="P46" i="17"/>
  <c r="Q46" i="17"/>
  <c r="R46" i="17"/>
  <c r="S46" i="17"/>
  <c r="T46" i="17"/>
  <c r="U46" i="17"/>
  <c r="W46" i="17"/>
  <c r="X46" i="17"/>
  <c r="Y46" i="17"/>
  <c r="Z46" i="17"/>
  <c r="AA46" i="17"/>
  <c r="O47" i="17"/>
  <c r="P47" i="17"/>
  <c r="Q47" i="17"/>
  <c r="R47" i="17"/>
  <c r="S47" i="17"/>
  <c r="T47" i="17"/>
  <c r="U47" i="17"/>
  <c r="W47" i="17"/>
  <c r="X47" i="17"/>
  <c r="Y47" i="17"/>
  <c r="Z47" i="17"/>
  <c r="AA47" i="17"/>
  <c r="O48" i="17"/>
  <c r="Q48" i="17"/>
  <c r="R48" i="17"/>
  <c r="S48" i="17"/>
  <c r="T48" i="17"/>
  <c r="U48" i="17"/>
  <c r="W48" i="17"/>
  <c r="X48" i="17"/>
  <c r="Y48" i="17"/>
  <c r="Z48" i="17"/>
  <c r="AA48" i="17"/>
  <c r="O49" i="17"/>
  <c r="P49" i="17"/>
  <c r="Q49" i="17"/>
  <c r="R49" i="17"/>
  <c r="S49" i="17"/>
  <c r="T49" i="17"/>
  <c r="U49" i="17"/>
  <c r="W49" i="17"/>
  <c r="X49" i="17"/>
  <c r="Y49" i="17"/>
  <c r="Z49" i="17"/>
  <c r="AA49" i="17"/>
  <c r="O50" i="17"/>
  <c r="P50" i="17"/>
  <c r="Q50" i="17"/>
  <c r="R50" i="17"/>
  <c r="S50" i="17"/>
  <c r="T50" i="17"/>
  <c r="U50" i="17"/>
  <c r="W50" i="17"/>
  <c r="X50" i="17"/>
  <c r="Y50" i="17"/>
  <c r="Z50" i="17"/>
  <c r="AA50" i="17"/>
  <c r="O51" i="17"/>
  <c r="P51" i="17"/>
  <c r="Q51" i="17"/>
  <c r="R51" i="17"/>
  <c r="S51" i="17"/>
  <c r="T51" i="17"/>
  <c r="U51" i="17"/>
  <c r="W51" i="17"/>
  <c r="X51" i="17"/>
  <c r="Y51" i="17"/>
  <c r="Z51" i="17"/>
  <c r="AA51" i="17"/>
  <c r="O52" i="17"/>
  <c r="P52" i="17"/>
  <c r="Q52" i="17"/>
  <c r="R52" i="17"/>
  <c r="S52" i="17"/>
  <c r="T52" i="17"/>
  <c r="U52" i="17"/>
  <c r="W52" i="17"/>
  <c r="X52" i="17"/>
  <c r="Y52" i="17"/>
  <c r="Z52" i="17"/>
  <c r="AA52" i="17"/>
  <c r="O6" i="17"/>
  <c r="P6" i="17"/>
  <c r="Q6" i="17"/>
  <c r="R6" i="17"/>
  <c r="S6" i="17"/>
  <c r="T6" i="17"/>
  <c r="U6" i="17"/>
  <c r="W6" i="17"/>
  <c r="X6" i="17"/>
  <c r="Y6" i="17"/>
  <c r="Z6" i="17"/>
  <c r="AA6" i="17"/>
  <c r="O7" i="17"/>
  <c r="P7" i="17"/>
  <c r="Q7" i="17"/>
  <c r="R7" i="17"/>
  <c r="S7" i="17"/>
  <c r="T7" i="17"/>
  <c r="U7" i="17"/>
  <c r="W7" i="17"/>
  <c r="X7" i="17"/>
  <c r="Y7" i="17"/>
  <c r="Z7" i="17"/>
  <c r="AA7" i="17"/>
  <c r="O8" i="17"/>
  <c r="P8" i="17"/>
  <c r="Q8" i="17"/>
  <c r="R8" i="17"/>
  <c r="S8" i="17"/>
  <c r="T8" i="17"/>
  <c r="U8" i="17"/>
  <c r="W8" i="17"/>
  <c r="X8" i="17"/>
  <c r="Y8" i="17"/>
  <c r="Z8" i="17"/>
  <c r="AA8" i="17"/>
  <c r="P5" i="17"/>
  <c r="Q5" i="17"/>
  <c r="R5" i="17"/>
  <c r="S5" i="17"/>
  <c r="T5" i="17"/>
  <c r="U5" i="17"/>
  <c r="W5" i="17"/>
  <c r="X5" i="17"/>
  <c r="Y5" i="17"/>
  <c r="Z5" i="17"/>
  <c r="AA5" i="17"/>
  <c r="O5" i="17"/>
  <c r="D54" i="17"/>
  <c r="E58" i="17" s="1"/>
  <c r="C52" i="17"/>
  <c r="B52" i="17"/>
  <c r="C51" i="17"/>
  <c r="B51" i="17"/>
  <c r="C50" i="17"/>
  <c r="B50" i="17"/>
  <c r="C49" i="17"/>
  <c r="B49" i="17"/>
  <c r="C48" i="17"/>
  <c r="B48" i="17"/>
  <c r="B47" i="17"/>
  <c r="C46" i="17"/>
  <c r="B46" i="17"/>
  <c r="C45" i="17"/>
  <c r="B45" i="17"/>
  <c r="B44" i="17"/>
  <c r="C43" i="17"/>
  <c r="B43" i="17"/>
  <c r="C42" i="17"/>
  <c r="B42" i="17"/>
  <c r="C41" i="17"/>
  <c r="B41" i="17"/>
  <c r="B40" i="17"/>
  <c r="C39" i="17"/>
  <c r="B39" i="17"/>
  <c r="C38" i="17"/>
  <c r="B38" i="17"/>
  <c r="C36" i="17"/>
  <c r="B36" i="17"/>
  <c r="C34" i="17"/>
  <c r="B34" i="17"/>
  <c r="B33" i="17"/>
  <c r="C32" i="17"/>
  <c r="B32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B22" i="17"/>
  <c r="C21" i="17"/>
  <c r="B21" i="17"/>
  <c r="C20" i="17"/>
  <c r="B20" i="17"/>
  <c r="C19" i="17"/>
  <c r="B19" i="17"/>
  <c r="C18" i="17"/>
  <c r="B18" i="17"/>
  <c r="B17" i="17"/>
  <c r="C16" i="17"/>
  <c r="B16" i="17"/>
  <c r="C15" i="17"/>
  <c r="B15" i="17"/>
  <c r="C14" i="17"/>
  <c r="B14" i="17"/>
  <c r="B13" i="17"/>
  <c r="C12" i="17"/>
  <c r="B12" i="17"/>
  <c r="C10" i="17"/>
  <c r="B10" i="17"/>
  <c r="C9" i="17"/>
  <c r="B9" i="17"/>
  <c r="C8" i="17"/>
  <c r="B8" i="17"/>
  <c r="C7" i="17"/>
  <c r="B7" i="17"/>
  <c r="C6" i="17"/>
  <c r="B6" i="17"/>
  <c r="C5" i="17"/>
  <c r="B5" i="17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Q56" i="6"/>
  <c r="P56" i="6"/>
  <c r="O56" i="6"/>
  <c r="N56" i="6"/>
  <c r="M56" i="6"/>
  <c r="L56" i="6"/>
  <c r="K56" i="6"/>
  <c r="J56" i="6"/>
  <c r="I56" i="6"/>
  <c r="H56" i="6"/>
  <c r="G56" i="6"/>
  <c r="E56" i="6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D56" i="14"/>
  <c r="G56" i="14"/>
  <c r="I56" i="14"/>
  <c r="J56" i="14"/>
  <c r="K56" i="14"/>
  <c r="L56" i="14"/>
  <c r="M56" i="14"/>
  <c r="N56" i="14"/>
  <c r="O56" i="14"/>
  <c r="P56" i="14"/>
  <c r="Q56" i="14"/>
  <c r="R56" i="14"/>
  <c r="C52" i="2"/>
  <c r="F52" i="14" s="1"/>
  <c r="C51" i="2"/>
  <c r="F51" i="14" s="1"/>
  <c r="C50" i="2"/>
  <c r="F50" i="14" s="1"/>
  <c r="C49" i="2"/>
  <c r="F49" i="14" s="1"/>
  <c r="C48" i="2"/>
  <c r="F48" i="14" s="1"/>
  <c r="C47" i="2"/>
  <c r="F47" i="14" s="1"/>
  <c r="C46" i="2"/>
  <c r="F46" i="14" s="1"/>
  <c r="C45" i="2"/>
  <c r="F45" i="14" s="1"/>
  <c r="C44" i="2"/>
  <c r="F44" i="14" s="1"/>
  <c r="C43" i="2"/>
  <c r="F43" i="14" s="1"/>
  <c r="C42" i="2"/>
  <c r="F42" i="14" s="1"/>
  <c r="C41" i="2"/>
  <c r="F41" i="14" s="1"/>
  <c r="C40" i="2"/>
  <c r="F40" i="14" s="1"/>
  <c r="C39" i="2"/>
  <c r="F39" i="14" s="1"/>
  <c r="C38" i="2"/>
  <c r="F38" i="14" s="1"/>
  <c r="C37" i="2"/>
  <c r="F37" i="14" s="1"/>
  <c r="C36" i="2"/>
  <c r="F36" i="14" s="1"/>
  <c r="C35" i="2"/>
  <c r="F35" i="14" s="1"/>
  <c r="C34" i="2"/>
  <c r="F34" i="14" s="1"/>
  <c r="C33" i="2"/>
  <c r="F33" i="14" s="1"/>
  <c r="C32" i="2"/>
  <c r="F32" i="14" s="1"/>
  <c r="C31" i="2"/>
  <c r="F31" i="14" s="1"/>
  <c r="C30" i="2"/>
  <c r="F30" i="14" s="1"/>
  <c r="C29" i="2"/>
  <c r="F29" i="14" s="1"/>
  <c r="C28" i="2"/>
  <c r="F28" i="14" s="1"/>
  <c r="C27" i="2"/>
  <c r="F27" i="14" s="1"/>
  <c r="C26" i="2"/>
  <c r="F26" i="14" s="1"/>
  <c r="C25" i="2"/>
  <c r="F25" i="14" s="1"/>
  <c r="C24" i="2"/>
  <c r="F24" i="14" s="1"/>
  <c r="C23" i="2"/>
  <c r="F23" i="14" s="1"/>
  <c r="C22" i="2"/>
  <c r="F22" i="14" s="1"/>
  <c r="C21" i="2"/>
  <c r="F21" i="14" s="1"/>
  <c r="C20" i="2"/>
  <c r="F20" i="14" s="1"/>
  <c r="C19" i="2"/>
  <c r="F19" i="14" s="1"/>
  <c r="C18" i="2"/>
  <c r="F18" i="14" s="1"/>
  <c r="C17" i="2"/>
  <c r="F17" i="14" s="1"/>
  <c r="C16" i="2"/>
  <c r="F16" i="14" s="1"/>
  <c r="C15" i="2"/>
  <c r="F15" i="14" s="1"/>
  <c r="C14" i="2"/>
  <c r="F14" i="14" s="1"/>
  <c r="C13" i="2"/>
  <c r="F13" i="14" s="1"/>
  <c r="C12" i="2"/>
  <c r="F12" i="14" s="1"/>
  <c r="C11" i="2"/>
  <c r="F11" i="14" s="1"/>
  <c r="C10" i="2"/>
  <c r="F10" i="14" s="1"/>
  <c r="C9" i="2"/>
  <c r="F9" i="14" s="1"/>
  <c r="C8" i="2"/>
  <c r="F8" i="14" s="1"/>
  <c r="C7" i="2"/>
  <c r="F7" i="14" s="1"/>
  <c r="C6" i="2"/>
  <c r="F6" i="14" s="1"/>
  <c r="C5" i="2"/>
  <c r="F5" i="14" s="1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" i="14"/>
  <c r="B5" i="11"/>
  <c r="B5" i="12"/>
  <c r="B5" i="3"/>
  <c r="B5" i="6"/>
  <c r="B5" i="10"/>
  <c r="B5" i="9"/>
  <c r="B5" i="8"/>
  <c r="B6" i="8"/>
  <c r="F6" i="8"/>
  <c r="N6" i="8"/>
  <c r="B5" i="7"/>
  <c r="B5" i="5"/>
  <c r="B5" i="4"/>
  <c r="B5" i="1"/>
  <c r="B5" i="14"/>
  <c r="D55" i="2"/>
  <c r="H55" i="2"/>
  <c r="U55" i="2"/>
  <c r="B5" i="2"/>
  <c r="B5" i="16"/>
  <c r="C47" i="16"/>
  <c r="C31" i="16"/>
  <c r="C13" i="16"/>
  <c r="C54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6" i="5"/>
  <c r="B6" i="4"/>
  <c r="B6" i="1"/>
  <c r="B6" i="14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N43" i="1"/>
  <c r="N7" i="10"/>
  <c r="N32" i="5"/>
  <c r="N8" i="1"/>
  <c r="O54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N54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4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4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4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6" i="10"/>
  <c r="N54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4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54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4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4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4" i="1"/>
  <c r="N52" i="1"/>
  <c r="N51" i="1"/>
  <c r="N50" i="1"/>
  <c r="N49" i="1"/>
  <c r="N48" i="1"/>
  <c r="N47" i="1"/>
  <c r="N46" i="1"/>
  <c r="N45" i="1"/>
  <c r="N44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7" i="1"/>
  <c r="N6" i="1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4" i="14"/>
  <c r="P6" i="14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F13" i="6"/>
  <c r="F56" i="6" s="1"/>
  <c r="F31" i="3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6" i="6"/>
  <c r="L54" i="9"/>
  <c r="L54" i="8"/>
  <c r="G52" i="11"/>
  <c r="B52" i="11"/>
  <c r="G51" i="11"/>
  <c r="B51" i="11"/>
  <c r="G50" i="11"/>
  <c r="B50" i="11"/>
  <c r="G49" i="11"/>
  <c r="B49" i="11"/>
  <c r="G48" i="11"/>
  <c r="B48" i="11"/>
  <c r="G47" i="11"/>
  <c r="B47" i="11"/>
  <c r="G46" i="11"/>
  <c r="B46" i="11"/>
  <c r="G45" i="11"/>
  <c r="B45" i="11"/>
  <c r="G44" i="11"/>
  <c r="B44" i="11"/>
  <c r="G43" i="11"/>
  <c r="B43" i="11"/>
  <c r="G42" i="11"/>
  <c r="B42" i="11"/>
  <c r="G41" i="11"/>
  <c r="B41" i="11"/>
  <c r="G40" i="11"/>
  <c r="B40" i="11"/>
  <c r="G39" i="11"/>
  <c r="B39" i="11"/>
  <c r="G38" i="11"/>
  <c r="B38" i="11"/>
  <c r="G37" i="11"/>
  <c r="B37" i="11"/>
  <c r="G36" i="11"/>
  <c r="B36" i="11"/>
  <c r="G35" i="11"/>
  <c r="B35" i="11"/>
  <c r="G34" i="11"/>
  <c r="B34" i="11"/>
  <c r="G33" i="11"/>
  <c r="B33" i="11"/>
  <c r="G32" i="11"/>
  <c r="B32" i="11"/>
  <c r="G31" i="11"/>
  <c r="B31" i="11"/>
  <c r="G30" i="11"/>
  <c r="B30" i="11"/>
  <c r="G29" i="11"/>
  <c r="B29" i="11"/>
  <c r="G28" i="11"/>
  <c r="B28" i="11"/>
  <c r="G27" i="11"/>
  <c r="B27" i="11"/>
  <c r="G26" i="11"/>
  <c r="B26" i="11"/>
  <c r="G25" i="11"/>
  <c r="B25" i="11"/>
  <c r="G24" i="11"/>
  <c r="B24" i="11"/>
  <c r="G23" i="11"/>
  <c r="B23" i="11"/>
  <c r="G22" i="11"/>
  <c r="B22" i="11"/>
  <c r="G21" i="11"/>
  <c r="B21" i="11"/>
  <c r="G20" i="11"/>
  <c r="B20" i="11"/>
  <c r="G19" i="11"/>
  <c r="B19" i="11"/>
  <c r="G18" i="11"/>
  <c r="B18" i="11"/>
  <c r="G17" i="11"/>
  <c r="B17" i="11"/>
  <c r="G16" i="11"/>
  <c r="B16" i="11"/>
  <c r="G15" i="11"/>
  <c r="B15" i="11"/>
  <c r="G14" i="11"/>
  <c r="B14" i="11"/>
  <c r="G13" i="11"/>
  <c r="B13" i="11"/>
  <c r="G12" i="11"/>
  <c r="B12" i="11"/>
  <c r="G11" i="11"/>
  <c r="B11" i="11"/>
  <c r="G10" i="11"/>
  <c r="B10" i="11"/>
  <c r="G9" i="11"/>
  <c r="B9" i="11"/>
  <c r="G8" i="11"/>
  <c r="B8" i="11"/>
  <c r="G7" i="11"/>
  <c r="B7" i="11"/>
  <c r="G6" i="11"/>
  <c r="B6" i="11"/>
  <c r="F52" i="12"/>
  <c r="B52" i="12"/>
  <c r="F51" i="12"/>
  <c r="B51" i="12"/>
  <c r="F50" i="12"/>
  <c r="B50" i="12"/>
  <c r="F49" i="12"/>
  <c r="B49" i="12"/>
  <c r="F48" i="12"/>
  <c r="B48" i="12"/>
  <c r="F47" i="12"/>
  <c r="B47" i="12"/>
  <c r="F46" i="12"/>
  <c r="B46" i="12"/>
  <c r="F45" i="12"/>
  <c r="B45" i="12"/>
  <c r="F44" i="12"/>
  <c r="B44" i="12"/>
  <c r="F43" i="12"/>
  <c r="B43" i="12"/>
  <c r="F42" i="12"/>
  <c r="B42" i="12"/>
  <c r="F41" i="12"/>
  <c r="B41" i="12"/>
  <c r="F40" i="12"/>
  <c r="B40" i="12"/>
  <c r="F39" i="12"/>
  <c r="B39" i="12"/>
  <c r="F38" i="12"/>
  <c r="B38" i="12"/>
  <c r="F37" i="12"/>
  <c r="B37" i="12"/>
  <c r="F36" i="12"/>
  <c r="B36" i="12"/>
  <c r="F35" i="12"/>
  <c r="B35" i="12"/>
  <c r="F34" i="12"/>
  <c r="B34" i="12"/>
  <c r="F33" i="12"/>
  <c r="B33" i="12"/>
  <c r="F32" i="12"/>
  <c r="B32" i="12"/>
  <c r="F31" i="12"/>
  <c r="B31" i="12"/>
  <c r="F30" i="12"/>
  <c r="B30" i="12"/>
  <c r="F29" i="12"/>
  <c r="B29" i="12"/>
  <c r="F28" i="12"/>
  <c r="B28" i="12"/>
  <c r="F27" i="12"/>
  <c r="B27" i="12"/>
  <c r="F26" i="12"/>
  <c r="B26" i="12"/>
  <c r="F25" i="12"/>
  <c r="B25" i="12"/>
  <c r="F24" i="12"/>
  <c r="B24" i="12"/>
  <c r="F23" i="12"/>
  <c r="B23" i="12"/>
  <c r="F22" i="12"/>
  <c r="B22" i="12"/>
  <c r="F21" i="12"/>
  <c r="B21" i="12"/>
  <c r="F20" i="12"/>
  <c r="B20" i="12"/>
  <c r="F19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B9" i="12"/>
  <c r="F8" i="12"/>
  <c r="B8" i="12"/>
  <c r="F7" i="12"/>
  <c r="B7" i="12"/>
  <c r="F6" i="12"/>
  <c r="B6" i="12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F6" i="3"/>
  <c r="B6" i="3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26" i="10"/>
  <c r="B26" i="10"/>
  <c r="F25" i="10"/>
  <c r="B25" i="10"/>
  <c r="F24" i="10"/>
  <c r="B24" i="10"/>
  <c r="F23" i="10"/>
  <c r="B23" i="10"/>
  <c r="F22" i="10"/>
  <c r="B22" i="10"/>
  <c r="F21" i="10"/>
  <c r="B21" i="10"/>
  <c r="F20" i="10"/>
  <c r="B20" i="10"/>
  <c r="F19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B6" i="10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F26" i="9"/>
  <c r="B26" i="9"/>
  <c r="F25" i="9"/>
  <c r="B25" i="9"/>
  <c r="F24" i="9"/>
  <c r="B24" i="9"/>
  <c r="F23" i="9"/>
  <c r="B23" i="9"/>
  <c r="F22" i="9"/>
  <c r="B22" i="9"/>
  <c r="F21" i="9"/>
  <c r="B21" i="9"/>
  <c r="F20" i="9"/>
  <c r="B20" i="9"/>
  <c r="F19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B9" i="9"/>
  <c r="F8" i="9"/>
  <c r="B8" i="9"/>
  <c r="F7" i="9"/>
  <c r="B7" i="9"/>
  <c r="F6" i="9"/>
  <c r="B6" i="9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26" i="8"/>
  <c r="B26" i="8"/>
  <c r="F25" i="8"/>
  <c r="B25" i="8"/>
  <c r="F24" i="8"/>
  <c r="B24" i="8"/>
  <c r="F23" i="8"/>
  <c r="B23" i="8"/>
  <c r="F22" i="8"/>
  <c r="B22" i="8"/>
  <c r="F21" i="8"/>
  <c r="B21" i="8"/>
  <c r="F20" i="8"/>
  <c r="B20" i="8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52" i="7"/>
  <c r="B52" i="7"/>
  <c r="F51" i="7"/>
  <c r="B51" i="7"/>
  <c r="F50" i="7"/>
  <c r="B50" i="7"/>
  <c r="F49" i="7"/>
  <c r="B49" i="7"/>
  <c r="F48" i="7"/>
  <c r="B48" i="7"/>
  <c r="F47" i="7"/>
  <c r="B47" i="7"/>
  <c r="F46" i="7"/>
  <c r="B46" i="7"/>
  <c r="F45" i="7"/>
  <c r="B45" i="7"/>
  <c r="F44" i="7"/>
  <c r="B44" i="7"/>
  <c r="F43" i="7"/>
  <c r="B43" i="7"/>
  <c r="F42" i="7"/>
  <c r="B42" i="7"/>
  <c r="F41" i="7"/>
  <c r="B41" i="7"/>
  <c r="F40" i="7"/>
  <c r="B40" i="7"/>
  <c r="F39" i="7"/>
  <c r="B39" i="7"/>
  <c r="F38" i="7"/>
  <c r="B38" i="7"/>
  <c r="F37" i="7"/>
  <c r="B37" i="7"/>
  <c r="F36" i="7"/>
  <c r="B36" i="7"/>
  <c r="F35" i="7"/>
  <c r="B35" i="7"/>
  <c r="F34" i="7"/>
  <c r="B34" i="7"/>
  <c r="F33" i="7"/>
  <c r="B33" i="7"/>
  <c r="F32" i="7"/>
  <c r="B32" i="7"/>
  <c r="F31" i="7"/>
  <c r="B31" i="7"/>
  <c r="F30" i="7"/>
  <c r="B30" i="7"/>
  <c r="F29" i="7"/>
  <c r="B29" i="7"/>
  <c r="F28" i="7"/>
  <c r="B28" i="7"/>
  <c r="F27" i="7"/>
  <c r="B27" i="7"/>
  <c r="F26" i="7"/>
  <c r="B26" i="7"/>
  <c r="F25" i="7"/>
  <c r="B25" i="7"/>
  <c r="F24" i="7"/>
  <c r="B24" i="7"/>
  <c r="F23" i="7"/>
  <c r="B23" i="7"/>
  <c r="F22" i="7"/>
  <c r="B22" i="7"/>
  <c r="F21" i="7"/>
  <c r="B21" i="7"/>
  <c r="F20" i="7"/>
  <c r="B20" i="7"/>
  <c r="F19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B6" i="7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F52" i="4"/>
  <c r="B52" i="4"/>
  <c r="F51" i="4"/>
  <c r="B51" i="4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40" i="4"/>
  <c r="B40" i="4"/>
  <c r="F39" i="4"/>
  <c r="B39" i="4"/>
  <c r="F38" i="4"/>
  <c r="B38" i="4"/>
  <c r="F37" i="4"/>
  <c r="B37" i="4"/>
  <c r="F36" i="4"/>
  <c r="B36" i="4"/>
  <c r="F35" i="4"/>
  <c r="B35" i="4"/>
  <c r="F34" i="4"/>
  <c r="B34" i="4"/>
  <c r="F33" i="4"/>
  <c r="B33" i="4"/>
  <c r="F32" i="4"/>
  <c r="B32" i="4"/>
  <c r="F31" i="4"/>
  <c r="B31" i="4"/>
  <c r="F30" i="4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F6" i="4"/>
  <c r="F28" i="1"/>
  <c r="F27" i="1"/>
  <c r="F6" i="1"/>
  <c r="F52" i="1"/>
  <c r="B50" i="1"/>
  <c r="B51" i="1"/>
  <c r="B5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H52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J52" i="2"/>
  <c r="L52" i="2"/>
  <c r="M52" i="2"/>
  <c r="N52" i="2"/>
  <c r="O52" i="2"/>
  <c r="P52" i="2"/>
  <c r="J51" i="2"/>
  <c r="L51" i="2"/>
  <c r="M51" i="2"/>
  <c r="N51" i="2"/>
  <c r="O51" i="2"/>
  <c r="P51" i="2"/>
  <c r="H27" i="14"/>
  <c r="H51" i="14"/>
  <c r="H50" i="14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N36" i="17" l="1"/>
  <c r="I36" i="17" s="1"/>
  <c r="C56" i="14"/>
  <c r="E5" i="17"/>
  <c r="E46" i="17"/>
  <c r="E50" i="17"/>
  <c r="E52" i="17"/>
  <c r="E8" i="17"/>
  <c r="N48" i="17"/>
  <c r="I48" i="17" s="1"/>
  <c r="N32" i="17"/>
  <c r="I32" i="17" s="1"/>
  <c r="N20" i="17"/>
  <c r="I20" i="17" s="1"/>
  <c r="N16" i="17"/>
  <c r="I16" i="17" s="1"/>
  <c r="N12" i="17"/>
  <c r="I12" i="17" s="1"/>
  <c r="N52" i="17"/>
  <c r="I52" i="17" s="1"/>
  <c r="N44" i="17"/>
  <c r="I44" i="17" s="1"/>
  <c r="N40" i="17"/>
  <c r="I40" i="17" s="1"/>
  <c r="N24" i="17"/>
  <c r="I24" i="17" s="1"/>
  <c r="N8" i="17"/>
  <c r="I8" i="17" s="1"/>
  <c r="N7" i="17"/>
  <c r="I7" i="17" s="1"/>
  <c r="N6" i="17"/>
  <c r="I6" i="17" s="1"/>
  <c r="N51" i="17"/>
  <c r="I51" i="17" s="1"/>
  <c r="N50" i="17"/>
  <c r="I50" i="17" s="1"/>
  <c r="N49" i="17"/>
  <c r="I49" i="17" s="1"/>
  <c r="N47" i="17"/>
  <c r="I47" i="17" s="1"/>
  <c r="N46" i="17"/>
  <c r="I46" i="17" s="1"/>
  <c r="N45" i="17"/>
  <c r="I45" i="17" s="1"/>
  <c r="N43" i="17"/>
  <c r="I43" i="17" s="1"/>
  <c r="N42" i="17"/>
  <c r="I42" i="17" s="1"/>
  <c r="N41" i="17"/>
  <c r="I41" i="17" s="1"/>
  <c r="N39" i="17"/>
  <c r="I39" i="17" s="1"/>
  <c r="N38" i="17"/>
  <c r="I38" i="17" s="1"/>
  <c r="N34" i="17"/>
  <c r="I34" i="17" s="1"/>
  <c r="N33" i="17"/>
  <c r="I33" i="17" s="1"/>
  <c r="N31" i="17"/>
  <c r="I31" i="17" s="1"/>
  <c r="N30" i="17"/>
  <c r="I30" i="17" s="1"/>
  <c r="N29" i="17"/>
  <c r="I29" i="17" s="1"/>
  <c r="N27" i="17"/>
  <c r="I27" i="17" s="1"/>
  <c r="N26" i="17"/>
  <c r="I26" i="17" s="1"/>
  <c r="N25" i="17"/>
  <c r="I25" i="17" s="1"/>
  <c r="N23" i="17"/>
  <c r="I23" i="17" s="1"/>
  <c r="N22" i="17"/>
  <c r="I22" i="17" s="1"/>
  <c r="N21" i="17"/>
  <c r="I21" i="17" s="1"/>
  <c r="N19" i="17"/>
  <c r="I19" i="17" s="1"/>
  <c r="N18" i="17"/>
  <c r="I18" i="17" s="1"/>
  <c r="N17" i="17"/>
  <c r="I17" i="17" s="1"/>
  <c r="N15" i="17"/>
  <c r="I15" i="17" s="1"/>
  <c r="N14" i="17"/>
  <c r="I14" i="17" s="1"/>
  <c r="N13" i="17"/>
  <c r="I13" i="17" s="1"/>
  <c r="N10" i="17"/>
  <c r="I10" i="17" s="1"/>
  <c r="N9" i="17"/>
  <c r="I9" i="17" s="1"/>
  <c r="F56" i="14"/>
  <c r="E16" i="17"/>
  <c r="E20" i="17"/>
  <c r="E24" i="17"/>
  <c r="E32" i="17"/>
  <c r="E36" i="17"/>
  <c r="E40" i="17"/>
  <c r="E48" i="17"/>
  <c r="AA54" i="17"/>
  <c r="E12" i="17"/>
  <c r="E28" i="17"/>
  <c r="E44" i="17"/>
  <c r="E6" i="17"/>
  <c r="E10" i="17"/>
  <c r="E14" i="17"/>
  <c r="E18" i="17"/>
  <c r="E22" i="17"/>
  <c r="E26" i="17"/>
  <c r="E30" i="17"/>
  <c r="E34" i="17"/>
  <c r="E38" i="17"/>
  <c r="E42" i="17"/>
  <c r="E7" i="17"/>
  <c r="E15" i="17"/>
  <c r="E19" i="17"/>
  <c r="E23" i="17"/>
  <c r="E27" i="17"/>
  <c r="E31" i="17"/>
  <c r="E39" i="17"/>
  <c r="E43" i="17"/>
  <c r="E47" i="17"/>
  <c r="E51" i="17"/>
  <c r="S54" i="17"/>
  <c r="W54" i="17"/>
  <c r="E49" i="17"/>
  <c r="E45" i="17"/>
  <c r="E41" i="17"/>
  <c r="E33" i="17"/>
  <c r="E29" i="17"/>
  <c r="E25" i="17"/>
  <c r="E21" i="17"/>
  <c r="E17" i="17"/>
  <c r="E13" i="17"/>
  <c r="E9" i="17"/>
  <c r="T54" i="17"/>
  <c r="C54" i="17"/>
  <c r="Q54" i="17"/>
  <c r="U54" i="17"/>
  <c r="Y54" i="17"/>
  <c r="P54" i="17"/>
  <c r="E60" i="17" s="1"/>
  <c r="X54" i="17"/>
  <c r="R54" i="17"/>
  <c r="V54" i="17"/>
  <c r="Z54" i="17"/>
  <c r="O54" i="2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4" i="2"/>
  <c r="I46" i="2"/>
  <c r="I54" i="17" l="1"/>
  <c r="N54" i="17"/>
  <c r="E54" i="17"/>
  <c r="Q55" i="2"/>
  <c r="I55" i="2"/>
  <c r="H42" i="14"/>
  <c r="O42" i="17" s="1"/>
  <c r="H23" i="14"/>
  <c r="H43" i="14"/>
  <c r="H7" i="14"/>
  <c r="H49" i="14"/>
  <c r="H48" i="14"/>
  <c r="H47" i="14"/>
  <c r="H46" i="14"/>
  <c r="H45" i="14"/>
  <c r="H44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6" i="14"/>
  <c r="H25" i="14"/>
  <c r="H24" i="14"/>
  <c r="H22" i="14"/>
  <c r="H21" i="14"/>
  <c r="H20" i="14"/>
  <c r="H34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6" i="14"/>
  <c r="F43" i="1"/>
  <c r="F2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4" i="1"/>
  <c r="F20" i="1"/>
  <c r="F21" i="1"/>
  <c r="F22" i="1"/>
  <c r="F23" i="1"/>
  <c r="F25" i="1"/>
  <c r="F26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O20" i="19" l="1"/>
  <c r="O20" i="17"/>
  <c r="O19" i="19"/>
  <c r="O54" i="19" s="1"/>
  <c r="O19" i="17"/>
  <c r="F65" i="17"/>
  <c r="H56" i="14"/>
  <c r="O43" i="17"/>
  <c r="E5" i="14"/>
  <c r="E7" i="14"/>
  <c r="E11" i="14"/>
  <c r="E15" i="14"/>
  <c r="E19" i="14"/>
  <c r="E23" i="14"/>
  <c r="E27" i="14"/>
  <c r="E31" i="14"/>
  <c r="E35" i="14"/>
  <c r="E39" i="14"/>
  <c r="E43" i="14"/>
  <c r="E47" i="14"/>
  <c r="E51" i="14"/>
  <c r="E8" i="14"/>
  <c r="E12" i="14"/>
  <c r="E16" i="14"/>
  <c r="E20" i="14"/>
  <c r="E24" i="14"/>
  <c r="E28" i="14"/>
  <c r="E32" i="14"/>
  <c r="E36" i="14"/>
  <c r="E40" i="14"/>
  <c r="E44" i="14"/>
  <c r="E48" i="14"/>
  <c r="E52" i="14"/>
  <c r="E9" i="14"/>
  <c r="E13" i="14"/>
  <c r="E17" i="14"/>
  <c r="E21" i="14"/>
  <c r="E25" i="14"/>
  <c r="E29" i="14"/>
  <c r="E33" i="14"/>
  <c r="E37" i="14"/>
  <c r="E41" i="14"/>
  <c r="E45" i="14"/>
  <c r="E49" i="14"/>
  <c r="E6" i="14"/>
  <c r="E10" i="14"/>
  <c r="E14" i="14"/>
  <c r="E18" i="14"/>
  <c r="E22" i="14"/>
  <c r="E26" i="14"/>
  <c r="E30" i="14"/>
  <c r="E34" i="14"/>
  <c r="E38" i="14"/>
  <c r="E42" i="14"/>
  <c r="E46" i="14"/>
  <c r="E50" i="14"/>
  <c r="O54" i="17" l="1"/>
  <c r="D30" i="1"/>
  <c r="D45" i="1"/>
  <c r="D13" i="1"/>
  <c r="D28" i="1"/>
  <c r="D12" i="1"/>
  <c r="D43" i="1"/>
  <c r="D27" i="1"/>
  <c r="D11" i="1"/>
  <c r="D42" i="1"/>
  <c r="D10" i="1"/>
  <c r="D25" i="1"/>
  <c r="D40" i="1"/>
  <c r="D24" i="1"/>
  <c r="D8" i="1"/>
  <c r="D39" i="1"/>
  <c r="D23" i="1"/>
  <c r="D7" i="1"/>
  <c r="D38" i="1"/>
  <c r="D22" i="1"/>
  <c r="D6" i="1"/>
  <c r="D37" i="1"/>
  <c r="D21" i="1"/>
  <c r="D52" i="1"/>
  <c r="D36" i="1"/>
  <c r="D20" i="1"/>
  <c r="D51" i="1"/>
  <c r="D35" i="1"/>
  <c r="D19" i="1"/>
  <c r="D46" i="1"/>
  <c r="D14" i="1"/>
  <c r="D29" i="1"/>
  <c r="D44" i="1"/>
  <c r="D26" i="1"/>
  <c r="D41" i="1"/>
  <c r="D9" i="1"/>
  <c r="D50" i="1"/>
  <c r="D34" i="1"/>
  <c r="D18" i="1"/>
  <c r="D49" i="1"/>
  <c r="D33" i="1"/>
  <c r="D17" i="1"/>
  <c r="D48" i="1"/>
  <c r="D32" i="1"/>
  <c r="D16" i="1"/>
  <c r="D47" i="1"/>
  <c r="D31" i="1"/>
  <c r="D15" i="1"/>
  <c r="E56" i="14"/>
  <c r="D5" i="1"/>
  <c r="D56" i="1" l="1"/>
  <c r="C52" i="1" s="1"/>
  <c r="C18" i="1"/>
  <c r="C45" i="1"/>
  <c r="C29" i="1"/>
  <c r="C30" i="1"/>
  <c r="C44" i="1"/>
  <c r="C28" i="1"/>
  <c r="C22" i="1"/>
  <c r="C43" i="1"/>
  <c r="C27" i="1"/>
  <c r="C38" i="1"/>
  <c r="C31" i="1"/>
  <c r="C10" i="1"/>
  <c r="C41" i="1"/>
  <c r="C25" i="1"/>
  <c r="C9" i="1"/>
  <c r="C14" i="1"/>
  <c r="C40" i="1"/>
  <c r="C24" i="1"/>
  <c r="C8" i="1"/>
  <c r="C5" i="1"/>
  <c r="C39" i="1"/>
  <c r="C23" i="1"/>
  <c r="C26" i="1"/>
  <c r="C17" i="1"/>
  <c r="C32" i="1"/>
  <c r="C34" i="1"/>
  <c r="C15" i="1"/>
  <c r="C42" i="1"/>
  <c r="C6" i="1"/>
  <c r="C37" i="1"/>
  <c r="C21" i="1"/>
  <c r="C50" i="1"/>
  <c r="D52" i="4"/>
  <c r="C36" i="1"/>
  <c r="C20" i="1"/>
  <c r="C46" i="1"/>
  <c r="C51" i="1"/>
  <c r="C35" i="1"/>
  <c r="C19" i="1"/>
  <c r="C49" i="1"/>
  <c r="C33" i="1"/>
  <c r="C48" i="1"/>
  <c r="C16" i="1"/>
  <c r="C47" i="1"/>
  <c r="D19" i="4" l="1"/>
  <c r="D21" i="4"/>
  <c r="D26" i="4"/>
  <c r="D31" i="4"/>
  <c r="D44" i="4"/>
  <c r="D48" i="4"/>
  <c r="D36" i="4"/>
  <c r="D34" i="4"/>
  <c r="D24" i="4"/>
  <c r="D38" i="4"/>
  <c r="D30" i="4"/>
  <c r="D18" i="4"/>
  <c r="D33" i="4"/>
  <c r="D51" i="4"/>
  <c r="D32" i="4"/>
  <c r="D39" i="4"/>
  <c r="D40" i="4"/>
  <c r="D41" i="4"/>
  <c r="C11" i="1"/>
  <c r="C12" i="1"/>
  <c r="C13" i="1"/>
  <c r="C7" i="1"/>
  <c r="D16" i="4"/>
  <c r="D20" i="4"/>
  <c r="D15" i="4"/>
  <c r="D8" i="4"/>
  <c r="D9" i="4"/>
  <c r="D43" i="4"/>
  <c r="D45" i="4"/>
  <c r="D35" i="4"/>
  <c r="D37" i="4"/>
  <c r="D23" i="4"/>
  <c r="D25" i="4"/>
  <c r="D22" i="4"/>
  <c r="D47" i="4"/>
  <c r="D49" i="4"/>
  <c r="D46" i="4"/>
  <c r="D50" i="4"/>
  <c r="D42" i="4"/>
  <c r="D17" i="4"/>
  <c r="D14" i="4"/>
  <c r="D10" i="4"/>
  <c r="D27" i="4"/>
  <c r="D28" i="4"/>
  <c r="D29" i="4"/>
  <c r="D5" i="4"/>
  <c r="D6" i="4"/>
  <c r="D11" i="4" l="1"/>
  <c r="D13" i="4"/>
  <c r="D12" i="4"/>
  <c r="C56" i="1"/>
  <c r="D7" i="4"/>
  <c r="D56" i="4" l="1"/>
  <c r="C9" i="4" s="1"/>
  <c r="D9" i="5"/>
  <c r="C51" i="4"/>
  <c r="C18" i="4"/>
  <c r="C11" i="4"/>
  <c r="C48" i="4"/>
  <c r="C43" i="4"/>
  <c r="C36" i="4"/>
  <c r="C5" i="4"/>
  <c r="C32" i="4"/>
  <c r="C35" i="4"/>
  <c r="C50" i="4"/>
  <c r="C37" i="4"/>
  <c r="C16" i="4"/>
  <c r="C27" i="4"/>
  <c r="C34" i="4"/>
  <c r="C21" i="4"/>
  <c r="C40" i="4"/>
  <c r="C8" i="4"/>
  <c r="C39" i="4"/>
  <c r="C23" i="4"/>
  <c r="C7" i="4"/>
  <c r="C28" i="4"/>
  <c r="C46" i="4"/>
  <c r="C30" i="4"/>
  <c r="C14" i="4"/>
  <c r="C49" i="4"/>
  <c r="C33" i="4"/>
  <c r="C17" i="4"/>
  <c r="C19" i="4"/>
  <c r="C52" i="4"/>
  <c r="C20" i="4"/>
  <c r="C42" i="4"/>
  <c r="C26" i="4"/>
  <c r="C10" i="4"/>
  <c r="C45" i="4"/>
  <c r="C29" i="4"/>
  <c r="C13" i="4"/>
  <c r="C24" i="4"/>
  <c r="C47" i="4"/>
  <c r="C31" i="4"/>
  <c r="C15" i="4"/>
  <c r="C44" i="4"/>
  <c r="C12" i="4"/>
  <c r="C38" i="4"/>
  <c r="C22" i="4"/>
  <c r="C6" i="4"/>
  <c r="C41" i="4"/>
  <c r="C25" i="4"/>
  <c r="D12" i="5" l="1"/>
  <c r="D20" i="5"/>
  <c r="D46" i="5"/>
  <c r="D50" i="5"/>
  <c r="D18" i="5"/>
  <c r="D44" i="5"/>
  <c r="D10" i="5"/>
  <c r="D49" i="5"/>
  <c r="D8" i="5"/>
  <c r="D35" i="5"/>
  <c r="D51" i="5"/>
  <c r="D22" i="5"/>
  <c r="D15" i="5"/>
  <c r="D13" i="5"/>
  <c r="D26" i="5"/>
  <c r="D19" i="5"/>
  <c r="D14" i="5"/>
  <c r="D7" i="5"/>
  <c r="D40" i="5"/>
  <c r="D16" i="5"/>
  <c r="D32" i="5"/>
  <c r="D48" i="5"/>
  <c r="D41" i="5"/>
  <c r="D47" i="5"/>
  <c r="D45" i="5"/>
  <c r="D33" i="5"/>
  <c r="D39" i="5"/>
  <c r="D34" i="5"/>
  <c r="D36" i="5"/>
  <c r="D6" i="5"/>
  <c r="D24" i="5"/>
  <c r="D52" i="5"/>
  <c r="D28" i="5"/>
  <c r="D27" i="5"/>
  <c r="D43" i="5"/>
  <c r="D25" i="5"/>
  <c r="D38" i="5"/>
  <c r="D31" i="5"/>
  <c r="D29" i="5"/>
  <c r="D42" i="5"/>
  <c r="D17" i="5"/>
  <c r="D30" i="5"/>
  <c r="D23" i="5"/>
  <c r="D21" i="5"/>
  <c r="D37" i="5"/>
  <c r="D5" i="5"/>
  <c r="D56" i="5" s="1"/>
  <c r="C14" i="5" s="1"/>
  <c r="D14" i="7" s="1"/>
  <c r="D11" i="5"/>
  <c r="C56" i="4"/>
  <c r="C42" i="5" l="1"/>
  <c r="C41" i="5"/>
  <c r="C5" i="5"/>
  <c r="C10" i="5"/>
  <c r="C39" i="5"/>
  <c r="C27" i="5"/>
  <c r="C45" i="5"/>
  <c r="C12" i="5"/>
  <c r="C9" i="5"/>
  <c r="C38" i="5"/>
  <c r="C21" i="5"/>
  <c r="C51" i="5"/>
  <c r="C19" i="5"/>
  <c r="C34" i="5"/>
  <c r="C37" i="5"/>
  <c r="C32" i="5"/>
  <c r="C29" i="5"/>
  <c r="C33" i="5"/>
  <c r="C23" i="5"/>
  <c r="C30" i="5"/>
  <c r="C44" i="5"/>
  <c r="C43" i="5"/>
  <c r="C11" i="5"/>
  <c r="C26" i="5"/>
  <c r="C49" i="5"/>
  <c r="C24" i="5"/>
  <c r="C52" i="5"/>
  <c r="C48" i="5"/>
  <c r="C15" i="5"/>
  <c r="C22" i="5"/>
  <c r="C28" i="5"/>
  <c r="C35" i="5"/>
  <c r="C50" i="5"/>
  <c r="C18" i="5"/>
  <c r="C25" i="5"/>
  <c r="C16" i="5"/>
  <c r="C20" i="5"/>
  <c r="C47" i="5"/>
  <c r="C7" i="5"/>
  <c r="C6" i="5"/>
  <c r="C13" i="5"/>
  <c r="C40" i="5"/>
  <c r="C8" i="5"/>
  <c r="C36" i="5"/>
  <c r="C17" i="5"/>
  <c r="C31" i="5"/>
  <c r="C46" i="5"/>
  <c r="D8" i="7" l="1"/>
  <c r="D7" i="7"/>
  <c r="D25" i="7"/>
  <c r="D52" i="7"/>
  <c r="D11" i="7"/>
  <c r="D23" i="7"/>
  <c r="D37" i="7"/>
  <c r="D21" i="7"/>
  <c r="D45" i="7"/>
  <c r="D31" i="7"/>
  <c r="D40" i="7"/>
  <c r="D47" i="7"/>
  <c r="D18" i="7"/>
  <c r="D22" i="7"/>
  <c r="D24" i="7"/>
  <c r="D43" i="7"/>
  <c r="D33" i="7"/>
  <c r="D34" i="7"/>
  <c r="D38" i="7"/>
  <c r="D27" i="7"/>
  <c r="D41" i="7"/>
  <c r="D17" i="7"/>
  <c r="D13" i="7"/>
  <c r="D20" i="7"/>
  <c r="D50" i="7"/>
  <c r="D15" i="7"/>
  <c r="D49" i="7"/>
  <c r="D44" i="7"/>
  <c r="D29" i="7"/>
  <c r="D19" i="7"/>
  <c r="D9" i="7"/>
  <c r="D39" i="7"/>
  <c r="D42" i="7"/>
  <c r="D46" i="7"/>
  <c r="D28" i="7"/>
  <c r="D5" i="7"/>
  <c r="D36" i="7"/>
  <c r="D6" i="7"/>
  <c r="D16" i="7"/>
  <c r="D35" i="7"/>
  <c r="D48" i="7"/>
  <c r="D26" i="7"/>
  <c r="D30" i="7"/>
  <c r="D32" i="7"/>
  <c r="D51" i="7"/>
  <c r="D12" i="7"/>
  <c r="D10" i="7"/>
  <c r="C56" i="5"/>
  <c r="D56" i="7" l="1"/>
  <c r="C5" i="7" s="1"/>
  <c r="C47" i="7"/>
  <c r="C50" i="7"/>
  <c r="C27" i="7"/>
  <c r="C43" i="7"/>
  <c r="C49" i="7"/>
  <c r="C17" i="7"/>
  <c r="C23" i="7"/>
  <c r="C34" i="7"/>
  <c r="C48" i="7"/>
  <c r="C51" i="7"/>
  <c r="C18" i="7"/>
  <c r="C32" i="7"/>
  <c r="C33" i="7"/>
  <c r="C16" i="7"/>
  <c r="C11" i="7"/>
  <c r="C35" i="7"/>
  <c r="C15" i="7"/>
  <c r="C42" i="7"/>
  <c r="C26" i="7"/>
  <c r="C10" i="7"/>
  <c r="C41" i="7"/>
  <c r="C25" i="7"/>
  <c r="C9" i="7"/>
  <c r="C40" i="7"/>
  <c r="C24" i="7"/>
  <c r="C8" i="7"/>
  <c r="C31" i="7"/>
  <c r="C46" i="7"/>
  <c r="C30" i="7"/>
  <c r="C14" i="7"/>
  <c r="C45" i="7"/>
  <c r="C29" i="7"/>
  <c r="C13" i="7"/>
  <c r="C44" i="7"/>
  <c r="C28" i="7"/>
  <c r="C12" i="7"/>
  <c r="C39" i="7"/>
  <c r="C19" i="7"/>
  <c r="C7" i="7"/>
  <c r="C38" i="7"/>
  <c r="C22" i="7"/>
  <c r="C6" i="7"/>
  <c r="C37" i="7"/>
  <c r="C21" i="7"/>
  <c r="C52" i="7"/>
  <c r="C36" i="7"/>
  <c r="C20" i="7"/>
  <c r="D5" i="8"/>
  <c r="D37" i="8" l="1"/>
  <c r="D7" i="8"/>
  <c r="D45" i="8"/>
  <c r="D31" i="8"/>
  <c r="D26" i="8"/>
  <c r="D11" i="8"/>
  <c r="D18" i="8"/>
  <c r="D27" i="8"/>
  <c r="D36" i="8"/>
  <c r="D19" i="8"/>
  <c r="D44" i="8"/>
  <c r="D14" i="8"/>
  <c r="D8" i="8"/>
  <c r="D25" i="8"/>
  <c r="D42" i="8"/>
  <c r="D16" i="8"/>
  <c r="D51" i="8"/>
  <c r="D17" i="8"/>
  <c r="D50" i="8"/>
  <c r="D52" i="8"/>
  <c r="D22" i="8"/>
  <c r="D39" i="8"/>
  <c r="D13" i="8"/>
  <c r="D30" i="8"/>
  <c r="D24" i="8"/>
  <c r="D41" i="8"/>
  <c r="D15" i="8"/>
  <c r="D33" i="8"/>
  <c r="D48" i="8"/>
  <c r="D49" i="8"/>
  <c r="D47" i="8"/>
  <c r="D20" i="8"/>
  <c r="D28" i="8"/>
  <c r="D9" i="8"/>
  <c r="D23" i="8"/>
  <c r="D6" i="8"/>
  <c r="D56" i="8" s="1"/>
  <c r="C10" i="8" s="1"/>
  <c r="D10" i="9" s="1"/>
  <c r="D21" i="8"/>
  <c r="D38" i="8"/>
  <c r="D12" i="8"/>
  <c r="D29" i="8"/>
  <c r="D46" i="8"/>
  <c r="D40" i="8"/>
  <c r="D10" i="8"/>
  <c r="D35" i="8"/>
  <c r="D32" i="8"/>
  <c r="D34" i="8"/>
  <c r="D43" i="8"/>
  <c r="C56" i="7"/>
  <c r="C37" i="8" l="1"/>
  <c r="C41" i="8"/>
  <c r="C9" i="8"/>
  <c r="C24" i="8"/>
  <c r="C39" i="8"/>
  <c r="C7" i="8"/>
  <c r="C22" i="8"/>
  <c r="C29" i="8"/>
  <c r="C28" i="8"/>
  <c r="C51" i="8"/>
  <c r="C19" i="8"/>
  <c r="C34" i="8"/>
  <c r="C21" i="8"/>
  <c r="C48" i="8"/>
  <c r="C31" i="8"/>
  <c r="C46" i="8"/>
  <c r="C13" i="8"/>
  <c r="C43" i="8"/>
  <c r="C26" i="8"/>
  <c r="C52" i="8"/>
  <c r="C25" i="8"/>
  <c r="C40" i="8"/>
  <c r="C8" i="8"/>
  <c r="C23" i="8"/>
  <c r="C38" i="8"/>
  <c r="C6" i="8"/>
  <c r="C44" i="8"/>
  <c r="C12" i="8"/>
  <c r="C35" i="8"/>
  <c r="C50" i="8"/>
  <c r="C18" i="8"/>
  <c r="C33" i="8"/>
  <c r="C16" i="8"/>
  <c r="C14" i="8"/>
  <c r="C20" i="8"/>
  <c r="C11" i="8"/>
  <c r="C49" i="8"/>
  <c r="C17" i="8"/>
  <c r="C32" i="8"/>
  <c r="C47" i="8"/>
  <c r="C15" i="8"/>
  <c r="C30" i="8"/>
  <c r="C45" i="8"/>
  <c r="C36" i="8"/>
  <c r="C5" i="8"/>
  <c r="C27" i="8"/>
  <c r="C42" i="8"/>
  <c r="D15" i="9" l="1"/>
  <c r="D16" i="9"/>
  <c r="D25" i="9"/>
  <c r="D21" i="9"/>
  <c r="D37" i="9"/>
  <c r="D36" i="9"/>
  <c r="D42" i="9"/>
  <c r="D45" i="9"/>
  <c r="D32" i="9"/>
  <c r="D20" i="9"/>
  <c r="D18" i="9"/>
  <c r="D44" i="9"/>
  <c r="D8" i="9"/>
  <c r="D26" i="9"/>
  <c r="D31" i="9"/>
  <c r="D19" i="9"/>
  <c r="D22" i="9"/>
  <c r="D9" i="9"/>
  <c r="D27" i="9"/>
  <c r="D30" i="9"/>
  <c r="D17" i="9"/>
  <c r="D14" i="9"/>
  <c r="D50" i="9"/>
  <c r="D6" i="9"/>
  <c r="D40" i="9"/>
  <c r="D43" i="9"/>
  <c r="D48" i="9"/>
  <c r="D51" i="9"/>
  <c r="D7" i="9"/>
  <c r="D41" i="9"/>
  <c r="D49" i="9"/>
  <c r="D35" i="9"/>
  <c r="D38" i="9"/>
  <c r="D13" i="9"/>
  <c r="D28" i="9"/>
  <c r="D39" i="9"/>
  <c r="D5" i="9"/>
  <c r="D47" i="9"/>
  <c r="D11" i="9"/>
  <c r="D33" i="9"/>
  <c r="D12" i="9"/>
  <c r="D23" i="9"/>
  <c r="D52" i="9"/>
  <c r="D46" i="9"/>
  <c r="D34" i="9"/>
  <c r="D29" i="9"/>
  <c r="D24" i="9"/>
  <c r="C56" i="8"/>
  <c r="D56" i="9" l="1"/>
  <c r="C10" i="9" s="1"/>
  <c r="D10" i="10"/>
  <c r="C32" i="9"/>
  <c r="C5" i="9"/>
  <c r="C46" i="9"/>
  <c r="C45" i="9"/>
  <c r="C14" i="9"/>
  <c r="C35" i="9"/>
  <c r="C48" i="9"/>
  <c r="C31" i="9"/>
  <c r="C52" i="9"/>
  <c r="C34" i="9"/>
  <c r="C8" i="9"/>
  <c r="C23" i="9"/>
  <c r="C38" i="9"/>
  <c r="C6" i="9"/>
  <c r="C24" i="9"/>
  <c r="C36" i="9"/>
  <c r="C33" i="9"/>
  <c r="C29" i="9"/>
  <c r="C19" i="9"/>
  <c r="C26" i="9"/>
  <c r="C41" i="9"/>
  <c r="C47" i="9"/>
  <c r="C15" i="9"/>
  <c r="C30" i="9"/>
  <c r="C49" i="9"/>
  <c r="C37" i="9"/>
  <c r="C28" i="9"/>
  <c r="C17" i="9"/>
  <c r="C51" i="9"/>
  <c r="C11" i="9"/>
  <c r="C18" i="9"/>
  <c r="C9" i="9"/>
  <c r="C39" i="9"/>
  <c r="C7" i="9"/>
  <c r="C22" i="9"/>
  <c r="C25" i="9"/>
  <c r="C21" i="9"/>
  <c r="C20" i="9"/>
  <c r="C16" i="9"/>
  <c r="C43" i="9"/>
  <c r="C50" i="9"/>
  <c r="C44" i="9"/>
  <c r="C12" i="9"/>
  <c r="C40" i="9"/>
  <c r="C13" i="9"/>
  <c r="C27" i="9"/>
  <c r="C42" i="9"/>
  <c r="D40" i="10" l="1"/>
  <c r="D17" i="10"/>
  <c r="D42" i="10"/>
  <c r="D16" i="10"/>
  <c r="D18" i="10"/>
  <c r="D15" i="10"/>
  <c r="D27" i="10"/>
  <c r="D44" i="10"/>
  <c r="D20" i="10"/>
  <c r="D7" i="10"/>
  <c r="D11" i="10"/>
  <c r="D37" i="10"/>
  <c r="D47" i="10"/>
  <c r="D29" i="10"/>
  <c r="D6" i="10"/>
  <c r="D34" i="10"/>
  <c r="D35" i="10"/>
  <c r="D5" i="10"/>
  <c r="D56" i="10" s="1"/>
  <c r="C47" i="10" s="1"/>
  <c r="D47" i="6" s="1"/>
  <c r="D13" i="10"/>
  <c r="D50" i="10"/>
  <c r="D21" i="10"/>
  <c r="D39" i="10"/>
  <c r="D51" i="10"/>
  <c r="D49" i="10"/>
  <c r="D41" i="10"/>
  <c r="D33" i="10"/>
  <c r="D38" i="10"/>
  <c r="D52" i="10"/>
  <c r="D14" i="10"/>
  <c r="D32" i="10"/>
  <c r="D43" i="10"/>
  <c r="D25" i="10"/>
  <c r="D9" i="10"/>
  <c r="D30" i="10"/>
  <c r="D26" i="10"/>
  <c r="D36" i="10"/>
  <c r="D23" i="10"/>
  <c r="D31" i="10"/>
  <c r="D45" i="10"/>
  <c r="D12" i="10"/>
  <c r="D22" i="10"/>
  <c r="D28" i="10"/>
  <c r="D19" i="10"/>
  <c r="D24" i="10"/>
  <c r="D8" i="10"/>
  <c r="D48" i="10"/>
  <c r="D46" i="10"/>
  <c r="C56" i="9"/>
  <c r="C42" i="10" l="1"/>
  <c r="C43" i="10"/>
  <c r="C49" i="10"/>
  <c r="C10" i="10"/>
  <c r="C11" i="10"/>
  <c r="C51" i="10"/>
  <c r="C28" i="10"/>
  <c r="C48" i="10"/>
  <c r="C23" i="10"/>
  <c r="C16" i="10"/>
  <c r="C26" i="10"/>
  <c r="C19" i="10"/>
  <c r="C8" i="10"/>
  <c r="C36" i="10"/>
  <c r="C25" i="10"/>
  <c r="C31" i="10"/>
  <c r="C17" i="10"/>
  <c r="C34" i="10"/>
  <c r="C27" i="10"/>
  <c r="C9" i="10"/>
  <c r="C21" i="10"/>
  <c r="C22" i="10"/>
  <c r="C33" i="10"/>
  <c r="C29" i="10"/>
  <c r="C38" i="10"/>
  <c r="C12" i="10"/>
  <c r="C44" i="10"/>
  <c r="C37" i="10"/>
  <c r="C6" i="10"/>
  <c r="C46" i="10"/>
  <c r="C39" i="10"/>
  <c r="C40" i="10"/>
  <c r="C18" i="10"/>
  <c r="C50" i="10"/>
  <c r="C35" i="10"/>
  <c r="C32" i="10"/>
  <c r="C20" i="10"/>
  <c r="C52" i="10"/>
  <c r="C24" i="10"/>
  <c r="C14" i="10"/>
  <c r="C7" i="10"/>
  <c r="C5" i="10"/>
  <c r="C13" i="10"/>
  <c r="C45" i="10"/>
  <c r="C41" i="10"/>
  <c r="C30" i="10"/>
  <c r="C15" i="10"/>
  <c r="D15" i="6" l="1"/>
  <c r="D24" i="6"/>
  <c r="D35" i="6"/>
  <c r="D44" i="6"/>
  <c r="D33" i="6"/>
  <c r="D25" i="6"/>
  <c r="D26" i="6"/>
  <c r="D28" i="6"/>
  <c r="D49" i="6"/>
  <c r="D30" i="6"/>
  <c r="D5" i="6"/>
  <c r="D52" i="6"/>
  <c r="D50" i="6"/>
  <c r="D46" i="6"/>
  <c r="D12" i="6"/>
  <c r="D22" i="6"/>
  <c r="D34" i="6"/>
  <c r="D36" i="6"/>
  <c r="D16" i="6"/>
  <c r="D51" i="6"/>
  <c r="D43" i="6"/>
  <c r="D41" i="6"/>
  <c r="D7" i="6"/>
  <c r="D20" i="6"/>
  <c r="D18" i="6"/>
  <c r="D6" i="6"/>
  <c r="D38" i="6"/>
  <c r="D21" i="6"/>
  <c r="D17" i="6"/>
  <c r="D8" i="6"/>
  <c r="D23" i="6"/>
  <c r="D11" i="6"/>
  <c r="D42" i="6"/>
  <c r="D13" i="6"/>
  <c r="D39" i="6"/>
  <c r="D27" i="6"/>
  <c r="D45" i="6"/>
  <c r="D14" i="6"/>
  <c r="D32" i="6"/>
  <c r="D40" i="6"/>
  <c r="D37" i="6"/>
  <c r="D29" i="6"/>
  <c r="D9" i="6"/>
  <c r="D31" i="6"/>
  <c r="D19" i="6"/>
  <c r="D48" i="6"/>
  <c r="D10" i="6"/>
  <c r="D56" i="6"/>
  <c r="C6" i="6" s="1"/>
  <c r="D6" i="3" s="1"/>
  <c r="C56" i="10"/>
  <c r="C20" i="6" l="1"/>
  <c r="C45" i="6"/>
  <c r="C10" i="6"/>
  <c r="C28" i="6"/>
  <c r="C27" i="6"/>
  <c r="C32" i="6"/>
  <c r="C50" i="6"/>
  <c r="C13" i="6"/>
  <c r="C5" i="6"/>
  <c r="C42" i="6"/>
  <c r="C49" i="6"/>
  <c r="C31" i="6"/>
  <c r="C35" i="6"/>
  <c r="C18" i="6"/>
  <c r="C17" i="6"/>
  <c r="C30" i="6"/>
  <c r="C21" i="6"/>
  <c r="C51" i="6"/>
  <c r="C19" i="6"/>
  <c r="C34" i="6"/>
  <c r="C29" i="6"/>
  <c r="C41" i="6"/>
  <c r="C9" i="6"/>
  <c r="C24" i="6"/>
  <c r="C36" i="6"/>
  <c r="C15" i="6"/>
  <c r="C22" i="6"/>
  <c r="C44" i="6"/>
  <c r="C43" i="6"/>
  <c r="C11" i="6"/>
  <c r="C26" i="6"/>
  <c r="C52" i="6"/>
  <c r="C33" i="6"/>
  <c r="C48" i="6"/>
  <c r="C16" i="6"/>
  <c r="C47" i="6"/>
  <c r="C7" i="6"/>
  <c r="C14" i="6"/>
  <c r="C25" i="6"/>
  <c r="C40" i="6"/>
  <c r="C37" i="6"/>
  <c r="C39" i="6"/>
  <c r="C46" i="6"/>
  <c r="C8" i="6"/>
  <c r="C12" i="6"/>
  <c r="C23" i="6"/>
  <c r="C38" i="6"/>
  <c r="D40" i="3" l="1"/>
  <c r="D47" i="3"/>
  <c r="D44" i="3"/>
  <c r="D24" i="3"/>
  <c r="D30" i="3"/>
  <c r="D31" i="3"/>
  <c r="D28" i="3"/>
  <c r="D38" i="3"/>
  <c r="D25" i="3"/>
  <c r="D26" i="3"/>
  <c r="D22" i="3"/>
  <c r="D9" i="3"/>
  <c r="D19" i="3"/>
  <c r="D17" i="3"/>
  <c r="D49" i="3"/>
  <c r="D50" i="3"/>
  <c r="D10" i="3"/>
  <c r="D23" i="3"/>
  <c r="D39" i="3"/>
  <c r="D14" i="3"/>
  <c r="D48" i="3"/>
  <c r="D11" i="3"/>
  <c r="D15" i="3"/>
  <c r="D41" i="3"/>
  <c r="D51" i="3"/>
  <c r="D18" i="3"/>
  <c r="D42" i="3"/>
  <c r="D32" i="3"/>
  <c r="D45" i="3"/>
  <c r="D8" i="3"/>
  <c r="D52" i="3"/>
  <c r="D34" i="3"/>
  <c r="D13" i="3"/>
  <c r="D46" i="3"/>
  <c r="D16" i="3"/>
  <c r="D12" i="3"/>
  <c r="D37" i="3"/>
  <c r="D7" i="3"/>
  <c r="D56" i="3" s="1"/>
  <c r="C40" i="3" s="1"/>
  <c r="D40" i="12" s="1"/>
  <c r="D33" i="3"/>
  <c r="D43" i="3"/>
  <c r="D36" i="3"/>
  <c r="D29" i="3"/>
  <c r="D21" i="3"/>
  <c r="D35" i="3"/>
  <c r="D5" i="3"/>
  <c r="D27" i="3"/>
  <c r="D20" i="3"/>
  <c r="C56" i="6"/>
  <c r="C33" i="3" l="1"/>
  <c r="C26" i="3"/>
  <c r="C15" i="3"/>
  <c r="C12" i="3"/>
  <c r="C13" i="3"/>
  <c r="C20" i="3"/>
  <c r="C11" i="3"/>
  <c r="C28" i="3"/>
  <c r="C43" i="3"/>
  <c r="C9" i="3"/>
  <c r="C49" i="3"/>
  <c r="C34" i="3"/>
  <c r="C19" i="3"/>
  <c r="C51" i="3"/>
  <c r="C22" i="3"/>
  <c r="C29" i="3"/>
  <c r="C46" i="3"/>
  <c r="C25" i="3"/>
  <c r="C31" i="3"/>
  <c r="C38" i="3"/>
  <c r="C50" i="3"/>
  <c r="C32" i="3"/>
  <c r="C27" i="3"/>
  <c r="C42" i="3"/>
  <c r="C10" i="3"/>
  <c r="C37" i="3"/>
  <c r="C14" i="3"/>
  <c r="C30" i="3"/>
  <c r="C39" i="3"/>
  <c r="C6" i="3"/>
  <c r="C17" i="3"/>
  <c r="C44" i="3"/>
  <c r="C5" i="3"/>
  <c r="C35" i="3"/>
  <c r="C36" i="3"/>
  <c r="C24" i="3"/>
  <c r="C45" i="3"/>
  <c r="C16" i="3"/>
  <c r="C7" i="3"/>
  <c r="C47" i="3"/>
  <c r="C8" i="3"/>
  <c r="C21" i="3"/>
  <c r="C18" i="3"/>
  <c r="C48" i="3"/>
  <c r="C41" i="3"/>
  <c r="C23" i="3"/>
  <c r="C52" i="3"/>
  <c r="D41" i="12" l="1"/>
  <c r="D45" i="12"/>
  <c r="D10" i="12"/>
  <c r="D19" i="12"/>
  <c r="D33" i="12"/>
  <c r="D52" i="12"/>
  <c r="D18" i="12"/>
  <c r="D7" i="12"/>
  <c r="D36" i="12"/>
  <c r="D17" i="12"/>
  <c r="D14" i="12"/>
  <c r="D27" i="12"/>
  <c r="D31" i="12"/>
  <c r="D22" i="12"/>
  <c r="D49" i="12"/>
  <c r="D11" i="12"/>
  <c r="D15" i="12"/>
  <c r="D23" i="12"/>
  <c r="D21" i="12"/>
  <c r="D16" i="12"/>
  <c r="D35" i="12"/>
  <c r="D6" i="12"/>
  <c r="D37" i="12"/>
  <c r="D32" i="12"/>
  <c r="D25" i="12"/>
  <c r="D51" i="12"/>
  <c r="D9" i="12"/>
  <c r="D20" i="12"/>
  <c r="D26" i="12"/>
  <c r="D8" i="12"/>
  <c r="D5" i="12"/>
  <c r="D39" i="12"/>
  <c r="D50" i="12"/>
  <c r="D46" i="12"/>
  <c r="D43" i="12"/>
  <c r="D13" i="12"/>
  <c r="D48" i="12"/>
  <c r="D47" i="12"/>
  <c r="D24" i="12"/>
  <c r="D44" i="12"/>
  <c r="D30" i="12"/>
  <c r="D42" i="12"/>
  <c r="D38" i="12"/>
  <c r="D29" i="12"/>
  <c r="D34" i="12"/>
  <c r="D28" i="12"/>
  <c r="D12" i="12"/>
  <c r="C56" i="3"/>
  <c r="D56" i="12" l="1"/>
  <c r="C8" i="12" s="1"/>
  <c r="D8" i="11"/>
  <c r="C14" i="12"/>
  <c r="C29" i="12"/>
  <c r="C22" i="12"/>
  <c r="C32" i="12"/>
  <c r="C48" i="12"/>
  <c r="C9" i="12"/>
  <c r="C34" i="12"/>
  <c r="C47" i="12"/>
  <c r="C37" i="12"/>
  <c r="C41" i="12"/>
  <c r="C19" i="12"/>
  <c r="C33" i="12"/>
  <c r="C11" i="12"/>
  <c r="C15" i="12"/>
  <c r="C16" i="12"/>
  <c r="C36" i="12"/>
  <c r="C39" i="12"/>
  <c r="C51" i="12"/>
  <c r="C45" i="12"/>
  <c r="C21" i="12"/>
  <c r="C13" i="12"/>
  <c r="C25" i="12"/>
  <c r="C50" i="12"/>
  <c r="C38" i="12"/>
  <c r="C6" i="12"/>
  <c r="C40" i="12"/>
  <c r="C27" i="12"/>
  <c r="C23" i="12"/>
  <c r="C52" i="12"/>
  <c r="C35" i="12"/>
  <c r="C28" i="12"/>
  <c r="C7" i="12"/>
  <c r="C44" i="12"/>
  <c r="C43" i="12"/>
  <c r="C18" i="12"/>
  <c r="C49" i="12"/>
  <c r="C31" i="12"/>
  <c r="C42" i="12"/>
  <c r="C20" i="12"/>
  <c r="C26" i="12"/>
  <c r="C24" i="12"/>
  <c r="C12" i="12"/>
  <c r="C46" i="12"/>
  <c r="C17" i="12"/>
  <c r="C30" i="12"/>
  <c r="C5" i="12"/>
  <c r="C10" i="12"/>
  <c r="D7" i="11" l="1"/>
  <c r="D46" i="11"/>
  <c r="D28" i="11"/>
  <c r="D5" i="11"/>
  <c r="D12" i="11"/>
  <c r="D42" i="11"/>
  <c r="D43" i="11"/>
  <c r="D35" i="11"/>
  <c r="D40" i="11"/>
  <c r="D25" i="11"/>
  <c r="D51" i="11"/>
  <c r="D15" i="11"/>
  <c r="D41" i="11"/>
  <c r="D9" i="11"/>
  <c r="D29" i="11"/>
  <c r="D30" i="11"/>
  <c r="D24" i="11"/>
  <c r="D31" i="11"/>
  <c r="D44" i="11"/>
  <c r="D52" i="11"/>
  <c r="D6" i="11"/>
  <c r="D13" i="11"/>
  <c r="D39" i="11"/>
  <c r="D11" i="11"/>
  <c r="D37" i="11"/>
  <c r="D48" i="11"/>
  <c r="D14" i="11"/>
  <c r="D17" i="11"/>
  <c r="D26" i="11"/>
  <c r="D49" i="11"/>
  <c r="D23" i="11"/>
  <c r="D38" i="11"/>
  <c r="D21" i="11"/>
  <c r="D36" i="11"/>
  <c r="D33" i="11"/>
  <c r="D47" i="11"/>
  <c r="D32" i="11"/>
  <c r="D10" i="11"/>
  <c r="D20" i="11"/>
  <c r="D18" i="11"/>
  <c r="D27" i="11"/>
  <c r="D50" i="11"/>
  <c r="D45" i="11"/>
  <c r="D16" i="11"/>
  <c r="D19" i="11"/>
  <c r="D34" i="11"/>
  <c r="D22" i="11"/>
  <c r="D56" i="11"/>
  <c r="C21" i="11" s="1"/>
  <c r="F21" i="19" s="1"/>
  <c r="H21" i="19" s="1"/>
  <c r="J21" i="19" s="1"/>
  <c r="C56" i="12"/>
  <c r="C34" i="11" l="1"/>
  <c r="C37" i="11"/>
  <c r="F37" i="19" s="1"/>
  <c r="H37" i="19" s="1"/>
  <c r="J37" i="19" s="1"/>
  <c r="C18" i="11"/>
  <c r="C29" i="11"/>
  <c r="C19" i="11"/>
  <c r="C15" i="11"/>
  <c r="C28" i="11"/>
  <c r="C32" i="11"/>
  <c r="C40" i="11"/>
  <c r="C6" i="11"/>
  <c r="C31" i="11"/>
  <c r="C20" i="11"/>
  <c r="C41" i="11"/>
  <c r="C48" i="11"/>
  <c r="C22" i="11"/>
  <c r="C17" i="11"/>
  <c r="C10" i="11"/>
  <c r="C50" i="11"/>
  <c r="C43" i="11"/>
  <c r="C24" i="11"/>
  <c r="C7" i="11"/>
  <c r="C36" i="11"/>
  <c r="C9" i="11"/>
  <c r="C35" i="11"/>
  <c r="F35" i="19" s="1"/>
  <c r="H35" i="19" s="1"/>
  <c r="J35" i="19" s="1"/>
  <c r="C16" i="11"/>
  <c r="C12" i="11"/>
  <c r="C52" i="11"/>
  <c r="C42" i="11"/>
  <c r="C49" i="11"/>
  <c r="C11" i="11"/>
  <c r="C14" i="11"/>
  <c r="C30" i="11"/>
  <c r="C47" i="11"/>
  <c r="C46" i="11"/>
  <c r="C44" i="11"/>
  <c r="C39" i="11"/>
  <c r="C45" i="11"/>
  <c r="C26" i="11"/>
  <c r="C8" i="11"/>
  <c r="C33" i="11"/>
  <c r="C13" i="11"/>
  <c r="C27" i="11"/>
  <c r="C51" i="11"/>
  <c r="C38" i="11"/>
  <c r="C25" i="11"/>
  <c r="C23" i="11"/>
  <c r="C5" i="11"/>
  <c r="E51" i="11"/>
  <c r="E21" i="11"/>
  <c r="G21" i="17" l="1"/>
  <c r="G21" i="19"/>
  <c r="E26" i="11"/>
  <c r="F26" i="19"/>
  <c r="H26" i="19" s="1"/>
  <c r="J26" i="19" s="1"/>
  <c r="F12" i="19"/>
  <c r="H12" i="19" s="1"/>
  <c r="J12" i="19" s="1"/>
  <c r="E6" i="11"/>
  <c r="F6" i="19"/>
  <c r="G51" i="17"/>
  <c r="G51" i="19"/>
  <c r="E38" i="11"/>
  <c r="F38" i="19"/>
  <c r="H38" i="19" s="1"/>
  <c r="J38" i="19" s="1"/>
  <c r="F33" i="19"/>
  <c r="H33" i="19" s="1"/>
  <c r="J33" i="19" s="1"/>
  <c r="E39" i="11"/>
  <c r="F39" i="19"/>
  <c r="H39" i="19" s="1"/>
  <c r="J39" i="19" s="1"/>
  <c r="H30" i="17"/>
  <c r="J30" i="17" s="1"/>
  <c r="F30" i="19"/>
  <c r="H30" i="19" s="1"/>
  <c r="J30" i="19" s="1"/>
  <c r="E42" i="11"/>
  <c r="F42" i="19"/>
  <c r="H42" i="19" s="1"/>
  <c r="J42" i="19" s="1"/>
  <c r="H24" i="17"/>
  <c r="J24" i="17" s="1"/>
  <c r="F24" i="19"/>
  <c r="H24" i="19" s="1"/>
  <c r="J24" i="19" s="1"/>
  <c r="E17" i="11"/>
  <c r="F17" i="19"/>
  <c r="H17" i="19" s="1"/>
  <c r="J17" i="19" s="1"/>
  <c r="H20" i="17"/>
  <c r="J20" i="17" s="1"/>
  <c r="F20" i="19"/>
  <c r="H20" i="19" s="1"/>
  <c r="J20" i="19" s="1"/>
  <c r="H32" i="17"/>
  <c r="J32" i="17" s="1"/>
  <c r="F32" i="19"/>
  <c r="H32" i="19" s="1"/>
  <c r="J32" i="19" s="1"/>
  <c r="E29" i="11"/>
  <c r="F29" i="19"/>
  <c r="H29" i="19" s="1"/>
  <c r="J29" i="19" s="1"/>
  <c r="H5" i="17"/>
  <c r="J5" i="17" s="1"/>
  <c r="F5" i="19"/>
  <c r="H5" i="19" s="1"/>
  <c r="F51" i="19"/>
  <c r="H51" i="19" s="1"/>
  <c r="J51" i="19" s="1"/>
  <c r="H8" i="17"/>
  <c r="J8" i="17" s="1"/>
  <c r="F8" i="19"/>
  <c r="H8" i="19" s="1"/>
  <c r="J8" i="19" s="1"/>
  <c r="H44" i="17"/>
  <c r="J44" i="17" s="1"/>
  <c r="F44" i="19"/>
  <c r="H44" i="19" s="1"/>
  <c r="J44" i="19" s="1"/>
  <c r="H14" i="17"/>
  <c r="J14" i="17" s="1"/>
  <c r="F14" i="19"/>
  <c r="H14" i="19" s="1"/>
  <c r="J14" i="19" s="1"/>
  <c r="F52" i="19"/>
  <c r="H52" i="19" s="1"/>
  <c r="J52" i="19" s="1"/>
  <c r="H9" i="17"/>
  <c r="J9" i="17" s="1"/>
  <c r="F9" i="19"/>
  <c r="H9" i="19" s="1"/>
  <c r="J9" i="19" s="1"/>
  <c r="F43" i="19"/>
  <c r="H43" i="19" s="1"/>
  <c r="J43" i="19" s="1"/>
  <c r="E22" i="11"/>
  <c r="F22" i="19"/>
  <c r="H22" i="19" s="1"/>
  <c r="J22" i="19" s="1"/>
  <c r="H31" i="17"/>
  <c r="J31" i="17" s="1"/>
  <c r="F31" i="19"/>
  <c r="H31" i="19" s="1"/>
  <c r="J31" i="19" s="1"/>
  <c r="H28" i="17"/>
  <c r="J28" i="17" s="1"/>
  <c r="F28" i="19"/>
  <c r="H28" i="19" s="1"/>
  <c r="J28" i="19" s="1"/>
  <c r="H18" i="17"/>
  <c r="J18" i="17" s="1"/>
  <c r="F18" i="19"/>
  <c r="H18" i="19" s="1"/>
  <c r="J18" i="19" s="1"/>
  <c r="E23" i="11"/>
  <c r="F23" i="19"/>
  <c r="H23" i="19" s="1"/>
  <c r="J23" i="19" s="1"/>
  <c r="F27" i="19"/>
  <c r="H27" i="19" s="1"/>
  <c r="J27" i="19" s="1"/>
  <c r="E46" i="11"/>
  <c r="F46" i="19"/>
  <c r="H46" i="19" s="1"/>
  <c r="J46" i="19" s="1"/>
  <c r="E11" i="11"/>
  <c r="G11" i="19" s="1"/>
  <c r="F11" i="19"/>
  <c r="H11" i="19" s="1"/>
  <c r="J11" i="19" s="1"/>
  <c r="E36" i="11"/>
  <c r="F36" i="19"/>
  <c r="H36" i="19" s="1"/>
  <c r="J36" i="19" s="1"/>
  <c r="H50" i="17"/>
  <c r="J50" i="17" s="1"/>
  <c r="F50" i="19"/>
  <c r="H50" i="19" s="1"/>
  <c r="J50" i="19" s="1"/>
  <c r="E48" i="11"/>
  <c r="F48" i="19"/>
  <c r="H48" i="19" s="1"/>
  <c r="J48" i="19" s="1"/>
  <c r="E15" i="11"/>
  <c r="F15" i="19"/>
  <c r="H15" i="19" s="1"/>
  <c r="J15" i="19" s="1"/>
  <c r="H25" i="17"/>
  <c r="J25" i="17" s="1"/>
  <c r="F25" i="19"/>
  <c r="H25" i="19" s="1"/>
  <c r="J25" i="19" s="1"/>
  <c r="H13" i="17"/>
  <c r="J13" i="17" s="1"/>
  <c r="F13" i="19"/>
  <c r="H13" i="19" s="1"/>
  <c r="J13" i="19" s="1"/>
  <c r="H45" i="17"/>
  <c r="J45" i="17" s="1"/>
  <c r="F45" i="19"/>
  <c r="H45" i="19" s="1"/>
  <c r="J45" i="19" s="1"/>
  <c r="H47" i="17"/>
  <c r="J47" i="17" s="1"/>
  <c r="F47" i="19"/>
  <c r="H47" i="19" s="1"/>
  <c r="J47" i="19" s="1"/>
  <c r="H49" i="17"/>
  <c r="J49" i="17" s="1"/>
  <c r="F49" i="19"/>
  <c r="H49" i="19" s="1"/>
  <c r="J49" i="19" s="1"/>
  <c r="H16" i="17"/>
  <c r="J16" i="17" s="1"/>
  <c r="F16" i="19"/>
  <c r="H16" i="19" s="1"/>
  <c r="J16" i="19" s="1"/>
  <c r="E7" i="11"/>
  <c r="F7" i="19"/>
  <c r="H7" i="19" s="1"/>
  <c r="J7" i="19" s="1"/>
  <c r="E10" i="11"/>
  <c r="F10" i="19"/>
  <c r="H10" i="19" s="1"/>
  <c r="J10" i="19" s="1"/>
  <c r="E41" i="11"/>
  <c r="F41" i="19"/>
  <c r="H41" i="19" s="1"/>
  <c r="J41" i="19" s="1"/>
  <c r="E40" i="11"/>
  <c r="F40" i="19"/>
  <c r="H40" i="19" s="1"/>
  <c r="J40" i="19" s="1"/>
  <c r="H19" i="17"/>
  <c r="J19" i="17" s="1"/>
  <c r="F19" i="19"/>
  <c r="H19" i="19" s="1"/>
  <c r="J19" i="19" s="1"/>
  <c r="F34" i="19"/>
  <c r="H34" i="19" s="1"/>
  <c r="J34" i="19" s="1"/>
  <c r="H33" i="17"/>
  <c r="J33" i="17" s="1"/>
  <c r="H51" i="17"/>
  <c r="J51" i="17" s="1"/>
  <c r="H52" i="17"/>
  <c r="J52" i="17" s="1"/>
  <c r="H43" i="17"/>
  <c r="J43" i="17" s="1"/>
  <c r="H27" i="17"/>
  <c r="J27" i="17" s="1"/>
  <c r="H12" i="17"/>
  <c r="J12" i="17" s="1"/>
  <c r="H21" i="17"/>
  <c r="J21" i="17" s="1"/>
  <c r="H34" i="17"/>
  <c r="J34" i="17" s="1"/>
  <c r="E28" i="11"/>
  <c r="E37" i="11"/>
  <c r="G37" i="19" s="1"/>
  <c r="E34" i="11"/>
  <c r="E43" i="11"/>
  <c r="H17" i="17"/>
  <c r="J17" i="17" s="1"/>
  <c r="E32" i="11"/>
  <c r="E14" i="11"/>
  <c r="E31" i="11"/>
  <c r="E8" i="11"/>
  <c r="E52" i="11"/>
  <c r="E9" i="11"/>
  <c r="E18" i="11"/>
  <c r="J6" i="17"/>
  <c r="E5" i="11"/>
  <c r="E44" i="11"/>
  <c r="E50" i="11"/>
  <c r="H7" i="17"/>
  <c r="J7" i="17" s="1"/>
  <c r="E19" i="11"/>
  <c r="E45" i="11"/>
  <c r="E49" i="11"/>
  <c r="E20" i="11"/>
  <c r="E24" i="11"/>
  <c r="E25" i="11"/>
  <c r="E33" i="11"/>
  <c r="E30" i="11"/>
  <c r="E35" i="11"/>
  <c r="G35" i="19" s="1"/>
  <c r="E27" i="11"/>
  <c r="E12" i="11"/>
  <c r="E13" i="11"/>
  <c r="E47" i="11"/>
  <c r="E16" i="11"/>
  <c r="C56" i="11"/>
  <c r="J5" i="19" l="1"/>
  <c r="J56" i="19"/>
  <c r="F54" i="19"/>
  <c r="E59" i="19" s="1"/>
  <c r="G57" i="19" s="1"/>
  <c r="H6" i="19"/>
  <c r="J6" i="19" s="1"/>
  <c r="G16" i="17"/>
  <c r="G16" i="19"/>
  <c r="G24" i="17"/>
  <c r="G24" i="19"/>
  <c r="G49" i="17"/>
  <c r="G49" i="19"/>
  <c r="G19" i="17"/>
  <c r="G19" i="19"/>
  <c r="G8" i="17"/>
  <c r="G8" i="19"/>
  <c r="G28" i="17"/>
  <c r="G28" i="19"/>
  <c r="G41" i="17"/>
  <c r="G41" i="19"/>
  <c r="G7" i="17"/>
  <c r="G7" i="19"/>
  <c r="G48" i="17"/>
  <c r="G48" i="19"/>
  <c r="G36" i="17"/>
  <c r="G36" i="19"/>
  <c r="G46" i="17"/>
  <c r="G46" i="19"/>
  <c r="G23" i="17"/>
  <c r="G23" i="19"/>
  <c r="G22" i="17"/>
  <c r="G22" i="19"/>
  <c r="G17" i="17"/>
  <c r="G17" i="19"/>
  <c r="G42" i="17"/>
  <c r="G42" i="19"/>
  <c r="G39" i="17"/>
  <c r="G39" i="19"/>
  <c r="G38" i="17"/>
  <c r="G38" i="19"/>
  <c r="G6" i="17"/>
  <c r="G6" i="19"/>
  <c r="G26" i="17"/>
  <c r="G26" i="19"/>
  <c r="G27" i="17"/>
  <c r="G27" i="19"/>
  <c r="G25" i="17"/>
  <c r="G25" i="19"/>
  <c r="G20" i="17"/>
  <c r="G20" i="19"/>
  <c r="G5" i="17"/>
  <c r="G5" i="19"/>
  <c r="G52" i="17"/>
  <c r="G52" i="19"/>
  <c r="G32" i="17"/>
  <c r="G32" i="19"/>
  <c r="G47" i="17"/>
  <c r="G47" i="19"/>
  <c r="G30" i="17"/>
  <c r="G30" i="19"/>
  <c r="G45" i="17"/>
  <c r="G45" i="19"/>
  <c r="G50" i="17"/>
  <c r="G50" i="19"/>
  <c r="G18" i="17"/>
  <c r="G18" i="19"/>
  <c r="G31" i="17"/>
  <c r="G31" i="19"/>
  <c r="G34" i="17"/>
  <c r="G34" i="19"/>
  <c r="G13" i="17"/>
  <c r="G13" i="19"/>
  <c r="G12" i="17"/>
  <c r="G12" i="19"/>
  <c r="G33" i="17"/>
  <c r="G33" i="19"/>
  <c r="G44" i="17"/>
  <c r="G44" i="19"/>
  <c r="G9" i="17"/>
  <c r="G9" i="19"/>
  <c r="G14" i="17"/>
  <c r="G14" i="19"/>
  <c r="G43" i="17"/>
  <c r="G43" i="19"/>
  <c r="G40" i="17"/>
  <c r="G40" i="19"/>
  <c r="G10" i="17"/>
  <c r="G10" i="19"/>
  <c r="G15" i="17"/>
  <c r="G15" i="19"/>
  <c r="G29" i="17"/>
  <c r="G29" i="19"/>
  <c r="H41" i="17"/>
  <c r="J41" i="17" s="1"/>
  <c r="H39" i="17"/>
  <c r="J39" i="17" s="1"/>
  <c r="H46" i="17"/>
  <c r="J46" i="17" s="1"/>
  <c r="H38" i="17"/>
  <c r="J38" i="17" s="1"/>
  <c r="H23" i="17"/>
  <c r="J23" i="17" s="1"/>
  <c r="H10" i="17"/>
  <c r="H26" i="17"/>
  <c r="J26" i="17" s="1"/>
  <c r="H15" i="17"/>
  <c r="J15" i="17" s="1"/>
  <c r="H29" i="17"/>
  <c r="J29" i="17" s="1"/>
  <c r="H22" i="17"/>
  <c r="J22" i="17" s="1"/>
  <c r="H36" i="17"/>
  <c r="J36" i="17" s="1"/>
  <c r="H42" i="17"/>
  <c r="J42" i="17" s="1"/>
  <c r="H48" i="17"/>
  <c r="J48" i="17" s="1"/>
  <c r="H40" i="17"/>
  <c r="J40" i="17" s="1"/>
  <c r="E56" i="11"/>
  <c r="F54" i="17"/>
  <c r="E59" i="17" s="1"/>
  <c r="G57" i="17" s="1"/>
  <c r="M54" i="17"/>
  <c r="F63" i="17" s="1"/>
  <c r="L54" i="17"/>
  <c r="G54" i="17" l="1"/>
  <c r="G54" i="19"/>
  <c r="J54" i="19"/>
  <c r="J55" i="19"/>
  <c r="F62" i="19" s="1"/>
  <c r="G68" i="19" s="1"/>
  <c r="G70" i="19" s="1"/>
  <c r="H54" i="19"/>
  <c r="H54" i="17"/>
  <c r="J10" i="17"/>
  <c r="J56" i="17"/>
  <c r="F66" i="17"/>
  <c r="J55" i="17" l="1"/>
  <c r="F62" i="17" s="1"/>
  <c r="G68" i="17" s="1"/>
  <c r="G70" i="17" s="1"/>
  <c r="J54" i="17"/>
</calcChain>
</file>

<file path=xl/sharedStrings.xml><?xml version="1.0" encoding="utf-8"?>
<sst xmlns="http://schemas.openxmlformats.org/spreadsheetml/2006/main" count="1784" uniqueCount="233">
  <si>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</si>
  <si>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</si>
  <si>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</si>
  <si>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</si>
  <si>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</si>
  <si>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</si>
  <si>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</si>
  <si>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</si>
  <si>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</si>
  <si>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</si>
  <si>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</si>
  <si>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</si>
  <si>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</si>
  <si>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</si>
  <si>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</si>
  <si>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</si>
  <si>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</si>
  <si>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</si>
  <si>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</si>
  <si>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</si>
  <si>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</si>
  <si>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</si>
  <si>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</si>
  <si>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</si>
  <si>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</si>
  <si>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</si>
  <si>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</si>
  <si>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</si>
  <si>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</si>
  <si>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</si>
  <si>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</si>
  <si>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</si>
  <si>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</si>
  <si>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</si>
  <si>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</si>
  <si>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</si>
  <si>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</si>
  <si>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</si>
  <si>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</si>
  <si>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</si>
  <si>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</si>
  <si>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</si>
  <si>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</si>
  <si>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</si>
  <si>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</si>
  <si>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</si>
  <si>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</si>
  <si>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</si>
  <si>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</si>
  <si>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</si>
  <si>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</si>
  <si>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</si>
  <si>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</si>
  <si>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</si>
  <si>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</si>
  <si>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</si>
  <si>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</si>
  <si>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</si>
  <si>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</si>
  <si>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</si>
  <si>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</si>
  <si>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</si>
  <si>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</si>
  <si>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</si>
  <si>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</si>
  <si>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</si>
  <si>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</si>
  <si>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</si>
  <si>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</si>
  <si>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</si>
  <si>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</si>
  <si>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</si>
  <si>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</si>
  <si>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</si>
  <si>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</si>
  <si>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</si>
  <si>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</si>
  <si>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</si>
  <si>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</si>
  <si>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</si>
  <si>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</si>
  <si>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</si>
  <si>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</si>
  <si>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</si>
  <si>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</si>
  <si>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</si>
  <si>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</si>
  <si>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</si>
  <si>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</si>
  <si>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</si>
  <si>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</si>
  <si>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</si>
  <si>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</si>
  <si>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</si>
  <si>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</si>
  <si>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</si>
  <si>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</si>
  <si>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</si>
  <si>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</si>
  <si>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</si>
  <si>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</si>
  <si>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</si>
  <si>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</si>
  <si>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</si>
  <si>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</si>
  <si>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</si>
  <si>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</si>
  <si>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</si>
  <si>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</si>
  <si>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</si>
  <si>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</si>
  <si>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</si>
  <si>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</si>
  <si>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</si>
  <si>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</si>
  <si>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</si>
  <si>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</si>
  <si>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</si>
  <si>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</si>
  <si>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</si>
  <si>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</si>
  <si>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</si>
  <si>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</si>
  <si>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</si>
  <si>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</si>
  <si>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</si>
  <si>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</si>
  <si>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</si>
  <si>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</si>
  <si>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</si>
  <si>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</si>
  <si>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</si>
  <si>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</si>
  <si>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</si>
  <si>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</si>
  <si>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</si>
  <si>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</si>
  <si>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</si>
  <si>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</si>
  <si>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</si>
  <si>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</si>
  <si>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</si>
  <si>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</si>
  <si>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</si>
  <si>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</si>
  <si>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</si>
  <si>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</si>
  <si>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</si>
  <si>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</si>
  <si>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</si>
  <si>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</si>
  <si>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</si>
  <si>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</si>
  <si>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</si>
  <si>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</si>
  <si>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</si>
  <si>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</si>
  <si>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</si>
  <si>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</si>
  <si>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</si>
  <si>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</si>
  <si>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</si>
  <si>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</si>
  <si>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</si>
  <si>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</si>
  <si>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</si>
  <si>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</si>
  <si>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</si>
  <si>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</si>
  <si>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</si>
  <si>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</si>
  <si>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</si>
  <si>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</si>
  <si>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</si>
  <si>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</si>
  <si>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</si>
  <si>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</si>
  <si>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</si>
  <si>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</si>
  <si>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</si>
  <si>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</si>
  <si>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</si>
  <si>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</si>
  <si>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</si>
  <si>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</si>
  <si>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</si>
  <si>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</si>
  <si>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</si>
  <si>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</si>
  <si>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</si>
  <si>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</si>
  <si>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</si>
  <si>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</si>
  <si>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</si>
  <si>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</si>
  <si>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</si>
  <si>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</si>
  <si>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</si>
  <si>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</si>
  <si>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</si>
  <si>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</si>
  <si>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</si>
  <si>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</si>
  <si>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</si>
  <si>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</si>
  <si>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</si>
  <si>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</si>
  <si>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</si>
  <si>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</si>
  <si>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</si>
  <si>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</si>
  <si>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</si>
  <si>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</si>
  <si>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</si>
  <si>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</si>
  <si>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</si>
  <si>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</si>
  <si>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</si>
  <si>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</si>
  <si>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ECHEC</t>
  </si>
  <si>
    <t>BANQUE</t>
  </si>
  <si>
    <t>MONTANT TONTINE</t>
  </si>
  <si>
    <t>PENALITE</t>
  </si>
  <si>
    <t>MODE VERSEMENT</t>
  </si>
  <si>
    <t>RELIQUAT 2016</t>
  </si>
  <si>
    <t>AVALISTE</t>
  </si>
  <si>
    <t>ESPECES</t>
  </si>
  <si>
    <t>DJOUOKEP SAMUEL</t>
  </si>
  <si>
    <t>KOUATCHO</t>
  </si>
  <si>
    <t>FRAIS EXCEPTIONNELS</t>
  </si>
  <si>
    <t>DETAIL</t>
  </si>
  <si>
    <t>OBSERVATIONS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</si>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</sst>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2"/>
      <color theme="1"/>
      <name val="Britannic Bold"/>
      <family val="2"/>
    </font>
    <font>
      <sz val="10"/>
      <color theme="1"/>
      <name val="Britannic Bold"/>
      <family val="2"/>
    </font>
    <font>
      <sz val="1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0" fillId="0" borderId="9" xfId="0" applyBorder="1"/>
    <xf numFmtId="0" fontId="0" fillId="0" borderId="7" xfId="0" applyFill="1" applyBorder="1"/>
    <xf numFmtId="0" fontId="0" fillId="0" borderId="8" xfId="0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8" fillId="0" borderId="0" xfId="0" applyNumberFormat="1" applyFont="1"/>
    <xf numFmtId="0" fontId="12" fillId="0" borderId="0" xfId="0" applyFont="1"/>
    <xf numFmtId="3" fontId="12" fillId="0" borderId="0" xfId="0" applyNumberFormat="1" applyFont="1"/>
    <xf numFmtId="164" fontId="1" fillId="0" borderId="0" xfId="0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/>
    <xf numFmtId="0" fontId="14" fillId="0" borderId="0" xfId="0" applyFont="1" applyAlignment="1">
      <alignment horizontal="center"/>
    </xf>
    <xf numFmtId="3" fontId="15" fillId="0" borderId="0" xfId="0" applyNumberFormat="1" applyFont="1"/>
    <xf numFmtId="164" fontId="8" fillId="0" borderId="0" xfId="0" applyNumberFormat="1" applyFont="1"/>
    <xf numFmtId="3" fontId="7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Fill="1" applyBorder="1"/>
    <xf numFmtId="0" fontId="0" fillId="0" borderId="3" xfId="0" applyFill="1" applyBorder="1"/>
    <xf numFmtId="17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"/>
  <sheetViews>
    <sheetView workbookViewId="0">
      <pane xSplit="2" ySplit="4" topLeftCell="C8" activePane="bottomRight" state="frozen"/>
      <selection activeCell="B22" sqref="B22"/>
      <selection pane="topRight" activeCell="B22" sqref="B22"/>
      <selection pane="bottomLeft" activeCell="B22" sqref="B22"/>
      <selection pane="bottomRight" activeCell="A13" sqref="A13:XFD1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4.7109375" bestFit="1" customWidth="1"/>
    <col min="4" max="4" width="10.5703125" bestFit="1" customWidth="1"/>
    <col min="5" max="5" width="15" customWidth="1"/>
    <col min="6" max="6" width="14.7109375" bestFit="1" customWidth="1"/>
    <col min="7" max="7" width="12.28515625" bestFit="1" customWidth="1"/>
    <col min="8" max="8" width="10.5703125" bestFit="1" customWidth="1"/>
    <col min="9" max="9" width="12.28515625" bestFit="1" customWidth="1"/>
    <col min="10" max="11" width="10.5703125" bestFit="1" customWidth="1"/>
    <col min="12" max="12" width="14.7109375" bestFit="1" customWidth="1"/>
    <col min="13" max="13" width="10.5703125" bestFit="1" customWidth="1"/>
    <col min="14" max="14" width="12.28515625" bestFit="1" customWidth="1"/>
    <col min="15" max="15" width="14.7109375" bestFit="1" customWidth="1"/>
    <col min="16" max="18" width="12.28515625" bestFit="1" customWidth="1"/>
    <col min="19" max="20" width="10.5703125" bestFit="1" customWidth="1"/>
    <col min="21" max="21" width="14.7109375" bestFit="1" customWidth="1"/>
    <col min="22" max="22" width="12.28515625" bestFit="1" customWidth="1"/>
    <col min="23" max="24" width="14.7109375" bestFit="1" customWidth="1"/>
    <col min="25" max="26" width="12.28515625" bestFit="1" customWidth="1"/>
    <col min="27" max="27" width="14.7109375" bestFit="1" customWidth="1"/>
    <col min="28" max="28" width="12.28515625" bestFit="1" customWidth="1"/>
    <col min="29" max="29" width="10.5703125" bestFit="1" customWidth="1"/>
    <col min="30" max="30" width="14.7109375" bestFit="1" customWidth="1"/>
    <col min="31" max="32" width="12.28515625" bestFit="1" customWidth="1"/>
    <col min="33" max="33" width="14.7109375" bestFit="1" customWidth="1"/>
    <col min="34" max="34" width="12.28515625" bestFit="1" customWidth="1"/>
    <col min="35" max="35" width="10.5703125" bestFit="1" customWidth="1"/>
    <col min="36" max="36" width="14.7109375" bestFit="1" customWidth="1"/>
    <col min="37" max="37" width="12.28515625" bestFit="1" customWidth="1"/>
    <col min="38" max="38" width="14.7109375" bestFit="1" customWidth="1"/>
  </cols>
  <sheetData>
    <row r="1" spans="1:38" x14ac:dyDescent="0.25">
      <c r="A1" s="1" t="s">
        <v>0</v>
      </c>
      <c r="B1" s="1" t="s">
        <v>1</v>
      </c>
    </row>
    <row r="2" spans="1:38" x14ac:dyDescent="0.25">
      <c r="A2" s="1" t="s">
        <v>2</v>
      </c>
      <c r="B2" s="1" t="s">
        <v>3</v>
      </c>
    </row>
    <row r="3" spans="1:38" ht="15" customHeight="1" x14ac:dyDescent="0.25">
      <c r="A3" s="1" t="s">
        <v>4</v>
      </c>
      <c r="B3" s="1" t="s">
        <v>5</v>
      </c>
      <c r="C3" s="41" t="s">
        <v>197</v>
      </c>
      <c r="D3" s="42"/>
      <c r="E3" s="42"/>
      <c r="F3" s="41" t="s">
        <v>198</v>
      </c>
      <c r="G3" s="42"/>
      <c r="H3" s="42"/>
      <c r="I3" s="41" t="s">
        <v>199</v>
      </c>
      <c r="J3" s="42"/>
      <c r="K3" s="42"/>
      <c r="L3" s="41" t="s">
        <v>200</v>
      </c>
      <c r="M3" s="42"/>
      <c r="N3" s="42"/>
      <c r="O3" s="41" t="s">
        <v>201</v>
      </c>
      <c r="P3" s="42"/>
      <c r="Q3" s="42"/>
      <c r="R3" s="41" t="s">
        <v>202</v>
      </c>
      <c r="S3" s="42"/>
      <c r="T3" s="42"/>
      <c r="U3" s="41" t="s">
        <v>203</v>
      </c>
      <c r="V3" s="42"/>
      <c r="W3" s="42"/>
      <c r="X3" s="41" t="s">
        <v>204</v>
      </c>
      <c r="Y3" s="42"/>
      <c r="Z3" s="42"/>
      <c r="AA3" s="41" t="s">
        <v>205</v>
      </c>
      <c r="AB3" s="42"/>
      <c r="AC3" s="42"/>
      <c r="AD3" s="41" t="s">
        <v>206</v>
      </c>
      <c r="AE3" s="42"/>
      <c r="AF3" s="42"/>
      <c r="AG3" s="41" t="s">
        <v>207</v>
      </c>
      <c r="AH3" s="42"/>
      <c r="AI3" s="42"/>
      <c r="AJ3" s="41" t="s">
        <v>208</v>
      </c>
      <c r="AK3" s="42"/>
      <c r="AL3" s="42"/>
    </row>
    <row r="4" spans="1:38" ht="29.25" x14ac:dyDescent="0.25">
      <c r="A4" s="1" t="s">
        <v>6</v>
      </c>
      <c r="B4" s="1" t="s">
        <v>7</v>
      </c>
      <c r="C4" s="5" t="s">
        <v>63</v>
      </c>
      <c r="D4" s="5" t="s">
        <v>64</v>
      </c>
      <c r="E4" s="5" t="s">
        <v>8</v>
      </c>
      <c r="F4" s="5" t="s">
        <v>63</v>
      </c>
      <c r="G4" s="5" t="s">
        <v>64</v>
      </c>
      <c r="H4" s="5" t="s">
        <v>8</v>
      </c>
      <c r="I4" s="5" t="s">
        <v>63</v>
      </c>
      <c r="J4" s="5" t="s">
        <v>64</v>
      </c>
      <c r="K4" s="5" t="s">
        <v>8</v>
      </c>
      <c r="L4" s="5" t="s">
        <v>63</v>
      </c>
      <c r="M4" s="5" t="s">
        <v>64</v>
      </c>
      <c r="N4" s="5" t="s">
        <v>8</v>
      </c>
      <c r="O4" s="5" t="s">
        <v>63</v>
      </c>
      <c r="P4" s="5" t="s">
        <v>64</v>
      </c>
      <c r="Q4" s="5" t="s">
        <v>8</v>
      </c>
      <c r="R4" s="5" t="s">
        <v>63</v>
      </c>
      <c r="S4" s="5" t="s">
        <v>64</v>
      </c>
      <c r="T4" s="5" t="s">
        <v>8</v>
      </c>
      <c r="U4" s="5" t="s">
        <v>63</v>
      </c>
      <c r="V4" s="5" t="s">
        <v>64</v>
      </c>
      <c r="W4" s="5" t="s">
        <v>8</v>
      </c>
      <c r="X4" s="5" t="s">
        <v>63</v>
      </c>
      <c r="Y4" s="5" t="s">
        <v>64</v>
      </c>
      <c r="Z4" s="5" t="s">
        <v>8</v>
      </c>
      <c r="AA4" s="5" t="s">
        <v>63</v>
      </c>
      <c r="AB4" s="5" t="s">
        <v>64</v>
      </c>
      <c r="AC4" s="5" t="s">
        <v>8</v>
      </c>
      <c r="AD4" s="5" t="s">
        <v>63</v>
      </c>
      <c r="AE4" s="5" t="s">
        <v>64</v>
      </c>
      <c r="AF4" s="5" t="s">
        <v>8</v>
      </c>
      <c r="AG4" s="5" t="s">
        <v>63</v>
      </c>
      <c r="AH4" s="5" t="s">
        <v>64</v>
      </c>
      <c r="AI4" s="5" t="s">
        <v>8</v>
      </c>
      <c r="AJ4" s="5" t="s">
        <v>63</v>
      </c>
      <c r="AK4" s="5" t="s">
        <v>64</v>
      </c>
      <c r="AL4" s="5" t="s">
        <v>8</v>
      </c>
    </row>
    <row r="5" spans="1:38" x14ac:dyDescent="0.25">
      <c r="A5" s="1" t="s">
        <v>185</v>
      </c>
      <c r="B5" s="1" t="str">
        <f>VLOOKUP(A5,LISTADHERENT!A$5:H$52,2,0)</f>
        <v>ASELBY</v>
      </c>
      <c r="C5" s="7">
        <f>TONT20000DEC2015!$O5</f>
        <v>0</v>
      </c>
      <c r="D5" s="7">
        <f>TONT20000DEC2015!$P5</f>
        <v>0</v>
      </c>
      <c r="E5" s="7">
        <f>TONT20000DEC2015!$Q5</f>
        <v>0</v>
      </c>
      <c r="F5" s="7">
        <f>TONT20000JANV!$M5</f>
        <v>0</v>
      </c>
      <c r="G5" s="7">
        <f>TONT20000JANV!$N5</f>
        <v>0</v>
      </c>
      <c r="H5" s="7">
        <f>TONT20000JANV!$O5</f>
        <v>0</v>
      </c>
      <c r="I5" s="7">
        <f>TONT20000FEV!$M5</f>
        <v>0</v>
      </c>
      <c r="J5" s="7">
        <f>TONT20000FEV!$N5</f>
        <v>0</v>
      </c>
      <c r="K5" s="7">
        <f>TONT20000FEV!$O5</f>
        <v>0</v>
      </c>
      <c r="L5" s="7">
        <f>TONT20000MARS!$M5</f>
        <v>0</v>
      </c>
      <c r="M5" s="7">
        <f>TONT20000MARS!$N5</f>
        <v>0</v>
      </c>
      <c r="N5" s="7">
        <f>TONT20000MARS!$O5</f>
        <v>0</v>
      </c>
      <c r="O5" s="7">
        <f>TONT20000AVRIL!$M5</f>
        <v>0</v>
      </c>
      <c r="P5" s="7">
        <f>TONT20000AVRIL!$N5</f>
        <v>0</v>
      </c>
      <c r="Q5" s="7">
        <f>TONT20000AVRIL!$O5</f>
        <v>0</v>
      </c>
      <c r="R5" s="7">
        <f>TONT20000MAI!$M5</f>
        <v>0</v>
      </c>
      <c r="S5" s="7">
        <f>TONT20000MAI!$N5</f>
        <v>0</v>
      </c>
      <c r="T5" s="7">
        <f>TONT20000MAI!$O5</f>
        <v>0</v>
      </c>
      <c r="U5" s="7">
        <f>TONT20000JUIN!$M5</f>
        <v>0</v>
      </c>
      <c r="V5" s="7">
        <f>TONT20000JUIN!$N5</f>
        <v>0</v>
      </c>
      <c r="W5" s="7">
        <f>TONT20000JUIN!$O5</f>
        <v>0</v>
      </c>
      <c r="X5" s="7">
        <f>TONT20000JUIL!$M5</f>
        <v>0</v>
      </c>
      <c r="Y5" s="7">
        <f>TONT20000JUIL!$N5</f>
        <v>0</v>
      </c>
      <c r="Z5" s="7">
        <f>TONT20000JUIL!$O5</f>
        <v>0</v>
      </c>
      <c r="AA5" s="7">
        <f>TONT20000AOUT!$M5</f>
        <v>0</v>
      </c>
      <c r="AB5" s="7">
        <f>TONT20000AOUT!$N5</f>
        <v>0</v>
      </c>
      <c r="AC5" s="7">
        <f>TONT20000AOUT!$O5</f>
        <v>0</v>
      </c>
      <c r="AD5" s="7">
        <f>TONT20000SEPT!$M5</f>
        <v>0</v>
      </c>
      <c r="AE5" s="7">
        <f>TONT20000SEPT!$N5</f>
        <v>0</v>
      </c>
      <c r="AF5" s="7">
        <f>TONT20000SEPT!$O5</f>
        <v>0</v>
      </c>
      <c r="AG5" s="7">
        <f>TONT20000OCT!$M5</f>
        <v>0</v>
      </c>
      <c r="AH5" s="7">
        <f>TONT20000OCT!$N5</f>
        <v>0</v>
      </c>
      <c r="AI5" s="7">
        <f>TONT20000OCT!$O5</f>
        <v>0</v>
      </c>
      <c r="AJ5" s="7">
        <f>TONT20000NOV!$N5</f>
        <v>0</v>
      </c>
      <c r="AK5" s="7">
        <f>TONT20000NOV!$O5</f>
        <v>0</v>
      </c>
      <c r="AL5" s="7">
        <f>TONT20000NOV!$P5</f>
        <v>0</v>
      </c>
    </row>
    <row r="6" spans="1:38" x14ac:dyDescent="0.25">
      <c r="A6" s="1" t="s">
        <v>11</v>
      </c>
      <c r="B6" s="1" t="str">
        <f>VLOOKUP(A6,LISTADHERENT!A$5:H$52,2,0)</f>
        <v>BAKOP ACHILLE</v>
      </c>
      <c r="C6" s="7">
        <f>TONT20000DEC2015!$O6</f>
        <v>0</v>
      </c>
      <c r="D6" s="7">
        <f>TONT20000DEC2015!$P6</f>
        <v>0</v>
      </c>
      <c r="E6" s="7">
        <f>TONT20000DEC2015!$Q6</f>
        <v>0</v>
      </c>
      <c r="F6" s="7">
        <f>TONT20000JANV!$M6</f>
        <v>0</v>
      </c>
      <c r="G6" s="7">
        <f>TONT20000JANV!$N6</f>
        <v>0</v>
      </c>
      <c r="H6" s="7">
        <f>TONT20000JANV!$O6</f>
        <v>0</v>
      </c>
      <c r="I6" s="7">
        <f>TONT20000FEV!$M6</f>
        <v>0</v>
      </c>
      <c r="J6" s="7">
        <f>TONT20000FEV!$N6</f>
        <v>0</v>
      </c>
      <c r="K6" s="7">
        <f>TONT20000FEV!$O6</f>
        <v>0</v>
      </c>
      <c r="L6" s="7">
        <f>TONT20000MARS!$M6</f>
        <v>0</v>
      </c>
      <c r="M6" s="7">
        <f>TONT20000MARS!$N6</f>
        <v>0</v>
      </c>
      <c r="N6" s="7">
        <f>TONT20000MARS!$O6</f>
        <v>0</v>
      </c>
      <c r="O6" s="7">
        <f>TONT20000AVRIL!$M6</f>
        <v>0</v>
      </c>
      <c r="P6" s="7">
        <f>TONT20000AVRIL!$N6</f>
        <v>0</v>
      </c>
      <c r="Q6" s="7">
        <f>TONT20000AVRIL!$O6</f>
        <v>0</v>
      </c>
      <c r="R6" s="7">
        <f>TONT20000MAI!$M6</f>
        <v>0</v>
      </c>
      <c r="S6" s="7">
        <f>TONT20000MAI!$N6</f>
        <v>0</v>
      </c>
      <c r="T6" s="7">
        <f>TONT20000MAI!$O6</f>
        <v>0</v>
      </c>
      <c r="U6" s="7">
        <f>TONT20000JUIN!$M6</f>
        <v>0</v>
      </c>
      <c r="V6" s="7">
        <f>TONT20000JUIN!$N6</f>
        <v>0</v>
      </c>
      <c r="W6" s="7">
        <f>TONT20000JUIN!$O6</f>
        <v>0</v>
      </c>
      <c r="X6" s="7">
        <f>TONT20000JUIL!$M6</f>
        <v>0</v>
      </c>
      <c r="Y6" s="7">
        <f>TONT20000JUIL!$N6</f>
        <v>0</v>
      </c>
      <c r="Z6" s="7">
        <f>TONT20000JUIL!$O6</f>
        <v>0</v>
      </c>
      <c r="AA6" s="7">
        <f>TONT20000AOUT!$M6</f>
        <v>500000</v>
      </c>
      <c r="AB6" s="7">
        <f>TONT20000AOUT!$N6</f>
        <v>15000</v>
      </c>
      <c r="AC6" s="7">
        <f>TONT20000AOUT!$O6</f>
        <v>0</v>
      </c>
      <c r="AD6" s="7">
        <f>TONT20000SEPT!$M6</f>
        <v>0</v>
      </c>
      <c r="AE6" s="7">
        <f>TONT20000SEPT!$N6</f>
        <v>0</v>
      </c>
      <c r="AF6" s="7">
        <f>TONT20000SEPT!$O6</f>
        <v>0</v>
      </c>
      <c r="AG6" s="7">
        <f>TONT20000OCT!$M6</f>
        <v>0</v>
      </c>
      <c r="AH6" s="7">
        <f>TONT20000OCT!$N6</f>
        <v>0</v>
      </c>
      <c r="AI6" s="7">
        <f>TONT20000OCT!$O6</f>
        <v>0</v>
      </c>
      <c r="AJ6" s="7">
        <f>TONT20000NOV!$N6</f>
        <v>0</v>
      </c>
      <c r="AK6" s="7">
        <f>TONT20000NOV!$O6</f>
        <v>0</v>
      </c>
      <c r="AL6" s="7">
        <f>TONT20000NOV!$P6</f>
        <v>0</v>
      </c>
    </row>
    <row r="7" spans="1:38" x14ac:dyDescent="0.25">
      <c r="A7" s="1" t="s">
        <v>12</v>
      </c>
      <c r="B7" s="1" t="str">
        <f>VLOOKUP(A7,LISTADHERENT!A$5:H$51,2)</f>
        <v>BOUTCHOUANG WILLIAM</v>
      </c>
      <c r="C7" s="7">
        <f>TONT20000DEC2015!$O7</f>
        <v>0</v>
      </c>
      <c r="D7" s="7">
        <f>TONT20000DEC2015!$P7</f>
        <v>0</v>
      </c>
      <c r="E7" s="7">
        <f>TONT20000DEC2015!$Q7</f>
        <v>0</v>
      </c>
      <c r="F7" s="7">
        <f>TONT20000JANV!$M7</f>
        <v>0</v>
      </c>
      <c r="G7" s="7">
        <f>TONT20000JANV!$N7</f>
        <v>0</v>
      </c>
      <c r="H7" s="7">
        <f>TONT20000JANV!$O7</f>
        <v>0</v>
      </c>
      <c r="I7" s="7">
        <f>TONT20000FEV!$M7</f>
        <v>0</v>
      </c>
      <c r="J7" s="7">
        <f>TONT20000FEV!$N7</f>
        <v>0</v>
      </c>
      <c r="K7" s="7">
        <f>TONT20000FEV!$O7</f>
        <v>0</v>
      </c>
      <c r="L7" s="7">
        <f>TONT20000MARS!$M7</f>
        <v>0</v>
      </c>
      <c r="M7" s="7">
        <f>TONT20000MARS!$N7</f>
        <v>0</v>
      </c>
      <c r="N7" s="7">
        <f>TONT20000MARS!$O7</f>
        <v>0</v>
      </c>
      <c r="O7" s="7">
        <f>TONT20000AVRIL!$M7</f>
        <v>0</v>
      </c>
      <c r="P7" s="7">
        <f>TONT20000AVRIL!$N7</f>
        <v>0</v>
      </c>
      <c r="Q7" s="7">
        <f>TONT20000AVRIL!$O7</f>
        <v>0</v>
      </c>
      <c r="R7" s="7">
        <f>TONT20000MAI!$M7</f>
        <v>0</v>
      </c>
      <c r="S7" s="7">
        <f>TONT20000MAI!$N7</f>
        <v>0</v>
      </c>
      <c r="T7" s="7">
        <f>TONT20000MAI!$O7</f>
        <v>0</v>
      </c>
      <c r="U7" s="7">
        <f>TONT20000JUIN!$M7</f>
        <v>0</v>
      </c>
      <c r="V7" s="7">
        <f>TONT20000JUIN!$N7</f>
        <v>0</v>
      </c>
      <c r="W7" s="7">
        <f>TONT20000JUIN!$O7</f>
        <v>0</v>
      </c>
      <c r="X7" s="7">
        <f>TONT20000JUIL!$M7</f>
        <v>1000000</v>
      </c>
      <c r="Y7" s="7">
        <f>TONT20000JUIL!$N7</f>
        <v>40000</v>
      </c>
      <c r="Z7" s="7">
        <f>TONT20000JUIL!$O7</f>
        <v>0</v>
      </c>
      <c r="AA7" s="7">
        <f>TONT20000AOUT!$M7</f>
        <v>0</v>
      </c>
      <c r="AB7" s="7">
        <f>TONT20000AOUT!$N7</f>
        <v>0</v>
      </c>
      <c r="AC7" s="7">
        <f>TONT20000AOUT!$O7</f>
        <v>0</v>
      </c>
      <c r="AD7" s="7">
        <f>TONT20000SEPT!$M7</f>
        <v>0</v>
      </c>
      <c r="AE7" s="7">
        <f>TONT20000SEPT!$N7</f>
        <v>0</v>
      </c>
      <c r="AF7" s="7">
        <f>TONT20000SEPT!$O7</f>
        <v>0</v>
      </c>
      <c r="AG7" s="7">
        <f>TONT20000OCT!$M7</f>
        <v>0</v>
      </c>
      <c r="AH7" s="7">
        <f>TONT20000OCT!$N7</f>
        <v>0</v>
      </c>
      <c r="AI7" s="7">
        <f>TONT20000OCT!$O7</f>
        <v>0</v>
      </c>
      <c r="AJ7" s="7">
        <f>TONT20000NOV!$N7</f>
        <v>700000</v>
      </c>
      <c r="AK7" s="7">
        <f>TONT20000NOV!$O7</f>
        <v>84000</v>
      </c>
      <c r="AL7" s="7">
        <f>TONT20000NOV!$P7</f>
        <v>1000000</v>
      </c>
    </row>
    <row r="8" spans="1:38" x14ac:dyDescent="0.25">
      <c r="A8" s="1" t="s">
        <v>13</v>
      </c>
      <c r="B8" s="1" t="str">
        <f>VLOOKUP(A8,LISTADHERENT!A$5:H$51,2)</f>
        <v>CHINGUE FABRICE</v>
      </c>
      <c r="C8" s="7">
        <f>TONT20000DEC2015!$O8</f>
        <v>0</v>
      </c>
      <c r="D8" s="7">
        <f>TONT20000DEC2015!$P8</f>
        <v>0</v>
      </c>
      <c r="E8" s="7">
        <f>TONT20000DEC2015!$Q8</f>
        <v>0</v>
      </c>
      <c r="F8" s="7">
        <f>TONT20000JANV!$M8</f>
        <v>1000000</v>
      </c>
      <c r="G8" s="7">
        <f>TONT20000JANV!$N8</f>
        <v>60000</v>
      </c>
      <c r="H8" s="7">
        <f>TONT20000JANV!$O8</f>
        <v>0</v>
      </c>
      <c r="I8" s="7">
        <f>TONT20000FEV!$M8</f>
        <v>0</v>
      </c>
      <c r="J8" s="7">
        <f>TONT20000FEV!$N8</f>
        <v>0</v>
      </c>
      <c r="K8" s="7">
        <f>TONT20000FEV!$O8</f>
        <v>0</v>
      </c>
      <c r="L8" s="7">
        <f>TONT20000MARS!$M8</f>
        <v>0</v>
      </c>
      <c r="M8" s="7">
        <f>TONT20000MARS!$N8</f>
        <v>0</v>
      </c>
      <c r="N8" s="7">
        <f>TONT20000MARS!$O8</f>
        <v>0</v>
      </c>
      <c r="O8" s="7">
        <f>TONT20000AVRIL!$M8</f>
        <v>0</v>
      </c>
      <c r="P8" s="7">
        <f>TONT20000AVRIL!$N8</f>
        <v>0</v>
      </c>
      <c r="Q8" s="7">
        <f>TONT20000AVRIL!$O8</f>
        <v>0</v>
      </c>
      <c r="R8" s="7">
        <f>TONT20000MAI!$M8</f>
        <v>0</v>
      </c>
      <c r="S8" s="7">
        <f>TONT20000MAI!$N8</f>
        <v>0</v>
      </c>
      <c r="T8" s="7">
        <f>TONT20000MAI!$O8</f>
        <v>0</v>
      </c>
      <c r="U8" s="7">
        <f>TONT20000JUIN!$M8</f>
        <v>1000000</v>
      </c>
      <c r="V8" s="7">
        <f>TONT20000JUIN!$N8</f>
        <v>120000</v>
      </c>
      <c r="W8" s="7">
        <f>TONT20000JUIN!$O8</f>
        <v>1000000</v>
      </c>
      <c r="X8" s="7">
        <f>TONT20000JUIL!$M8</f>
        <v>0</v>
      </c>
      <c r="Y8" s="7">
        <f>TONT20000JUIL!$N8</f>
        <v>0</v>
      </c>
      <c r="Z8" s="7">
        <f>TONT20000JUIL!$O8</f>
        <v>0</v>
      </c>
      <c r="AA8" s="7">
        <f>TONT20000AOUT!$M8</f>
        <v>0</v>
      </c>
      <c r="AB8" s="7">
        <f>TONT20000AOUT!$N8</f>
        <v>0</v>
      </c>
      <c r="AC8" s="7">
        <f>TONT20000AOUT!$O8</f>
        <v>0</v>
      </c>
      <c r="AD8" s="7">
        <f>TONT20000SEPT!$M8</f>
        <v>0</v>
      </c>
      <c r="AE8" s="7">
        <f>TONT20000SEPT!$N8</f>
        <v>0</v>
      </c>
      <c r="AF8" s="7">
        <f>TONT20000SEPT!$O8</f>
        <v>0</v>
      </c>
      <c r="AG8" s="7">
        <f>TONT20000OCT!$M8</f>
        <v>0</v>
      </c>
      <c r="AH8" s="7">
        <f>TONT20000OCT!$N8</f>
        <v>0</v>
      </c>
      <c r="AI8" s="7">
        <f>TONT20000OCT!$O8</f>
        <v>0</v>
      </c>
      <c r="AJ8" s="7">
        <f>TONT20000NOV!$N8</f>
        <v>0</v>
      </c>
      <c r="AK8" s="7">
        <f>TONT20000NOV!$O8</f>
        <v>0</v>
      </c>
      <c r="AL8" s="7">
        <f>TONT20000NOV!$P8</f>
        <v>0</v>
      </c>
    </row>
    <row r="9" spans="1:38" x14ac:dyDescent="0.25">
      <c r="A9" s="1" t="s">
        <v>14</v>
      </c>
      <c r="B9" s="1" t="str">
        <f>VLOOKUP(A9,LISTADHERENT!A$5:H$51,2)</f>
        <v xml:space="preserve">DJOMO JEAN PAUL </v>
      </c>
      <c r="C9" s="7">
        <f>TONT20000DEC2015!$O9</f>
        <v>0</v>
      </c>
      <c r="D9" s="7">
        <f>TONT20000DEC2015!$P9</f>
        <v>0</v>
      </c>
      <c r="E9" s="7">
        <f>TONT20000DEC2015!$Q9</f>
        <v>0</v>
      </c>
      <c r="F9" s="7">
        <f>TONT20000JANV!$M9</f>
        <v>0</v>
      </c>
      <c r="G9" s="7">
        <f>TONT20000JANV!$N9</f>
        <v>0</v>
      </c>
      <c r="H9" s="7">
        <f>TONT20000JANV!$O9</f>
        <v>0</v>
      </c>
      <c r="I9" s="7">
        <f>TONT20000FEV!$M9</f>
        <v>0</v>
      </c>
      <c r="J9" s="7">
        <f>TONT20000FEV!$N9</f>
        <v>0</v>
      </c>
      <c r="K9" s="7">
        <f>TONT20000FEV!$O9</f>
        <v>0</v>
      </c>
      <c r="L9" s="7">
        <f>TONT20000MARS!$M9</f>
        <v>0</v>
      </c>
      <c r="M9" s="7">
        <f>TONT20000MARS!$N9</f>
        <v>0</v>
      </c>
      <c r="N9" s="7">
        <f>TONT20000MARS!$O9</f>
        <v>0</v>
      </c>
      <c r="O9" s="7">
        <f>TONT20000AVRIL!$M9</f>
        <v>0</v>
      </c>
      <c r="P9" s="7">
        <f>TONT20000AVRIL!$N9</f>
        <v>0</v>
      </c>
      <c r="Q9" s="7">
        <f>TONT20000AVRIL!$O9</f>
        <v>0</v>
      </c>
      <c r="R9" s="7">
        <f>TONT20000MAI!$M9</f>
        <v>0</v>
      </c>
      <c r="S9" s="7">
        <f>TONT20000MAI!$N9</f>
        <v>0</v>
      </c>
      <c r="T9" s="7">
        <f>TONT20000MAI!$O9</f>
        <v>0</v>
      </c>
      <c r="U9" s="7">
        <f>TONT20000JUIN!$M9</f>
        <v>0</v>
      </c>
      <c r="V9" s="7">
        <f>TONT20000JUIN!$N9</f>
        <v>0</v>
      </c>
      <c r="W9" s="7">
        <f>TONT20000JUIN!$O9</f>
        <v>0</v>
      </c>
      <c r="X9" s="7">
        <f>TONT20000JUIL!$M9</f>
        <v>0</v>
      </c>
      <c r="Y9" s="7">
        <f>TONT20000JUIL!$N9</f>
        <v>0</v>
      </c>
      <c r="Z9" s="7">
        <f>TONT20000JUIL!$O9</f>
        <v>0</v>
      </c>
      <c r="AA9" s="7">
        <f>TONT20000AOUT!$M9</f>
        <v>100000</v>
      </c>
      <c r="AB9" s="7">
        <f>TONT20000AOUT!$N9</f>
        <v>3000</v>
      </c>
      <c r="AC9" s="7">
        <f>TONT20000AOUT!$O9</f>
        <v>0</v>
      </c>
      <c r="AD9" s="7">
        <f>TONT20000SEPT!$M9</f>
        <v>0</v>
      </c>
      <c r="AE9" s="7">
        <f>TONT20000SEPT!$N9</f>
        <v>0</v>
      </c>
      <c r="AF9" s="7">
        <f>TONT20000SEPT!$O9</f>
        <v>0</v>
      </c>
      <c r="AG9" s="7">
        <f>TONT20000OCT!$M9</f>
        <v>0</v>
      </c>
      <c r="AH9" s="7">
        <f>TONT20000OCT!$N9</f>
        <v>0</v>
      </c>
      <c r="AI9" s="7">
        <f>TONT20000OCT!$O9</f>
        <v>0</v>
      </c>
      <c r="AJ9" s="7">
        <f>TONT20000NOV!$N9</f>
        <v>100000</v>
      </c>
      <c r="AK9" s="7">
        <f>TONT20000NOV!$O9</f>
        <v>3000</v>
      </c>
      <c r="AL9" s="7">
        <f>TONT20000NOV!$P9</f>
        <v>0</v>
      </c>
    </row>
    <row r="10" spans="1:38" x14ac:dyDescent="0.25">
      <c r="A10" s="1" t="s">
        <v>15</v>
      </c>
      <c r="B10" s="1" t="str">
        <f>VLOOKUP(A10,LISTADHERENT!A$5:H$51,2)</f>
        <v>DJOUKWE GUY</v>
      </c>
      <c r="C10" s="7">
        <f>TONT20000DEC2015!$O10</f>
        <v>0</v>
      </c>
      <c r="D10" s="7">
        <f>TONT20000DEC2015!$P10</f>
        <v>0</v>
      </c>
      <c r="E10" s="7">
        <f>TONT20000DEC2015!$Q10</f>
        <v>0</v>
      </c>
      <c r="F10" s="7">
        <f>TONT20000JANV!$M10</f>
        <v>0</v>
      </c>
      <c r="G10" s="7">
        <f>TONT20000JANV!$N10</f>
        <v>0</v>
      </c>
      <c r="H10" s="7">
        <f>TONT20000JANV!$O10</f>
        <v>0</v>
      </c>
      <c r="I10" s="7">
        <f>TONT20000FEV!$M10</f>
        <v>250000</v>
      </c>
      <c r="J10" s="7">
        <f>TONT20000FEV!$N10</f>
        <v>7500</v>
      </c>
      <c r="K10" s="7">
        <f>TONT20000FEV!$O10</f>
        <v>0</v>
      </c>
      <c r="L10" s="7">
        <f>TONT20000MARS!$M10</f>
        <v>0</v>
      </c>
      <c r="M10" s="7">
        <f>TONT20000MARS!$N10</f>
        <v>0</v>
      </c>
      <c r="N10" s="7">
        <f>TONT20000MARS!$O10</f>
        <v>0</v>
      </c>
      <c r="O10" s="7">
        <f>TONT20000AVRIL!$M10</f>
        <v>0</v>
      </c>
      <c r="P10" s="7">
        <f>TONT20000AVRIL!$N10</f>
        <v>0</v>
      </c>
      <c r="Q10" s="7">
        <f>TONT20000AVRIL!$O10</f>
        <v>0</v>
      </c>
      <c r="R10" s="7">
        <f>TONT20000MAI!$M10</f>
        <v>0</v>
      </c>
      <c r="S10" s="7">
        <f>TONT20000MAI!$N10</f>
        <v>0</v>
      </c>
      <c r="T10" s="7">
        <f>TONT20000MAI!$O10</f>
        <v>0</v>
      </c>
      <c r="U10" s="7">
        <f>TONT20000JUIN!$M10</f>
        <v>0</v>
      </c>
      <c r="V10" s="7">
        <f>TONT20000JUIN!$N10</f>
        <v>0</v>
      </c>
      <c r="W10" s="7">
        <f>TONT20000JUIN!$O10</f>
        <v>0</v>
      </c>
      <c r="X10" s="7">
        <f>TONT20000JUIL!$M10</f>
        <v>0</v>
      </c>
      <c r="Y10" s="7">
        <f>TONT20000JUIL!$N10</f>
        <v>0</v>
      </c>
      <c r="Z10" s="7">
        <f>TONT20000JUIL!$O10</f>
        <v>0</v>
      </c>
      <c r="AA10" s="7">
        <f>TONT20000AOUT!$M10</f>
        <v>0</v>
      </c>
      <c r="AB10" s="7">
        <f>TONT20000AOUT!$N10</f>
        <v>0</v>
      </c>
      <c r="AC10" s="7">
        <f>TONT20000AOUT!$O10</f>
        <v>0</v>
      </c>
      <c r="AD10" s="7">
        <f>TONT20000SEPT!$M10</f>
        <v>0</v>
      </c>
      <c r="AE10" s="7">
        <f>TONT20000SEPT!$N10</f>
        <v>0</v>
      </c>
      <c r="AF10" s="7">
        <f>TONT20000SEPT!$O10</f>
        <v>0</v>
      </c>
      <c r="AG10" s="7">
        <f>TONT20000OCT!$M10</f>
        <v>0</v>
      </c>
      <c r="AH10" s="7">
        <f>TONT20000OCT!$N10</f>
        <v>0</v>
      </c>
      <c r="AI10" s="7">
        <f>TONT20000OCT!$O10</f>
        <v>0</v>
      </c>
      <c r="AJ10" s="7">
        <f>TONT20000NOV!$N10</f>
        <v>0</v>
      </c>
      <c r="AK10" s="7">
        <f>TONT20000NOV!$O10</f>
        <v>0</v>
      </c>
      <c r="AL10" s="7">
        <f>TONT20000NOV!$P10</f>
        <v>0</v>
      </c>
    </row>
    <row r="11" spans="1:38" x14ac:dyDescent="0.25">
      <c r="A11" s="1" t="s">
        <v>16</v>
      </c>
      <c r="B11" s="1" t="str">
        <f>VLOOKUP(A11,LISTADHERENT!A$5:H$51,2)</f>
        <v>DJOSSEU JOSUE</v>
      </c>
      <c r="C11" s="7">
        <f>TONT20000DEC2015!$O11</f>
        <v>0</v>
      </c>
      <c r="D11" s="7">
        <f>TONT20000DEC2015!$P11</f>
        <v>0</v>
      </c>
      <c r="E11" s="7">
        <f>TONT20000DEC2015!$Q11</f>
        <v>0</v>
      </c>
      <c r="F11" s="7">
        <f>TONT20000JANV!$M11</f>
        <v>0</v>
      </c>
      <c r="G11" s="7">
        <f>TONT20000JANV!$N11</f>
        <v>0</v>
      </c>
      <c r="H11" s="7">
        <f>TONT20000JANV!$O11</f>
        <v>0</v>
      </c>
      <c r="I11" s="7">
        <f>TONT20000FEV!$M11</f>
        <v>0</v>
      </c>
      <c r="J11" s="7">
        <f>TONT20000FEV!$N11</f>
        <v>0</v>
      </c>
      <c r="K11" s="7">
        <f>TONT20000FEV!$O11</f>
        <v>0</v>
      </c>
      <c r="L11" s="7">
        <f>TONT20000MARS!$M11</f>
        <v>0</v>
      </c>
      <c r="M11" s="7">
        <f>TONT20000MARS!$N11</f>
        <v>0</v>
      </c>
      <c r="N11" s="7">
        <f>TONT20000MARS!$O11</f>
        <v>0</v>
      </c>
      <c r="O11" s="7">
        <f>TONT20000AVRIL!$M11</f>
        <v>0</v>
      </c>
      <c r="P11" s="7">
        <f>TONT20000AVRIL!$N11</f>
        <v>0</v>
      </c>
      <c r="Q11" s="7">
        <f>TONT20000AVRIL!$O11</f>
        <v>0</v>
      </c>
      <c r="R11" s="7">
        <f>TONT20000MAI!$M11</f>
        <v>0</v>
      </c>
      <c r="S11" s="7">
        <f>TONT20000MAI!$N11</f>
        <v>0</v>
      </c>
      <c r="T11" s="7">
        <f>TONT20000MAI!$O11</f>
        <v>0</v>
      </c>
      <c r="U11" s="7">
        <f>TONT20000JUIN!$M11</f>
        <v>0</v>
      </c>
      <c r="V11" s="7">
        <f>TONT20000JUIN!$N11</f>
        <v>0</v>
      </c>
      <c r="W11" s="7">
        <f>TONT20000JUIN!$O11</f>
        <v>0</v>
      </c>
      <c r="X11" s="7">
        <f>TONT20000JUIL!$M11</f>
        <v>0</v>
      </c>
      <c r="Y11" s="7">
        <f>TONT20000JUIL!$N11</f>
        <v>0</v>
      </c>
      <c r="Z11" s="7">
        <f>TONT20000JUIL!$O11</f>
        <v>0</v>
      </c>
      <c r="AA11" s="7">
        <f>TONT20000AOUT!$M11</f>
        <v>0</v>
      </c>
      <c r="AB11" s="7">
        <f>TONT20000AOUT!$N11</f>
        <v>0</v>
      </c>
      <c r="AC11" s="7">
        <f>TONT20000AOUT!$O11</f>
        <v>0</v>
      </c>
      <c r="AD11" s="7">
        <f>TONT20000SEPT!$M11</f>
        <v>0</v>
      </c>
      <c r="AE11" s="7">
        <f>TONT20000SEPT!$N11</f>
        <v>0</v>
      </c>
      <c r="AF11" s="7">
        <f>TONT20000SEPT!$O11</f>
        <v>0</v>
      </c>
      <c r="AG11" s="7">
        <f>TONT20000OCT!$M11</f>
        <v>0</v>
      </c>
      <c r="AH11" s="7">
        <f>TONT20000OCT!$N11</f>
        <v>0</v>
      </c>
      <c r="AI11" s="7">
        <f>TONT20000OCT!$O11</f>
        <v>0</v>
      </c>
      <c r="AJ11" s="7">
        <f>TONT20000NOV!$N11</f>
        <v>0</v>
      </c>
      <c r="AK11" s="7">
        <f>TONT20000NOV!$O11</f>
        <v>0</v>
      </c>
      <c r="AL11" s="7">
        <f>TONT20000NOV!$P11</f>
        <v>0</v>
      </c>
    </row>
    <row r="12" spans="1:38" x14ac:dyDescent="0.25">
      <c r="A12" s="1" t="s">
        <v>17</v>
      </c>
      <c r="B12" s="1" t="str">
        <f>VLOOKUP(A12,LISTADHERENT!A$5:H$51,2)</f>
        <v>DJOUNKEP SAMUEL</v>
      </c>
      <c r="C12" s="7">
        <f>TONT20000DEC2015!$O12</f>
        <v>0</v>
      </c>
      <c r="D12" s="7">
        <f>TONT20000DEC2015!$P12</f>
        <v>0</v>
      </c>
      <c r="E12" s="7">
        <f>TONT20000DEC2015!$Q12</f>
        <v>0</v>
      </c>
      <c r="F12" s="7">
        <f>TONT20000JANV!$M12</f>
        <v>0</v>
      </c>
      <c r="G12" s="7">
        <f>TONT20000JANV!$N12</f>
        <v>0</v>
      </c>
      <c r="H12" s="7">
        <f>TONT20000JANV!$O12</f>
        <v>0</v>
      </c>
      <c r="I12" s="7">
        <f>TONT20000FEV!$M12</f>
        <v>0</v>
      </c>
      <c r="J12" s="7">
        <f>TONT20000FEV!$N12</f>
        <v>0</v>
      </c>
      <c r="K12" s="7">
        <f>TONT20000FEV!$O12</f>
        <v>0</v>
      </c>
      <c r="L12" s="7">
        <f>TONT20000MARS!$M12</f>
        <v>0</v>
      </c>
      <c r="M12" s="7">
        <f>TONT20000MARS!$N12</f>
        <v>0</v>
      </c>
      <c r="N12" s="7">
        <f>TONT20000MARS!$O12</f>
        <v>0</v>
      </c>
      <c r="O12" s="7">
        <f>TONT20000AVRIL!$M12</f>
        <v>0</v>
      </c>
      <c r="P12" s="7">
        <f>TONT20000AVRIL!$N12</f>
        <v>0</v>
      </c>
      <c r="Q12" s="7">
        <f>TONT20000AVRIL!$O12</f>
        <v>0</v>
      </c>
      <c r="R12" s="7">
        <f>TONT20000MAI!$M12</f>
        <v>0</v>
      </c>
      <c r="S12" s="7">
        <f>TONT20000MAI!$N12</f>
        <v>0</v>
      </c>
      <c r="T12" s="7">
        <f>TONT20000MAI!$O12</f>
        <v>0</v>
      </c>
      <c r="U12" s="7">
        <f>TONT20000JUIN!$M12</f>
        <v>0</v>
      </c>
      <c r="V12" s="7">
        <f>TONT20000JUIN!$N12</f>
        <v>0</v>
      </c>
      <c r="W12" s="7">
        <f>TONT20000JUIN!$O12</f>
        <v>0</v>
      </c>
      <c r="X12" s="7">
        <f>TONT20000JUIL!$M12</f>
        <v>0</v>
      </c>
      <c r="Y12" s="7">
        <f>TONT20000JUIL!$N12</f>
        <v>0</v>
      </c>
      <c r="Z12" s="7">
        <f>TONT20000JUIL!$O12</f>
        <v>0</v>
      </c>
      <c r="AA12" s="7">
        <f>TONT20000AOUT!$M12</f>
        <v>0</v>
      </c>
      <c r="AB12" s="7">
        <f>TONT20000AOUT!$N12</f>
        <v>0</v>
      </c>
      <c r="AC12" s="7">
        <f>TONT20000AOUT!$O12</f>
        <v>0</v>
      </c>
      <c r="AD12" s="7">
        <f>TONT20000SEPT!$M12</f>
        <v>0</v>
      </c>
      <c r="AE12" s="7">
        <f>TONT20000SEPT!$N12</f>
        <v>0</v>
      </c>
      <c r="AF12" s="7">
        <f>TONT20000SEPT!$O12</f>
        <v>0</v>
      </c>
      <c r="AG12" s="7">
        <f>TONT20000OCT!$M12</f>
        <v>0</v>
      </c>
      <c r="AH12" s="7">
        <f>TONT20000OCT!$N12</f>
        <v>0</v>
      </c>
      <c r="AI12" s="7">
        <f>TONT20000OCT!$O12</f>
        <v>0</v>
      </c>
      <c r="AJ12" s="7">
        <f>TONT20000NOV!$N12</f>
        <v>0</v>
      </c>
      <c r="AK12" s="7">
        <f>TONT20000NOV!$O12</f>
        <v>0</v>
      </c>
      <c r="AL12" s="7">
        <f>TONT20000NOV!$P12</f>
        <v>0</v>
      </c>
    </row>
    <row r="13" spans="1:38" x14ac:dyDescent="0.25">
      <c r="A13" s="1" t="s">
        <v>18</v>
      </c>
      <c r="B13" s="1" t="str">
        <f>VLOOKUP(A13,LISTADHERENT!A$5:H$51,2)</f>
        <v>DJUOMBESSY ANTOINE</v>
      </c>
      <c r="C13" s="7">
        <f>TONT20000DEC2015!$O13</f>
        <v>0</v>
      </c>
      <c r="D13" s="7">
        <f>TONT20000DEC2015!$P13</f>
        <v>0</v>
      </c>
      <c r="E13" s="7">
        <f>TONT20000DEC2015!$Q13</f>
        <v>0</v>
      </c>
      <c r="F13" s="7">
        <f>TONT20000JANV!$M13</f>
        <v>0</v>
      </c>
      <c r="G13" s="7">
        <f>TONT20000JANV!$N13</f>
        <v>0</v>
      </c>
      <c r="H13" s="7">
        <f>TONT20000JANV!$O13</f>
        <v>0</v>
      </c>
      <c r="I13" s="7">
        <f>TONT20000FEV!$M13</f>
        <v>0</v>
      </c>
      <c r="J13" s="7">
        <f>TONT20000FEV!$N13</f>
        <v>0</v>
      </c>
      <c r="K13" s="7">
        <f>TONT20000FEV!$O13</f>
        <v>0</v>
      </c>
      <c r="L13" s="7">
        <f>TONT20000MARS!$M13</f>
        <v>0</v>
      </c>
      <c r="M13" s="7">
        <f>TONT20000MARS!$N13</f>
        <v>0</v>
      </c>
      <c r="N13" s="7">
        <f>TONT20000MARS!$O13</f>
        <v>0</v>
      </c>
      <c r="O13" s="7">
        <f>TONT20000AVRIL!$M13</f>
        <v>0</v>
      </c>
      <c r="P13" s="7">
        <f>TONT20000AVRIL!$N13</f>
        <v>0</v>
      </c>
      <c r="Q13" s="7">
        <f>TONT20000AVRIL!$O13</f>
        <v>0</v>
      </c>
      <c r="R13" s="7">
        <f>TONT20000MAI!$M13</f>
        <v>0</v>
      </c>
      <c r="S13" s="7">
        <f>TONT20000MAI!$N13</f>
        <v>0</v>
      </c>
      <c r="T13" s="7">
        <f>TONT20000MAI!$O13</f>
        <v>0</v>
      </c>
      <c r="U13" s="7">
        <f>TONT20000JUIN!$M13</f>
        <v>0</v>
      </c>
      <c r="V13" s="7">
        <f>TONT20000JUIN!$N13</f>
        <v>0</v>
      </c>
      <c r="W13" s="7">
        <f>TONT20000JUIN!$O13</f>
        <v>0</v>
      </c>
      <c r="X13" s="7">
        <f>TONT20000JUIL!$M13</f>
        <v>0</v>
      </c>
      <c r="Y13" s="7">
        <f>TONT20000JUIL!$N13</f>
        <v>0</v>
      </c>
      <c r="Z13" s="7">
        <f>TONT20000JUIL!$O13</f>
        <v>0</v>
      </c>
      <c r="AA13" s="7">
        <f>TONT20000AOUT!$M13</f>
        <v>700000</v>
      </c>
      <c r="AB13" s="7">
        <f>TONT20000AOUT!$N13</f>
        <v>84000</v>
      </c>
      <c r="AC13" s="7">
        <f>TONT20000AOUT!$O13</f>
        <v>0</v>
      </c>
      <c r="AD13" s="7">
        <f>TONT20000SEPT!$M13</f>
        <v>0</v>
      </c>
      <c r="AE13" s="7">
        <f>TONT20000SEPT!$N13</f>
        <v>0</v>
      </c>
      <c r="AF13" s="7">
        <f>TONT20000SEPT!$O13</f>
        <v>0</v>
      </c>
      <c r="AG13" s="7">
        <f>TONT20000OCT!$M13</f>
        <v>0</v>
      </c>
      <c r="AH13" s="7">
        <f>TONT20000OCT!$N13</f>
        <v>0</v>
      </c>
      <c r="AI13" s="7">
        <f>TONT20000OCT!$O13</f>
        <v>0</v>
      </c>
      <c r="AJ13" s="7">
        <f>TONT20000NOV!$N13</f>
        <v>0</v>
      </c>
      <c r="AK13" s="7">
        <f>TONT20000NOV!$O13</f>
        <v>0</v>
      </c>
      <c r="AL13" s="7">
        <f>TONT20000NOV!$P13</f>
        <v>0</v>
      </c>
    </row>
    <row r="14" spans="1:38" x14ac:dyDescent="0.25">
      <c r="A14" s="1" t="s">
        <v>19</v>
      </c>
      <c r="B14" s="1" t="str">
        <f>VLOOKUP(A14,LISTADHERENT!A$5:H$51,2)</f>
        <v>DONHOU DAVID</v>
      </c>
      <c r="C14" s="7">
        <f>TONT20000DEC2015!$O14</f>
        <v>0</v>
      </c>
      <c r="D14" s="7">
        <f>TONT20000DEC2015!$P14</f>
        <v>0</v>
      </c>
      <c r="E14" s="7">
        <f>TONT20000DEC2015!$Q14</f>
        <v>0</v>
      </c>
      <c r="F14" s="7">
        <f>TONT20000JANV!$M14</f>
        <v>0</v>
      </c>
      <c r="G14" s="7">
        <f>TONT20000JANV!$N14</f>
        <v>0</v>
      </c>
      <c r="H14" s="7">
        <f>TONT20000JANV!$O14</f>
        <v>0</v>
      </c>
      <c r="I14" s="7">
        <f>TONT20000FEV!$M14</f>
        <v>0</v>
      </c>
      <c r="J14" s="7">
        <f>TONT20000FEV!$N14</f>
        <v>0</v>
      </c>
      <c r="K14" s="7">
        <f>TONT20000FEV!$O14</f>
        <v>0</v>
      </c>
      <c r="L14" s="7">
        <f>TONT20000MARS!$M14</f>
        <v>0</v>
      </c>
      <c r="M14" s="7">
        <f>TONT20000MARS!$N14</f>
        <v>0</v>
      </c>
      <c r="N14" s="7">
        <f>TONT20000MARS!$O14</f>
        <v>0</v>
      </c>
      <c r="O14" s="7">
        <f>TONT20000AVRIL!$M14</f>
        <v>0</v>
      </c>
      <c r="P14" s="7">
        <f>TONT20000AVRIL!$N14</f>
        <v>0</v>
      </c>
      <c r="Q14" s="7">
        <f>TONT20000AVRIL!$O14</f>
        <v>0</v>
      </c>
      <c r="R14" s="7">
        <f>TONT20000MAI!$M14</f>
        <v>0</v>
      </c>
      <c r="S14" s="7">
        <f>TONT20000MAI!$N14</f>
        <v>0</v>
      </c>
      <c r="T14" s="7">
        <f>TONT20000MAI!$O14</f>
        <v>0</v>
      </c>
      <c r="U14" s="7">
        <f>TONT20000JUIN!$M14</f>
        <v>0</v>
      </c>
      <c r="V14" s="7">
        <f>TONT20000JUIN!$N14</f>
        <v>0</v>
      </c>
      <c r="W14" s="7">
        <f>TONT20000JUIN!$O14</f>
        <v>0</v>
      </c>
      <c r="X14" s="7">
        <f>TONT20000JUIL!$M14</f>
        <v>0</v>
      </c>
      <c r="Y14" s="7">
        <f>TONT20000JUIL!$N14</f>
        <v>0</v>
      </c>
      <c r="Z14" s="7">
        <f>TONT20000JUIL!$O14</f>
        <v>0</v>
      </c>
      <c r="AA14" s="7">
        <f>TONT20000AOUT!$M14</f>
        <v>0</v>
      </c>
      <c r="AB14" s="7">
        <f>TONT20000AOUT!$N14</f>
        <v>0</v>
      </c>
      <c r="AC14" s="7">
        <f>TONT20000AOUT!$O14</f>
        <v>0</v>
      </c>
      <c r="AD14" s="7">
        <f>TONT20000SEPT!$M14</f>
        <v>0</v>
      </c>
      <c r="AE14" s="7">
        <f>TONT20000SEPT!$N14</f>
        <v>0</v>
      </c>
      <c r="AF14" s="7">
        <f>TONT20000SEPT!$O14</f>
        <v>0</v>
      </c>
      <c r="AG14" s="7">
        <f>TONT20000OCT!$M14</f>
        <v>0</v>
      </c>
      <c r="AH14" s="7">
        <f>TONT20000OCT!$N14</f>
        <v>0</v>
      </c>
      <c r="AI14" s="7">
        <f>TONT20000OCT!$O14</f>
        <v>0</v>
      </c>
      <c r="AJ14" s="7">
        <f>TONT20000NOV!$N14</f>
        <v>0</v>
      </c>
      <c r="AK14" s="7">
        <f>TONT20000NOV!$O14</f>
        <v>0</v>
      </c>
      <c r="AL14" s="7">
        <f>TONT20000NOV!$P14</f>
        <v>0</v>
      </c>
    </row>
    <row r="15" spans="1:38" x14ac:dyDescent="0.25">
      <c r="A15" s="1" t="s">
        <v>20</v>
      </c>
      <c r="B15" s="1" t="str">
        <f>VLOOKUP(A15,LISTADHERENT!A$5:H$51,2)</f>
        <v>FOTSO THOMAS</v>
      </c>
      <c r="C15" s="7">
        <f>TONT20000DEC2015!$O15</f>
        <v>0</v>
      </c>
      <c r="D15" s="7">
        <f>TONT20000DEC2015!$P15</f>
        <v>0</v>
      </c>
      <c r="E15" s="7">
        <f>TONT20000DEC2015!$Q15</f>
        <v>0</v>
      </c>
      <c r="F15" s="7">
        <f>TONT20000JANV!$M15</f>
        <v>0</v>
      </c>
      <c r="G15" s="7">
        <f>TONT20000JANV!$N15</f>
        <v>0</v>
      </c>
      <c r="H15" s="7">
        <f>TONT20000JANV!$O15</f>
        <v>0</v>
      </c>
      <c r="I15" s="7">
        <f>TONT20000FEV!$M15</f>
        <v>0</v>
      </c>
      <c r="J15" s="7">
        <f>TONT20000FEV!$N15</f>
        <v>0</v>
      </c>
      <c r="K15" s="7">
        <f>TONT20000FEV!$O15</f>
        <v>0</v>
      </c>
      <c r="L15" s="7">
        <f>TONT20000MARS!$M15</f>
        <v>0</v>
      </c>
      <c r="M15" s="7">
        <f>TONT20000MARS!$N15</f>
        <v>0</v>
      </c>
      <c r="N15" s="7">
        <f>TONT20000MARS!$O15</f>
        <v>0</v>
      </c>
      <c r="O15" s="7">
        <f>TONT20000AVRIL!$M15</f>
        <v>1000000</v>
      </c>
      <c r="P15" s="7">
        <f>TONT20000AVRIL!$N15</f>
        <v>120000</v>
      </c>
      <c r="Q15" s="7">
        <f>TONT20000AVRIL!$O15</f>
        <v>0</v>
      </c>
      <c r="R15" s="7">
        <f>TONT20000MAI!$M15</f>
        <v>0</v>
      </c>
      <c r="S15" s="7">
        <f>TONT20000MAI!$N15</f>
        <v>0</v>
      </c>
      <c r="T15" s="7">
        <f>TONT20000MAI!$O15</f>
        <v>0</v>
      </c>
      <c r="U15" s="7">
        <f>TONT20000JUIN!$M15</f>
        <v>0</v>
      </c>
      <c r="V15" s="7">
        <f>TONT20000JUIN!$N15</f>
        <v>0</v>
      </c>
      <c r="W15" s="7">
        <f>TONT20000JUIN!$O15</f>
        <v>0</v>
      </c>
      <c r="X15" s="7">
        <f>TONT20000JUIL!$M15</f>
        <v>0</v>
      </c>
      <c r="Y15" s="7">
        <f>TONT20000JUIL!$N15</f>
        <v>0</v>
      </c>
      <c r="Z15" s="7">
        <f>TONT20000JUIL!$O15</f>
        <v>0</v>
      </c>
      <c r="AA15" s="7">
        <f>TONT20000AOUT!$M15</f>
        <v>0</v>
      </c>
      <c r="AB15" s="7">
        <f>TONT20000AOUT!$N15</f>
        <v>0</v>
      </c>
      <c r="AC15" s="7">
        <f>TONT20000AOUT!$O15</f>
        <v>0</v>
      </c>
      <c r="AD15" s="7">
        <f>TONT20000SEPT!$M15</f>
        <v>0</v>
      </c>
      <c r="AE15" s="7">
        <f>TONT20000SEPT!$N15</f>
        <v>0</v>
      </c>
      <c r="AF15" s="7">
        <f>TONT20000SEPT!$O15</f>
        <v>0</v>
      </c>
      <c r="AG15" s="7">
        <f>TONT20000OCT!$M15</f>
        <v>0</v>
      </c>
      <c r="AH15" s="7">
        <f>TONT20000OCT!$N15</f>
        <v>0</v>
      </c>
      <c r="AI15" s="7">
        <f>TONT20000OCT!$O15</f>
        <v>0</v>
      </c>
      <c r="AJ15" s="7">
        <f>TONT20000NOV!$N15</f>
        <v>0</v>
      </c>
      <c r="AK15" s="7">
        <f>TONT20000NOV!$O15</f>
        <v>0</v>
      </c>
      <c r="AL15" s="7">
        <f>TONT20000NOV!$P15</f>
        <v>0</v>
      </c>
    </row>
    <row r="16" spans="1:38" x14ac:dyDescent="0.25">
      <c r="A16" s="1" t="s">
        <v>21</v>
      </c>
      <c r="B16" s="1" t="str">
        <f>VLOOKUP(A16,LISTADHERENT!A$5:H$51,2)</f>
        <v>HENGUE PAUL OMER</v>
      </c>
      <c r="C16" s="7">
        <f>TONT20000DEC2015!$O16</f>
        <v>0</v>
      </c>
      <c r="D16" s="7">
        <f>TONT20000DEC2015!$P16</f>
        <v>0</v>
      </c>
      <c r="E16" s="7">
        <f>TONT20000DEC2015!$Q16</f>
        <v>0</v>
      </c>
      <c r="F16" s="7">
        <f>TONT20000JANV!$M16</f>
        <v>0</v>
      </c>
      <c r="G16" s="7">
        <f>TONT20000JANV!$N16</f>
        <v>0</v>
      </c>
      <c r="H16" s="7">
        <f>TONT20000JANV!$O16</f>
        <v>0</v>
      </c>
      <c r="I16" s="7">
        <f>TONT20000FEV!$M16</f>
        <v>0</v>
      </c>
      <c r="J16" s="7">
        <f>TONT20000FEV!$N16</f>
        <v>0</v>
      </c>
      <c r="K16" s="7">
        <f>TONT20000FEV!$O16</f>
        <v>0</v>
      </c>
      <c r="L16" s="7">
        <f>TONT20000MARS!$M16</f>
        <v>0</v>
      </c>
      <c r="M16" s="7">
        <f>TONT20000MARS!$N16</f>
        <v>0</v>
      </c>
      <c r="N16" s="7">
        <f>TONT20000MARS!$O16</f>
        <v>0</v>
      </c>
      <c r="O16" s="7">
        <f>TONT20000AVRIL!$M16</f>
        <v>0</v>
      </c>
      <c r="P16" s="7">
        <f>TONT20000AVRIL!$N16</f>
        <v>0</v>
      </c>
      <c r="Q16" s="7">
        <f>TONT20000AVRIL!$O16</f>
        <v>0</v>
      </c>
      <c r="R16" s="7">
        <f>TONT20000MAI!$M16</f>
        <v>0</v>
      </c>
      <c r="S16" s="7">
        <f>TONT20000MAI!$N16</f>
        <v>0</v>
      </c>
      <c r="T16" s="7">
        <f>TONT20000MAI!$O16</f>
        <v>0</v>
      </c>
      <c r="U16" s="7">
        <f>TONT20000JUIN!$M16</f>
        <v>0</v>
      </c>
      <c r="V16" s="7">
        <f>TONT20000JUIN!$N16</f>
        <v>0</v>
      </c>
      <c r="W16" s="7">
        <f>TONT20000JUIN!$O16</f>
        <v>0</v>
      </c>
      <c r="X16" s="7">
        <f>TONT20000JUIL!$M16</f>
        <v>0</v>
      </c>
      <c r="Y16" s="7">
        <f>TONT20000JUIL!$N16</f>
        <v>0</v>
      </c>
      <c r="Z16" s="7">
        <f>TONT20000JUIL!$O16</f>
        <v>0</v>
      </c>
      <c r="AA16" s="7">
        <f>TONT20000AOUT!$M16</f>
        <v>0</v>
      </c>
      <c r="AB16" s="7">
        <f>TONT20000AOUT!$N16</f>
        <v>0</v>
      </c>
      <c r="AC16" s="7">
        <f>TONT20000AOUT!$O16</f>
        <v>0</v>
      </c>
      <c r="AD16" s="7">
        <f>TONT20000SEPT!$M16</f>
        <v>0</v>
      </c>
      <c r="AE16" s="7">
        <f>TONT20000SEPT!$N16</f>
        <v>0</v>
      </c>
      <c r="AF16" s="7">
        <f>TONT20000SEPT!$O16</f>
        <v>0</v>
      </c>
      <c r="AG16" s="7">
        <f>TONT20000OCT!$M16</f>
        <v>0</v>
      </c>
      <c r="AH16" s="7">
        <f>TONT20000OCT!$N16</f>
        <v>0</v>
      </c>
      <c r="AI16" s="7">
        <f>TONT20000OCT!$O16</f>
        <v>0</v>
      </c>
      <c r="AJ16" s="7">
        <f>TONT20000NOV!$N16</f>
        <v>0</v>
      </c>
      <c r="AK16" s="7">
        <f>TONT20000NOV!$O16</f>
        <v>0</v>
      </c>
      <c r="AL16" s="7">
        <f>TONT20000NOV!$P16</f>
        <v>0</v>
      </c>
    </row>
    <row r="17" spans="1:38" x14ac:dyDescent="0.25">
      <c r="A17" s="1" t="s">
        <v>22</v>
      </c>
      <c r="B17" s="1" t="str">
        <f>VLOOKUP(A17,LISTADHERENT!A$5:H$51,2)</f>
        <v>HODIEP JULES</v>
      </c>
      <c r="C17" s="7">
        <f>TONT20000DEC2015!$O17</f>
        <v>0</v>
      </c>
      <c r="D17" s="7">
        <f>TONT20000DEC2015!$P17</f>
        <v>0</v>
      </c>
      <c r="E17" s="7">
        <f>TONT20000DEC2015!$Q17</f>
        <v>0</v>
      </c>
      <c r="F17" s="7">
        <f>TONT20000JANV!$M17</f>
        <v>0</v>
      </c>
      <c r="G17" s="7">
        <f>TONT20000JANV!$N17</f>
        <v>0</v>
      </c>
      <c r="H17" s="7">
        <f>TONT20000JANV!$O17</f>
        <v>0</v>
      </c>
      <c r="I17" s="7">
        <f>TONT20000FEV!$M17</f>
        <v>0</v>
      </c>
      <c r="J17" s="7">
        <f>TONT20000FEV!$N17</f>
        <v>0</v>
      </c>
      <c r="K17" s="7">
        <f>TONT20000FEV!$O17</f>
        <v>0</v>
      </c>
      <c r="L17" s="7">
        <f>TONT20000MARS!$M17</f>
        <v>0</v>
      </c>
      <c r="M17" s="7">
        <f>TONT20000MARS!$N17</f>
        <v>0</v>
      </c>
      <c r="N17" s="7">
        <f>TONT20000MARS!$O17</f>
        <v>0</v>
      </c>
      <c r="O17" s="7">
        <f>TONT20000AVRIL!$M17</f>
        <v>0</v>
      </c>
      <c r="P17" s="7">
        <f>TONT20000AVRIL!$N17</f>
        <v>0</v>
      </c>
      <c r="Q17" s="7">
        <f>TONT20000AVRIL!$O17</f>
        <v>0</v>
      </c>
      <c r="R17" s="7">
        <f>TONT20000MAI!$M17</f>
        <v>0</v>
      </c>
      <c r="S17" s="7">
        <f>TONT20000MAI!$N17</f>
        <v>0</v>
      </c>
      <c r="T17" s="7">
        <f>TONT20000MAI!$O17</f>
        <v>0</v>
      </c>
      <c r="U17" s="7">
        <f>TONT20000JUIN!$M17</f>
        <v>0</v>
      </c>
      <c r="V17" s="7">
        <f>TONT20000JUIN!$N17</f>
        <v>0</v>
      </c>
      <c r="W17" s="7">
        <f>TONT20000JUIN!$O17</f>
        <v>0</v>
      </c>
      <c r="X17" s="7">
        <f>TONT20000JUIL!$M17</f>
        <v>0</v>
      </c>
      <c r="Y17" s="7">
        <f>TONT20000JUIL!$N17</f>
        <v>0</v>
      </c>
      <c r="Z17" s="7">
        <f>TONT20000JUIL!$O17</f>
        <v>0</v>
      </c>
      <c r="AA17" s="7">
        <f>TONT20000AOUT!$M17</f>
        <v>0</v>
      </c>
      <c r="AB17" s="7">
        <f>TONT20000AOUT!$N17</f>
        <v>0</v>
      </c>
      <c r="AC17" s="7">
        <f>TONT20000AOUT!$O17</f>
        <v>0</v>
      </c>
      <c r="AD17" s="7">
        <f>TONT20000SEPT!$M17</f>
        <v>0</v>
      </c>
      <c r="AE17" s="7">
        <f>TONT20000SEPT!$N17</f>
        <v>0</v>
      </c>
      <c r="AF17" s="7">
        <f>TONT20000SEPT!$O17</f>
        <v>0</v>
      </c>
      <c r="AG17" s="7">
        <f>TONT20000OCT!$M17</f>
        <v>0</v>
      </c>
      <c r="AH17" s="7">
        <f>TONT20000OCT!$N17</f>
        <v>0</v>
      </c>
      <c r="AI17" s="7">
        <f>TONT20000OCT!$O17</f>
        <v>0</v>
      </c>
      <c r="AJ17" s="7">
        <f>TONT20000NOV!$N17</f>
        <v>0</v>
      </c>
      <c r="AK17" s="7">
        <f>TONT20000NOV!$O17</f>
        <v>0</v>
      </c>
      <c r="AL17" s="7">
        <f>TONT20000NOV!$P17</f>
        <v>0</v>
      </c>
    </row>
    <row r="18" spans="1:38" x14ac:dyDescent="0.25">
      <c r="A18" s="1" t="s">
        <v>23</v>
      </c>
      <c r="B18" s="1" t="str">
        <f>VLOOKUP(A18,LISTADHERENT!A$5:H$51,2)</f>
        <v>HOTCHO BENJAMIN</v>
      </c>
      <c r="C18" s="7">
        <f>TONT20000DEC2015!$O18</f>
        <v>0</v>
      </c>
      <c r="D18" s="7">
        <f>TONT20000DEC2015!$P18</f>
        <v>0</v>
      </c>
      <c r="E18" s="7">
        <f>TONT20000DEC2015!$Q18</f>
        <v>0</v>
      </c>
      <c r="F18" s="7">
        <f>TONT20000JANV!$M18</f>
        <v>0</v>
      </c>
      <c r="G18" s="7">
        <f>TONT20000JANV!$N18</f>
        <v>0</v>
      </c>
      <c r="H18" s="7">
        <f>TONT20000JANV!$O18</f>
        <v>0</v>
      </c>
      <c r="I18" s="7">
        <f>TONT20000FEV!$M18</f>
        <v>0</v>
      </c>
      <c r="J18" s="7">
        <f>TONT20000FEV!$N18</f>
        <v>0</v>
      </c>
      <c r="K18" s="7">
        <f>TONT20000FEV!$O18</f>
        <v>0</v>
      </c>
      <c r="L18" s="7">
        <f>TONT20000MARS!$M18</f>
        <v>0</v>
      </c>
      <c r="M18" s="7">
        <f>TONT20000MARS!$N18</f>
        <v>0</v>
      </c>
      <c r="N18" s="7">
        <f>TONT20000MARS!$O18</f>
        <v>0</v>
      </c>
      <c r="O18" s="7">
        <f>TONT20000AVRIL!$M18</f>
        <v>0</v>
      </c>
      <c r="P18" s="7">
        <f>TONT20000AVRIL!$N18</f>
        <v>0</v>
      </c>
      <c r="Q18" s="7">
        <f>TONT20000AVRIL!$O18</f>
        <v>0</v>
      </c>
      <c r="R18" s="7">
        <f>TONT20000MAI!$M18</f>
        <v>0</v>
      </c>
      <c r="S18" s="7">
        <f>TONT20000MAI!$N18</f>
        <v>0</v>
      </c>
      <c r="T18" s="7">
        <f>TONT20000MAI!$O18</f>
        <v>0</v>
      </c>
      <c r="U18" s="7">
        <f>TONT20000JUIN!$M18</f>
        <v>0</v>
      </c>
      <c r="V18" s="7">
        <f>TONT20000JUIN!$N18</f>
        <v>0</v>
      </c>
      <c r="W18" s="7">
        <f>TONT20000JUIN!$O18</f>
        <v>0</v>
      </c>
      <c r="X18" s="7">
        <f>TONT20000JUIL!$M18</f>
        <v>0</v>
      </c>
      <c r="Y18" s="7">
        <f>TONT20000JUIL!$N18</f>
        <v>0</v>
      </c>
      <c r="Z18" s="7">
        <f>TONT20000JUIL!$O18</f>
        <v>0</v>
      </c>
      <c r="AA18" s="7">
        <f>TONT20000AOUT!$M18</f>
        <v>0</v>
      </c>
      <c r="AB18" s="7">
        <f>TONT20000AOUT!$N18</f>
        <v>0</v>
      </c>
      <c r="AC18" s="7">
        <f>TONT20000AOUT!$O18</f>
        <v>0</v>
      </c>
      <c r="AD18" s="7">
        <f>TONT20000SEPT!$M18</f>
        <v>0</v>
      </c>
      <c r="AE18" s="7">
        <f>TONT20000SEPT!$N18</f>
        <v>0</v>
      </c>
      <c r="AF18" s="7">
        <f>TONT20000SEPT!$O18</f>
        <v>0</v>
      </c>
      <c r="AG18" s="7">
        <f>TONT20000OCT!$M18</f>
        <v>0</v>
      </c>
      <c r="AH18" s="7">
        <f>TONT20000OCT!$N18</f>
        <v>0</v>
      </c>
      <c r="AI18" s="7">
        <f>TONT20000OCT!$O18</f>
        <v>0</v>
      </c>
      <c r="AJ18" s="7">
        <f>TONT20000NOV!$N18</f>
        <v>0</v>
      </c>
      <c r="AK18" s="7">
        <f>TONT20000NOV!$O18</f>
        <v>0</v>
      </c>
      <c r="AL18" s="7">
        <f>TONT20000NOV!$P18</f>
        <v>0</v>
      </c>
    </row>
    <row r="19" spans="1:38" x14ac:dyDescent="0.25">
      <c r="A19" s="1" t="s">
        <v>24</v>
      </c>
      <c r="B19" s="1" t="str">
        <f>VLOOKUP(A19,LISTADHERENT!A$5:H$51,2)</f>
        <v>KEPHE DAVID</v>
      </c>
      <c r="C19" s="7">
        <f>TONT20000DEC2015!$O19</f>
        <v>0</v>
      </c>
      <c r="D19" s="7">
        <f>TONT20000DEC2015!$P19</f>
        <v>0</v>
      </c>
      <c r="E19" s="7">
        <f>TONT20000DEC2015!$Q19</f>
        <v>0</v>
      </c>
      <c r="F19" s="7">
        <f>TONT20000JANV!$M19</f>
        <v>0</v>
      </c>
      <c r="G19" s="7">
        <f>TONT20000JANV!$N19</f>
        <v>0</v>
      </c>
      <c r="H19" s="7">
        <f>TONT20000JANV!$O19</f>
        <v>0</v>
      </c>
      <c r="I19" s="7">
        <f>TONT20000FEV!$M19</f>
        <v>0</v>
      </c>
      <c r="J19" s="7">
        <f>TONT20000FEV!$N19</f>
        <v>0</v>
      </c>
      <c r="K19" s="7">
        <f>TONT20000FEV!$O19</f>
        <v>0</v>
      </c>
      <c r="L19" s="7">
        <f>TONT20000MARS!$M19</f>
        <v>0</v>
      </c>
      <c r="M19" s="7">
        <f>TONT20000MARS!$N19</f>
        <v>0</v>
      </c>
      <c r="N19" s="7">
        <f>TONT20000MARS!$O19</f>
        <v>0</v>
      </c>
      <c r="O19" s="7">
        <f>TONT20000AVRIL!$M19</f>
        <v>0</v>
      </c>
      <c r="P19" s="7">
        <f>TONT20000AVRIL!$N19</f>
        <v>0</v>
      </c>
      <c r="Q19" s="7">
        <f>TONT20000AVRIL!$O19</f>
        <v>0</v>
      </c>
      <c r="R19" s="7">
        <f>TONT20000MAI!$M19</f>
        <v>0</v>
      </c>
      <c r="S19" s="7">
        <f>TONT20000MAI!$N19</f>
        <v>0</v>
      </c>
      <c r="T19" s="7">
        <f>TONT20000MAI!$O19</f>
        <v>0</v>
      </c>
      <c r="U19" s="7">
        <f>TONT20000JUIN!$M19</f>
        <v>0</v>
      </c>
      <c r="V19" s="7">
        <f>TONT20000JUIN!$N19</f>
        <v>0</v>
      </c>
      <c r="W19" s="7">
        <f>TONT20000JUIN!$O19</f>
        <v>0</v>
      </c>
      <c r="X19" s="7">
        <f>TONT20000JUIL!$M19</f>
        <v>0</v>
      </c>
      <c r="Y19" s="7">
        <f>TONT20000JUIL!$N19</f>
        <v>0</v>
      </c>
      <c r="Z19" s="7">
        <f>TONT20000JUIL!$O19</f>
        <v>0</v>
      </c>
      <c r="AA19" s="7">
        <f>TONT20000AOUT!$M19</f>
        <v>0</v>
      </c>
      <c r="AB19" s="7">
        <f>TONT20000AOUT!$N19</f>
        <v>0</v>
      </c>
      <c r="AC19" s="7">
        <f>TONT20000AOUT!$O19</f>
        <v>0</v>
      </c>
      <c r="AD19" s="7">
        <f>TONT20000SEPT!$M19</f>
        <v>0</v>
      </c>
      <c r="AE19" s="7">
        <f>TONT20000SEPT!$N19</f>
        <v>0</v>
      </c>
      <c r="AF19" s="7">
        <f>TONT20000SEPT!$O19</f>
        <v>0</v>
      </c>
      <c r="AG19" s="7">
        <f>TONT20000OCT!$M19</f>
        <v>0</v>
      </c>
      <c r="AH19" s="7">
        <f>TONT20000OCT!$N19</f>
        <v>0</v>
      </c>
      <c r="AI19" s="7">
        <f>TONT20000OCT!$O19</f>
        <v>0</v>
      </c>
      <c r="AJ19" s="7">
        <f>TONT20000NOV!$N19</f>
        <v>0</v>
      </c>
      <c r="AK19" s="7">
        <f>TONT20000NOV!$O19</f>
        <v>0</v>
      </c>
      <c r="AL19" s="7">
        <f>TONT20000NOV!$P19</f>
        <v>0</v>
      </c>
    </row>
    <row r="20" spans="1:38" x14ac:dyDescent="0.25">
      <c r="A20" s="1" t="s">
        <v>25</v>
      </c>
      <c r="B20" s="1" t="str">
        <f>VLOOKUP(A20,LISTADHERENT!A$5:H$51,2)</f>
        <v>KEPSEU FRANCIS</v>
      </c>
      <c r="C20" s="7">
        <f>TONT20000DEC2015!$O20</f>
        <v>0</v>
      </c>
      <c r="D20" s="7">
        <f>TONT20000DEC2015!$P20</f>
        <v>0</v>
      </c>
      <c r="E20" s="7">
        <f>TONT20000DEC2015!$Q20</f>
        <v>0</v>
      </c>
      <c r="F20" s="7">
        <f>TONT20000JANV!$M20</f>
        <v>0</v>
      </c>
      <c r="G20" s="7">
        <f>TONT20000JANV!$N20</f>
        <v>0</v>
      </c>
      <c r="H20" s="7">
        <f>TONT20000JANV!$O20</f>
        <v>0</v>
      </c>
      <c r="I20" s="7">
        <f>TONT20000FEV!$M20</f>
        <v>0</v>
      </c>
      <c r="J20" s="7">
        <f>TONT20000FEV!$N20</f>
        <v>0</v>
      </c>
      <c r="K20" s="7">
        <f>TONT20000FEV!$O20</f>
        <v>0</v>
      </c>
      <c r="L20" s="7">
        <f>TONT20000MARS!$M20</f>
        <v>0</v>
      </c>
      <c r="M20" s="7">
        <f>TONT20000MARS!$N20</f>
        <v>0</v>
      </c>
      <c r="N20" s="7">
        <f>TONT20000MARS!$O20</f>
        <v>0</v>
      </c>
      <c r="O20" s="7">
        <f>TONT20000AVRIL!$M20</f>
        <v>0</v>
      </c>
      <c r="P20" s="7">
        <f>TONT20000AVRIL!$N20</f>
        <v>0</v>
      </c>
      <c r="Q20" s="7">
        <f>TONT20000AVRIL!$O20</f>
        <v>0</v>
      </c>
      <c r="R20" s="7">
        <f>TONT20000MAI!$M20</f>
        <v>0</v>
      </c>
      <c r="S20" s="7">
        <f>TONT20000MAI!$N20</f>
        <v>0</v>
      </c>
      <c r="T20" s="7">
        <f>TONT20000MAI!$O20</f>
        <v>0</v>
      </c>
      <c r="U20" s="7">
        <f>TONT20000JUIN!$M20</f>
        <v>0</v>
      </c>
      <c r="V20" s="7">
        <f>TONT20000JUIN!$N20</f>
        <v>0</v>
      </c>
      <c r="W20" s="7">
        <f>TONT20000JUIN!$O20</f>
        <v>0</v>
      </c>
      <c r="X20" s="7">
        <f>TONT20000JUIL!$M20</f>
        <v>0</v>
      </c>
      <c r="Y20" s="7">
        <f>TONT20000JUIL!$N20</f>
        <v>0</v>
      </c>
      <c r="Z20" s="7">
        <f>TONT20000JUIL!$O20</f>
        <v>0</v>
      </c>
      <c r="AA20" s="7">
        <f>TONT20000AOUT!$M20</f>
        <v>0</v>
      </c>
      <c r="AB20" s="7">
        <f>TONT20000AOUT!$N20</f>
        <v>0</v>
      </c>
      <c r="AC20" s="7">
        <f>TONT20000AOUT!$O20</f>
        <v>0</v>
      </c>
      <c r="AD20" s="7">
        <f>TONT20000SEPT!$M20</f>
        <v>0</v>
      </c>
      <c r="AE20" s="7">
        <f>TONT20000SEPT!$N20</f>
        <v>0</v>
      </c>
      <c r="AF20" s="7">
        <f>TONT20000SEPT!$O20</f>
        <v>0</v>
      </c>
      <c r="AG20" s="7">
        <f>TONT20000OCT!$M20</f>
        <v>0</v>
      </c>
      <c r="AH20" s="7">
        <f>TONT20000OCT!$N20</f>
        <v>0</v>
      </c>
      <c r="AI20" s="7">
        <f>TONT20000OCT!$O20</f>
        <v>0</v>
      </c>
      <c r="AJ20" s="7">
        <f>TONT20000NOV!$N20</f>
        <v>0</v>
      </c>
      <c r="AK20" s="7">
        <f>TONT20000NOV!$O20</f>
        <v>0</v>
      </c>
      <c r="AL20" s="7">
        <f>TONT20000NOV!$P20</f>
        <v>0</v>
      </c>
    </row>
    <row r="21" spans="1:38" x14ac:dyDescent="0.25">
      <c r="A21" s="1" t="s">
        <v>26</v>
      </c>
      <c r="B21" s="1" t="str">
        <f>VLOOKUP(A21,LISTADHERENT!A$5:H$51,2)</f>
        <v>KOUAMOU EMMANUEL</v>
      </c>
      <c r="C21" s="7">
        <f>TONT20000DEC2015!$O21</f>
        <v>0</v>
      </c>
      <c r="D21" s="7">
        <f>TONT20000DEC2015!$P21</f>
        <v>0</v>
      </c>
      <c r="E21" s="7">
        <f>TONT20000DEC2015!$Q21</f>
        <v>0</v>
      </c>
      <c r="F21" s="7">
        <f>TONT20000JANV!$M21</f>
        <v>0</v>
      </c>
      <c r="G21" s="7">
        <f>TONT20000JANV!$N21</f>
        <v>0</v>
      </c>
      <c r="H21" s="7">
        <f>TONT20000JANV!$O21</f>
        <v>0</v>
      </c>
      <c r="I21" s="7">
        <f>TONT20000FEV!$M21</f>
        <v>0</v>
      </c>
      <c r="J21" s="7">
        <f>TONT20000FEV!$N21</f>
        <v>0</v>
      </c>
      <c r="K21" s="7">
        <f>TONT20000FEV!$O21</f>
        <v>0</v>
      </c>
      <c r="L21" s="7">
        <f>TONT20000MARS!$M21</f>
        <v>0</v>
      </c>
      <c r="M21" s="7">
        <f>TONT20000MARS!$N21</f>
        <v>0</v>
      </c>
      <c r="N21" s="7">
        <f>TONT20000MARS!$O21</f>
        <v>0</v>
      </c>
      <c r="O21" s="7">
        <f>TONT20000AVRIL!$M21</f>
        <v>0</v>
      </c>
      <c r="P21" s="7">
        <f>TONT20000AVRIL!$N21</f>
        <v>0</v>
      </c>
      <c r="Q21" s="7">
        <f>TONT20000AVRIL!$O21</f>
        <v>0</v>
      </c>
      <c r="R21" s="7">
        <f>TONT20000MAI!$M21</f>
        <v>0</v>
      </c>
      <c r="S21" s="7">
        <f>TONT20000MAI!$N21</f>
        <v>0</v>
      </c>
      <c r="T21" s="7">
        <f>TONT20000MAI!$O21</f>
        <v>0</v>
      </c>
      <c r="U21" s="7">
        <f>TONT20000JUIN!$M21</f>
        <v>0</v>
      </c>
      <c r="V21" s="7">
        <f>TONT20000JUIN!$N21</f>
        <v>0</v>
      </c>
      <c r="W21" s="7">
        <f>TONT20000JUIN!$O21</f>
        <v>0</v>
      </c>
      <c r="X21" s="7">
        <f>TONT20000JUIL!$M21</f>
        <v>1000000</v>
      </c>
      <c r="Y21" s="7">
        <f>TONT20000JUIL!$N21</f>
        <v>120000</v>
      </c>
      <c r="Z21" s="7">
        <f>TONT20000JUIL!$O21</f>
        <v>0</v>
      </c>
      <c r="AA21" s="7">
        <f>TONT20000AOUT!$M21</f>
        <v>0</v>
      </c>
      <c r="AB21" s="7">
        <f>TONT20000AOUT!$N21</f>
        <v>0</v>
      </c>
      <c r="AC21" s="7">
        <f>TONT20000AOUT!$O21</f>
        <v>0</v>
      </c>
      <c r="AD21" s="7">
        <f>TONT20000SEPT!$M21</f>
        <v>0</v>
      </c>
      <c r="AE21" s="7">
        <f>TONT20000SEPT!$N21</f>
        <v>0</v>
      </c>
      <c r="AF21" s="7">
        <f>TONT20000SEPT!$O21</f>
        <v>0</v>
      </c>
      <c r="AG21" s="7">
        <f>TONT20000OCT!$M21</f>
        <v>0</v>
      </c>
      <c r="AH21" s="7">
        <f>TONT20000OCT!$N21</f>
        <v>0</v>
      </c>
      <c r="AI21" s="7">
        <f>TONT20000OCT!$O21</f>
        <v>0</v>
      </c>
      <c r="AJ21" s="7">
        <f>TONT20000NOV!$N21</f>
        <v>0</v>
      </c>
      <c r="AK21" s="7">
        <f>TONT20000NOV!$O21</f>
        <v>0</v>
      </c>
      <c r="AL21" s="7">
        <f>TONT20000NOV!$P21</f>
        <v>0</v>
      </c>
    </row>
    <row r="22" spans="1:38" x14ac:dyDescent="0.25">
      <c r="A22" s="1" t="s">
        <v>27</v>
      </c>
      <c r="B22" s="1" t="str">
        <f>VLOOKUP(A22,LISTADHERENT!A$5:H$51,2)</f>
        <v>KOUAMOU MOISE</v>
      </c>
      <c r="C22" s="7">
        <f>TONT20000DEC2015!$O22</f>
        <v>0</v>
      </c>
      <c r="D22" s="7">
        <f>TONT20000DEC2015!$P22</f>
        <v>0</v>
      </c>
      <c r="E22" s="7">
        <f>TONT20000DEC2015!$Q22</f>
        <v>0</v>
      </c>
      <c r="F22" s="7">
        <f>TONT20000JANV!$M22</f>
        <v>0</v>
      </c>
      <c r="G22" s="7">
        <f>TONT20000JANV!$N22</f>
        <v>0</v>
      </c>
      <c r="H22" s="7">
        <f>TONT20000JANV!$O22</f>
        <v>0</v>
      </c>
      <c r="I22" s="7">
        <f>TONT20000FEV!$M22</f>
        <v>0</v>
      </c>
      <c r="J22" s="7">
        <f>TONT20000FEV!$N22</f>
        <v>0</v>
      </c>
      <c r="K22" s="7">
        <f>TONT20000FEV!$O22</f>
        <v>0</v>
      </c>
      <c r="L22" s="7">
        <f>TONT20000MARS!$M22</f>
        <v>0</v>
      </c>
      <c r="M22" s="7">
        <f>TONT20000MARS!$N22</f>
        <v>0</v>
      </c>
      <c r="N22" s="7">
        <f>TONT20000MARS!$O22</f>
        <v>0</v>
      </c>
      <c r="O22" s="7">
        <f>TONT20000AVRIL!$M22</f>
        <v>0</v>
      </c>
      <c r="P22" s="7">
        <f>TONT20000AVRIL!$N22</f>
        <v>0</v>
      </c>
      <c r="Q22" s="7">
        <f>TONT20000AVRIL!$O22</f>
        <v>0</v>
      </c>
      <c r="R22" s="7">
        <f>TONT20000MAI!$M22</f>
        <v>0</v>
      </c>
      <c r="S22" s="7">
        <f>TONT20000MAI!$N22</f>
        <v>0</v>
      </c>
      <c r="T22" s="7">
        <f>TONT20000MAI!$O22</f>
        <v>0</v>
      </c>
      <c r="U22" s="7">
        <f>TONT20000JUIN!$M22</f>
        <v>60000</v>
      </c>
      <c r="V22" s="7">
        <f>TONT20000JUIN!$N22</f>
        <v>1800</v>
      </c>
      <c r="W22" s="7">
        <f>TONT20000JUIN!$O22</f>
        <v>0</v>
      </c>
      <c r="X22" s="7">
        <f>TONT20000JUIL!$M22</f>
        <v>800000</v>
      </c>
      <c r="Y22" s="7">
        <f>TONT20000JUIL!$N22</f>
        <v>96000</v>
      </c>
      <c r="Z22" s="7">
        <f>TONT20000JUIL!$O22</f>
        <v>0</v>
      </c>
      <c r="AA22" s="7">
        <f>TONT20000AOUT!$M22</f>
        <v>0</v>
      </c>
      <c r="AB22" s="7">
        <f>TONT20000AOUT!$N22</f>
        <v>0</v>
      </c>
      <c r="AC22" s="7">
        <f>TONT20000AOUT!$O22</f>
        <v>0</v>
      </c>
      <c r="AD22" s="7">
        <f>TONT20000SEPT!$M22</f>
        <v>0</v>
      </c>
      <c r="AE22" s="7">
        <f>TONT20000SEPT!$N22</f>
        <v>0</v>
      </c>
      <c r="AF22" s="7">
        <f>TONT20000SEPT!$O22</f>
        <v>0</v>
      </c>
      <c r="AG22" s="7">
        <f>TONT20000OCT!$M22</f>
        <v>0</v>
      </c>
      <c r="AH22" s="7">
        <f>TONT20000OCT!$N22</f>
        <v>0</v>
      </c>
      <c r="AI22" s="7">
        <f>TONT20000OCT!$O22</f>
        <v>0</v>
      </c>
      <c r="AJ22" s="7">
        <f>TONT20000NOV!$N22</f>
        <v>0</v>
      </c>
      <c r="AK22" s="7">
        <f>TONT20000NOV!$O22</f>
        <v>0</v>
      </c>
      <c r="AL22" s="7">
        <f>TONT20000NOV!$P22</f>
        <v>0</v>
      </c>
    </row>
    <row r="23" spans="1:38" x14ac:dyDescent="0.25">
      <c r="A23" s="1" t="s">
        <v>28</v>
      </c>
      <c r="B23" s="1" t="str">
        <f>VLOOKUP(A23,LISTADHERENT!A$5:H$51,2)</f>
        <v>KOUAMOU VICTOR PEGUY</v>
      </c>
      <c r="C23" s="7">
        <f>TONT20000DEC2015!$O23</f>
        <v>0</v>
      </c>
      <c r="D23" s="7">
        <f>TONT20000DEC2015!$P23</f>
        <v>0</v>
      </c>
      <c r="E23" s="7">
        <f>TONT20000DEC2015!$Q23</f>
        <v>0</v>
      </c>
      <c r="F23" s="7">
        <f>TONT20000JANV!$M23</f>
        <v>0</v>
      </c>
      <c r="G23" s="7">
        <f>TONT20000JANV!$N23</f>
        <v>0</v>
      </c>
      <c r="H23" s="7">
        <f>TONT20000JANV!$O23</f>
        <v>0</v>
      </c>
      <c r="I23" s="7">
        <f>TONT20000FEV!$M23</f>
        <v>0</v>
      </c>
      <c r="J23" s="7">
        <f>TONT20000FEV!$N23</f>
        <v>0</v>
      </c>
      <c r="K23" s="7">
        <f>TONT20000FEV!$O23</f>
        <v>0</v>
      </c>
      <c r="L23" s="7">
        <f>TONT20000MARS!$M23</f>
        <v>0</v>
      </c>
      <c r="M23" s="7">
        <f>TONT20000MARS!$N23</f>
        <v>0</v>
      </c>
      <c r="N23" s="7">
        <f>TONT20000MARS!$O23</f>
        <v>0</v>
      </c>
      <c r="O23" s="7">
        <f>TONT20000AVRIL!$M23</f>
        <v>0</v>
      </c>
      <c r="P23" s="7">
        <f>TONT20000AVRIL!$N23</f>
        <v>0</v>
      </c>
      <c r="Q23" s="7">
        <f>TONT20000AVRIL!$O23</f>
        <v>0</v>
      </c>
      <c r="R23" s="7">
        <f>TONT20000MAI!$M23</f>
        <v>0</v>
      </c>
      <c r="S23" s="7">
        <f>TONT20000MAI!$N23</f>
        <v>0</v>
      </c>
      <c r="T23" s="7">
        <f>TONT20000MAI!$O23</f>
        <v>0</v>
      </c>
      <c r="U23" s="7">
        <f>TONT20000JUIN!$M23</f>
        <v>0</v>
      </c>
      <c r="V23" s="7">
        <f>TONT20000JUIN!$N23</f>
        <v>0</v>
      </c>
      <c r="W23" s="7">
        <f>TONT20000JUIN!$O23</f>
        <v>0</v>
      </c>
      <c r="X23" s="7">
        <f>TONT20000JUIL!$M23</f>
        <v>1000000</v>
      </c>
      <c r="Y23" s="7">
        <f>TONT20000JUIL!$N23</f>
        <v>32000</v>
      </c>
      <c r="Z23" s="7">
        <f>TONT20000JUIL!$O23</f>
        <v>0</v>
      </c>
      <c r="AA23" s="7">
        <f>TONT20000AOUT!$M23</f>
        <v>0</v>
      </c>
      <c r="AB23" s="7">
        <f>TONT20000AOUT!$N23</f>
        <v>0</v>
      </c>
      <c r="AC23" s="7">
        <f>TONT20000AOUT!$O23</f>
        <v>0</v>
      </c>
      <c r="AD23" s="7">
        <f>TONT20000SEPT!$M23</f>
        <v>0</v>
      </c>
      <c r="AE23" s="7">
        <f>TONT20000SEPT!$N23</f>
        <v>0</v>
      </c>
      <c r="AF23" s="7">
        <f>TONT20000SEPT!$O23</f>
        <v>0</v>
      </c>
      <c r="AG23" s="7">
        <f>TONT20000OCT!$M23</f>
        <v>0</v>
      </c>
      <c r="AH23" s="7">
        <f>TONT20000OCT!$N23</f>
        <v>0</v>
      </c>
      <c r="AI23" s="7">
        <f>TONT20000OCT!$O23</f>
        <v>0</v>
      </c>
      <c r="AJ23" s="7">
        <f>TONT20000NOV!$N23</f>
        <v>800000</v>
      </c>
      <c r="AK23" s="7">
        <f>TONT20000NOV!$O23</f>
        <v>96000</v>
      </c>
      <c r="AL23" s="7">
        <f>TONT20000NOV!$P23</f>
        <v>1000000</v>
      </c>
    </row>
    <row r="24" spans="1:38" x14ac:dyDescent="0.25">
      <c r="A24" s="1" t="s">
        <v>29</v>
      </c>
      <c r="B24" s="1" t="str">
        <f>VLOOKUP(A24,LISTADHERENT!A$5:H$51,2)</f>
        <v>KOUATCHO MESSACK</v>
      </c>
      <c r="C24" s="7">
        <f>TONT20000DEC2015!$O24</f>
        <v>600000</v>
      </c>
      <c r="D24" s="7">
        <f>TONT20000DEC2015!$P24</f>
        <v>72000</v>
      </c>
      <c r="E24" s="7">
        <f>TONT20000DEC2015!$Q24</f>
        <v>0</v>
      </c>
      <c r="F24" s="7">
        <f>TONT20000JANV!$M24</f>
        <v>0</v>
      </c>
      <c r="G24" s="7">
        <f>TONT20000JANV!$N24</f>
        <v>0</v>
      </c>
      <c r="H24" s="7">
        <f>TONT20000JANV!$O24</f>
        <v>0</v>
      </c>
      <c r="I24" s="7">
        <f>TONT20000FEV!$M24</f>
        <v>0</v>
      </c>
      <c r="J24" s="7">
        <f>TONT20000FEV!$N24</f>
        <v>0</v>
      </c>
      <c r="K24" s="7">
        <f>TONT20000FEV!$O24</f>
        <v>0</v>
      </c>
      <c r="L24" s="7">
        <f>TONT20000MARS!$M24</f>
        <v>0</v>
      </c>
      <c r="M24" s="7">
        <f>TONT20000MARS!$N24</f>
        <v>0</v>
      </c>
      <c r="N24" s="7">
        <f>TONT20000MARS!$O24</f>
        <v>0</v>
      </c>
      <c r="O24" s="7">
        <f>TONT20000AVRIL!$M24</f>
        <v>1000000</v>
      </c>
      <c r="P24" s="7">
        <f>TONT20000AVRIL!$N24</f>
        <v>120000</v>
      </c>
      <c r="Q24" s="7">
        <f>TONT20000AVRIL!$O24</f>
        <v>0</v>
      </c>
      <c r="R24" s="7">
        <f>TONT20000MAI!$M24</f>
        <v>0</v>
      </c>
      <c r="S24" s="7">
        <f>TONT20000MAI!$N24</f>
        <v>0</v>
      </c>
      <c r="T24" s="7">
        <f>TONT20000MAI!$O24</f>
        <v>0</v>
      </c>
      <c r="U24" s="7">
        <f>TONT20000JUIN!$M24</f>
        <v>0</v>
      </c>
      <c r="V24" s="7">
        <f>TONT20000JUIN!$N24</f>
        <v>0</v>
      </c>
      <c r="W24" s="7">
        <f>TONT20000JUIN!$O24</f>
        <v>0</v>
      </c>
      <c r="X24" s="7">
        <f>TONT20000JUIL!$M24</f>
        <v>0</v>
      </c>
      <c r="Y24" s="7">
        <f>TONT20000JUIL!$N24</f>
        <v>0</v>
      </c>
      <c r="Z24" s="7">
        <f>TONT20000JUIL!$O24</f>
        <v>0</v>
      </c>
      <c r="AA24" s="7">
        <f>TONT20000AOUT!$M24</f>
        <v>0</v>
      </c>
      <c r="AB24" s="7">
        <f>TONT20000AOUT!$N24</f>
        <v>0</v>
      </c>
      <c r="AC24" s="7">
        <f>TONT20000AOUT!$O24</f>
        <v>0</v>
      </c>
      <c r="AD24" s="7">
        <f>TONT20000SEPT!$M24</f>
        <v>0</v>
      </c>
      <c r="AE24" s="7">
        <f>TONT20000SEPT!$N24</f>
        <v>0</v>
      </c>
      <c r="AF24" s="7">
        <f>TONT20000SEPT!$O24</f>
        <v>0</v>
      </c>
      <c r="AG24" s="7">
        <f>TONT20000OCT!$M24</f>
        <v>0</v>
      </c>
      <c r="AH24" s="7">
        <f>TONT20000OCT!$N24</f>
        <v>0</v>
      </c>
      <c r="AI24" s="7">
        <f>TONT20000OCT!$O24</f>
        <v>0</v>
      </c>
      <c r="AJ24" s="7">
        <f>TONT20000NOV!$N24</f>
        <v>0</v>
      </c>
      <c r="AK24" s="7">
        <f>TONT20000NOV!$O24</f>
        <v>0</v>
      </c>
      <c r="AL24" s="7">
        <f>TONT20000NOV!$P24</f>
        <v>0</v>
      </c>
    </row>
    <row r="25" spans="1:38" x14ac:dyDescent="0.25">
      <c r="A25" s="1" t="s">
        <v>30</v>
      </c>
      <c r="B25" s="1" t="str">
        <f>VLOOKUP(A25,LISTADHERENT!A$5:H$51,2)</f>
        <v>LOWE JEAN</v>
      </c>
      <c r="C25" s="7">
        <f>TONT20000DEC2015!$O25</f>
        <v>0</v>
      </c>
      <c r="D25" s="7">
        <f>TONT20000DEC2015!$P25</f>
        <v>0</v>
      </c>
      <c r="E25" s="7">
        <f>TONT20000DEC2015!$Q25</f>
        <v>0</v>
      </c>
      <c r="F25" s="7">
        <f>TONT20000JANV!$M25</f>
        <v>0</v>
      </c>
      <c r="G25" s="7">
        <f>TONT20000JANV!$N25</f>
        <v>0</v>
      </c>
      <c r="H25" s="7">
        <f>TONT20000JANV!$O25</f>
        <v>0</v>
      </c>
      <c r="I25" s="7">
        <f>TONT20000FEV!$M25</f>
        <v>0</v>
      </c>
      <c r="J25" s="7">
        <f>TONT20000FEV!$N25</f>
        <v>0</v>
      </c>
      <c r="K25" s="7">
        <f>TONT20000FEV!$O25</f>
        <v>0</v>
      </c>
      <c r="L25" s="7">
        <f>TONT20000MARS!$M25</f>
        <v>80000</v>
      </c>
      <c r="M25" s="7">
        <f>TONT20000MARS!$N25</f>
        <v>2400</v>
      </c>
      <c r="N25" s="7">
        <f>TONT20000MARS!$O25</f>
        <v>0</v>
      </c>
      <c r="O25" s="7">
        <f>TONT20000AVRIL!$M25</f>
        <v>0</v>
      </c>
      <c r="P25" s="7">
        <f>TONT20000AVRIL!$N25</f>
        <v>0</v>
      </c>
      <c r="Q25" s="7">
        <f>TONT20000AVRIL!$O25</f>
        <v>0</v>
      </c>
      <c r="R25" s="7">
        <f>TONT20000MAI!$M25</f>
        <v>0</v>
      </c>
      <c r="S25" s="7">
        <f>TONT20000MAI!$N25</f>
        <v>0</v>
      </c>
      <c r="T25" s="7">
        <f>TONT20000MAI!$O25</f>
        <v>0</v>
      </c>
      <c r="U25" s="7">
        <f>TONT20000JUIN!$M25</f>
        <v>80000</v>
      </c>
      <c r="V25" s="7">
        <f>TONT20000JUIN!$N25</f>
        <v>2400</v>
      </c>
      <c r="W25" s="7">
        <f>TONT20000JUIN!$O25</f>
        <v>80000</v>
      </c>
      <c r="X25" s="7">
        <f>TONT20000JUIL!$M25</f>
        <v>0</v>
      </c>
      <c r="Y25" s="7">
        <f>TONT20000JUIL!$N25</f>
        <v>0</v>
      </c>
      <c r="Z25" s="7">
        <f>TONT20000JUIL!$O25</f>
        <v>0</v>
      </c>
      <c r="AA25" s="7">
        <f>TONT20000AOUT!$M25</f>
        <v>0</v>
      </c>
      <c r="AB25" s="7">
        <f>TONT20000AOUT!$N25</f>
        <v>0</v>
      </c>
      <c r="AC25" s="7">
        <f>TONT20000AOUT!$O25</f>
        <v>0</v>
      </c>
      <c r="AD25" s="7">
        <f>TONT20000SEPT!$M25</f>
        <v>80000</v>
      </c>
      <c r="AE25" s="7">
        <f>TONT20000SEPT!$N25</f>
        <v>2400</v>
      </c>
      <c r="AF25" s="7">
        <f>TONT20000SEPT!$O25</f>
        <v>80000</v>
      </c>
      <c r="AG25" s="7">
        <f>TONT20000OCT!$M25</f>
        <v>0</v>
      </c>
      <c r="AH25" s="7">
        <f>TONT20000OCT!$N25</f>
        <v>0</v>
      </c>
      <c r="AI25" s="7">
        <f>TONT20000OCT!$O25</f>
        <v>0</v>
      </c>
      <c r="AJ25" s="7">
        <f>TONT20000NOV!$N25</f>
        <v>0</v>
      </c>
      <c r="AK25" s="7">
        <f>TONT20000NOV!$O25</f>
        <v>0</v>
      </c>
      <c r="AL25" s="7">
        <f>TONT20000NOV!$P25</f>
        <v>0</v>
      </c>
    </row>
    <row r="26" spans="1:38" x14ac:dyDescent="0.25">
      <c r="A26" s="1" t="s">
        <v>31</v>
      </c>
      <c r="B26" s="1" t="str">
        <f>VLOOKUP(A26,LISTADHERENT!A$5:H$51,2)</f>
        <v>NANKAM APPOLINAIRE</v>
      </c>
      <c r="C26" s="7">
        <f>TONT20000DEC2015!$O26</f>
        <v>0</v>
      </c>
      <c r="D26" s="7">
        <f>TONT20000DEC2015!$P26</f>
        <v>0</v>
      </c>
      <c r="E26" s="7">
        <f>TONT20000DEC2015!$Q26</f>
        <v>0</v>
      </c>
      <c r="F26" s="7">
        <f>TONT20000JANV!$M26</f>
        <v>0</v>
      </c>
      <c r="G26" s="7">
        <f>TONT20000JANV!$N26</f>
        <v>0</v>
      </c>
      <c r="H26" s="7">
        <f>TONT20000JANV!$O26</f>
        <v>0</v>
      </c>
      <c r="I26" s="7">
        <f>TONT20000FEV!$M26</f>
        <v>0</v>
      </c>
      <c r="J26" s="7">
        <f>TONT20000FEV!$N26</f>
        <v>0</v>
      </c>
      <c r="K26" s="7">
        <f>TONT20000FEV!$O26</f>
        <v>0</v>
      </c>
      <c r="L26" s="7">
        <f>TONT20000MARS!$M26</f>
        <v>0</v>
      </c>
      <c r="M26" s="7">
        <f>TONT20000MARS!$N26</f>
        <v>0</v>
      </c>
      <c r="N26" s="7">
        <f>TONT20000MARS!$O26</f>
        <v>0</v>
      </c>
      <c r="O26" s="7">
        <f>TONT20000AVRIL!$M26</f>
        <v>0</v>
      </c>
      <c r="P26" s="7">
        <f>TONT20000AVRIL!$N26</f>
        <v>0</v>
      </c>
      <c r="Q26" s="7">
        <f>TONT20000AVRIL!$O26</f>
        <v>0</v>
      </c>
      <c r="R26" s="7">
        <f>TONT20000MAI!$M26</f>
        <v>0</v>
      </c>
      <c r="S26" s="7">
        <f>TONT20000MAI!$N26</f>
        <v>0</v>
      </c>
      <c r="T26" s="7">
        <f>TONT20000MAI!$O26</f>
        <v>0</v>
      </c>
      <c r="U26" s="7">
        <f>TONT20000JUIN!$M26</f>
        <v>0</v>
      </c>
      <c r="V26" s="7">
        <f>TONT20000JUIN!$N26</f>
        <v>0</v>
      </c>
      <c r="W26" s="7">
        <f>TONT20000JUIN!$O26</f>
        <v>0</v>
      </c>
      <c r="X26" s="7">
        <f>TONT20000JUIL!$M26</f>
        <v>1000000</v>
      </c>
      <c r="Y26" s="7">
        <f>TONT20000JUIL!$N26</f>
        <v>120000</v>
      </c>
      <c r="Z26" s="7">
        <f>TONT20000JUIL!$O26</f>
        <v>0</v>
      </c>
      <c r="AA26" s="7">
        <f>TONT20000AOUT!$M26</f>
        <v>0</v>
      </c>
      <c r="AB26" s="7">
        <f>TONT20000AOUT!$N26</f>
        <v>0</v>
      </c>
      <c r="AC26" s="7">
        <f>TONT20000AOUT!$O26</f>
        <v>0</v>
      </c>
      <c r="AD26" s="7">
        <f>TONT20000SEPT!$M26</f>
        <v>0</v>
      </c>
      <c r="AE26" s="7">
        <f>TONT20000SEPT!$N26</f>
        <v>0</v>
      </c>
      <c r="AF26" s="7">
        <f>TONT20000SEPT!$O26</f>
        <v>0</v>
      </c>
      <c r="AG26" s="7">
        <f>TONT20000OCT!$M26</f>
        <v>0</v>
      </c>
      <c r="AH26" s="7">
        <f>TONT20000OCT!$N26</f>
        <v>0</v>
      </c>
      <c r="AI26" s="7">
        <f>TONT20000OCT!$O26</f>
        <v>0</v>
      </c>
      <c r="AJ26" s="7">
        <f>TONT20000NOV!$N26</f>
        <v>0</v>
      </c>
      <c r="AK26" s="7">
        <f>TONT20000NOV!$O26</f>
        <v>0</v>
      </c>
      <c r="AL26" s="7">
        <f>TONT20000NOV!$P26</f>
        <v>0</v>
      </c>
    </row>
    <row r="27" spans="1:38" x14ac:dyDescent="0.25">
      <c r="A27" s="1" t="s">
        <v>32</v>
      </c>
      <c r="B27" s="1" t="str">
        <f>VLOOKUP(A27,LISTADHERENT!A$5:H$51,2)</f>
        <v>NDJOMO ETIENNE</v>
      </c>
      <c r="C27" s="7">
        <f>TONT20000DEC2015!$O27</f>
        <v>400000</v>
      </c>
      <c r="D27" s="7">
        <f>TONT20000DEC2015!$P27</f>
        <v>12000</v>
      </c>
      <c r="E27" s="7">
        <f>TONT20000DEC2015!$Q27</f>
        <v>0</v>
      </c>
      <c r="F27" s="7">
        <f>TONT20000JANV!$M27</f>
        <v>0</v>
      </c>
      <c r="G27" s="7">
        <f>TONT20000JANV!$N27</f>
        <v>0</v>
      </c>
      <c r="H27" s="7">
        <f>TONT20000JANV!$O27</f>
        <v>0</v>
      </c>
      <c r="I27" s="7">
        <f>TONT20000FEV!$M27</f>
        <v>0</v>
      </c>
      <c r="J27" s="7">
        <f>TONT20000FEV!$N27</f>
        <v>0</v>
      </c>
      <c r="K27" s="7">
        <f>TONT20000FEV!$O27</f>
        <v>0</v>
      </c>
      <c r="L27" s="7">
        <f>TONT20000MARS!$M27</f>
        <v>400000</v>
      </c>
      <c r="M27" s="7">
        <f>TONT20000MARS!$N27</f>
        <v>12000</v>
      </c>
      <c r="N27" s="7">
        <f>TONT20000MARS!$O27</f>
        <v>400000</v>
      </c>
      <c r="O27" s="7">
        <f>TONT20000AVRIL!$M27</f>
        <v>0</v>
      </c>
      <c r="P27" s="7">
        <f>TONT20000AVRIL!$N27</f>
        <v>0</v>
      </c>
      <c r="Q27" s="7">
        <f>TONT20000AVRIL!$O27</f>
        <v>0</v>
      </c>
      <c r="R27" s="7">
        <f>TONT20000MAI!$M27</f>
        <v>0</v>
      </c>
      <c r="S27" s="7">
        <f>TONT20000MAI!$N27</f>
        <v>0</v>
      </c>
      <c r="T27" s="7">
        <f>TONT20000MAI!$O27</f>
        <v>0</v>
      </c>
      <c r="U27" s="7">
        <f>TONT20000JUIN!$M27</f>
        <v>400000</v>
      </c>
      <c r="V27" s="7">
        <f>TONT20000JUIN!$N27</f>
        <v>12000</v>
      </c>
      <c r="W27" s="7">
        <f>TONT20000JUIN!$O27</f>
        <v>400000</v>
      </c>
      <c r="X27" s="7">
        <f>TONT20000JUIL!$M27</f>
        <v>0</v>
      </c>
      <c r="Y27" s="7">
        <f>TONT20000JUIL!$N27</f>
        <v>0</v>
      </c>
      <c r="Z27" s="7">
        <f>TONT20000JUIL!$O27</f>
        <v>0</v>
      </c>
      <c r="AA27" s="7">
        <f>TONT20000AOUT!$M27</f>
        <v>0</v>
      </c>
      <c r="AB27" s="7">
        <f>TONT20000AOUT!$N27</f>
        <v>0</v>
      </c>
      <c r="AC27" s="7">
        <f>TONT20000AOUT!$O27</f>
        <v>0</v>
      </c>
      <c r="AD27" s="7">
        <f>TONT20000SEPT!$M27</f>
        <v>400000</v>
      </c>
      <c r="AE27" s="7">
        <f>TONT20000SEPT!$N27</f>
        <v>12000</v>
      </c>
      <c r="AF27" s="7">
        <f>TONT20000SEPT!$O27</f>
        <v>400000</v>
      </c>
      <c r="AG27" s="7">
        <f>TONT20000OCT!$M27</f>
        <v>0</v>
      </c>
      <c r="AH27" s="7">
        <f>TONT20000OCT!$N27</f>
        <v>0</v>
      </c>
      <c r="AI27" s="7">
        <f>TONT20000OCT!$O27</f>
        <v>0</v>
      </c>
      <c r="AJ27" s="7">
        <f>TONT20000NOV!$N27</f>
        <v>0</v>
      </c>
      <c r="AK27" s="7">
        <f>TONT20000NOV!$O27</f>
        <v>0</v>
      </c>
      <c r="AL27" s="7">
        <f>TONT20000NOV!$P27</f>
        <v>0</v>
      </c>
    </row>
    <row r="28" spans="1:38" x14ac:dyDescent="0.25">
      <c r="A28" s="1" t="s">
        <v>33</v>
      </c>
      <c r="B28" s="1" t="str">
        <f>VLOOKUP(A28,LISTADHERENT!A$5:H$51,2)</f>
        <v>NDOMBOU JEAN CLAUDE</v>
      </c>
      <c r="C28" s="7">
        <f>TONT20000DEC2015!$O28</f>
        <v>0</v>
      </c>
      <c r="D28" s="7">
        <f>TONT20000DEC2015!$P28</f>
        <v>0</v>
      </c>
      <c r="E28" s="7">
        <f>TONT20000DEC2015!$Q28</f>
        <v>0</v>
      </c>
      <c r="F28" s="7">
        <f>TONT20000JANV!$M28</f>
        <v>0</v>
      </c>
      <c r="G28" s="7">
        <f>TONT20000JANV!$N28</f>
        <v>0</v>
      </c>
      <c r="H28" s="7">
        <f>TONT20000JANV!$O28</f>
        <v>0</v>
      </c>
      <c r="I28" s="7">
        <f>TONT20000FEV!$M28</f>
        <v>0</v>
      </c>
      <c r="J28" s="7">
        <f>TONT20000FEV!$N28</f>
        <v>0</v>
      </c>
      <c r="K28" s="7">
        <f>TONT20000FEV!$O28</f>
        <v>0</v>
      </c>
      <c r="L28" s="7">
        <f>TONT20000MARS!$M28</f>
        <v>0</v>
      </c>
      <c r="M28" s="7">
        <f>TONT20000MARS!$N28</f>
        <v>0</v>
      </c>
      <c r="N28" s="7">
        <f>TONT20000MARS!$O28</f>
        <v>0</v>
      </c>
      <c r="O28" s="7">
        <f>TONT20000AVRIL!$M28</f>
        <v>0</v>
      </c>
      <c r="P28" s="7">
        <f>TONT20000AVRIL!$N28</f>
        <v>0</v>
      </c>
      <c r="Q28" s="7">
        <f>TONT20000AVRIL!$O28</f>
        <v>0</v>
      </c>
      <c r="R28" s="7">
        <f>TONT20000MAI!$M28</f>
        <v>0</v>
      </c>
      <c r="S28" s="7">
        <f>TONT20000MAI!$N28</f>
        <v>0</v>
      </c>
      <c r="T28" s="7">
        <f>TONT20000MAI!$O28</f>
        <v>0</v>
      </c>
      <c r="U28" s="7">
        <f>TONT20000JUIN!$M28</f>
        <v>0</v>
      </c>
      <c r="V28" s="7">
        <f>TONT20000JUIN!$N28</f>
        <v>0</v>
      </c>
      <c r="W28" s="7">
        <f>TONT20000JUIN!$O28</f>
        <v>0</v>
      </c>
      <c r="X28" s="7">
        <f>TONT20000JUIL!$M28</f>
        <v>0</v>
      </c>
      <c r="Y28" s="7">
        <f>TONT20000JUIL!$N28</f>
        <v>0</v>
      </c>
      <c r="Z28" s="7">
        <f>TONT20000JUIL!$O28</f>
        <v>0</v>
      </c>
      <c r="AA28" s="7">
        <f>TONT20000AOUT!$M28</f>
        <v>0</v>
      </c>
      <c r="AB28" s="7">
        <f>TONT20000AOUT!$N28</f>
        <v>0</v>
      </c>
      <c r="AC28" s="7">
        <f>TONT20000AOUT!$O28</f>
        <v>0</v>
      </c>
      <c r="AD28" s="7">
        <f>TONT20000SEPT!$M28</f>
        <v>0</v>
      </c>
      <c r="AE28" s="7">
        <f>TONT20000SEPT!$N28</f>
        <v>0</v>
      </c>
      <c r="AF28" s="7">
        <f>TONT20000SEPT!$O28</f>
        <v>0</v>
      </c>
      <c r="AG28" s="7">
        <f>TONT20000OCT!$M28</f>
        <v>0</v>
      </c>
      <c r="AH28" s="7">
        <f>TONT20000OCT!$N28</f>
        <v>0</v>
      </c>
      <c r="AI28" s="7">
        <f>TONT20000OCT!$O28</f>
        <v>0</v>
      </c>
      <c r="AJ28" s="7">
        <f>TONT20000NOV!$N28</f>
        <v>0</v>
      </c>
      <c r="AK28" s="7">
        <f>TONT20000NOV!$O28</f>
        <v>0</v>
      </c>
      <c r="AL28" s="7">
        <f>TONT20000NOV!$P28</f>
        <v>0</v>
      </c>
    </row>
    <row r="29" spans="1:38" x14ac:dyDescent="0.25">
      <c r="A29" s="1" t="s">
        <v>34</v>
      </c>
      <c r="B29" s="1" t="str">
        <f>VLOOKUP(A29,LISTADHERENT!A$5:H$51,2)</f>
        <v>NGONDIEP CLAUDE</v>
      </c>
      <c r="C29" s="7">
        <f>TONT20000DEC2015!$O29</f>
        <v>0</v>
      </c>
      <c r="D29" s="7">
        <f>TONT20000DEC2015!$P29</f>
        <v>0</v>
      </c>
      <c r="E29" s="7">
        <f>TONT20000DEC2015!$Q29</f>
        <v>0</v>
      </c>
      <c r="F29" s="7">
        <f>TONT20000JANV!$M29</f>
        <v>0</v>
      </c>
      <c r="G29" s="7">
        <f>TONT20000JANV!$N29</f>
        <v>0</v>
      </c>
      <c r="H29" s="7">
        <f>TONT20000JANV!$O29</f>
        <v>0</v>
      </c>
      <c r="I29" s="7">
        <f>TONT20000FEV!$M29</f>
        <v>0</v>
      </c>
      <c r="J29" s="7">
        <f>TONT20000FEV!$N29</f>
        <v>0</v>
      </c>
      <c r="K29" s="7">
        <f>TONT20000FEV!$O29</f>
        <v>0</v>
      </c>
      <c r="L29" s="7">
        <f>TONT20000MARS!$M29</f>
        <v>0</v>
      </c>
      <c r="M29" s="7">
        <f>TONT20000MARS!$N29</f>
        <v>0</v>
      </c>
      <c r="N29" s="7">
        <f>TONT20000MARS!$O29</f>
        <v>0</v>
      </c>
      <c r="O29" s="7">
        <f>TONT20000AVRIL!$M29</f>
        <v>0</v>
      </c>
      <c r="P29" s="7">
        <f>TONT20000AVRIL!$N29</f>
        <v>0</v>
      </c>
      <c r="Q29" s="7">
        <f>TONT20000AVRIL!$O29</f>
        <v>0</v>
      </c>
      <c r="R29" s="7">
        <f>TONT20000MAI!$M29</f>
        <v>0</v>
      </c>
      <c r="S29" s="7">
        <f>TONT20000MAI!$N29</f>
        <v>0</v>
      </c>
      <c r="T29" s="7">
        <f>TONT20000MAI!$O29</f>
        <v>0</v>
      </c>
      <c r="U29" s="7">
        <f>TONT20000JUIN!$M29</f>
        <v>0</v>
      </c>
      <c r="V29" s="7">
        <f>TONT20000JUIN!$N29</f>
        <v>0</v>
      </c>
      <c r="W29" s="7">
        <f>TONT20000JUIN!$O29</f>
        <v>0</v>
      </c>
      <c r="X29" s="7">
        <f>TONT20000JUIL!$M29</f>
        <v>0</v>
      </c>
      <c r="Y29" s="7">
        <f>TONT20000JUIL!$N29</f>
        <v>0</v>
      </c>
      <c r="Z29" s="7">
        <f>TONT20000JUIL!$O29</f>
        <v>0</v>
      </c>
      <c r="AA29" s="7">
        <f>TONT20000AOUT!$M29</f>
        <v>0</v>
      </c>
      <c r="AB29" s="7">
        <f>TONT20000AOUT!$N29</f>
        <v>0</v>
      </c>
      <c r="AC29" s="7">
        <f>TONT20000AOUT!$O29</f>
        <v>0</v>
      </c>
      <c r="AD29" s="7">
        <f>TONT20000SEPT!$M29</f>
        <v>0</v>
      </c>
      <c r="AE29" s="7">
        <f>TONT20000SEPT!$N29</f>
        <v>0</v>
      </c>
      <c r="AF29" s="7">
        <f>TONT20000SEPT!$O29</f>
        <v>0</v>
      </c>
      <c r="AG29" s="7">
        <f>TONT20000OCT!$M29</f>
        <v>0</v>
      </c>
      <c r="AH29" s="7">
        <f>TONT20000OCT!$N29</f>
        <v>0</v>
      </c>
      <c r="AI29" s="7">
        <f>TONT20000OCT!$O29</f>
        <v>0</v>
      </c>
      <c r="AJ29" s="7">
        <f>TONT20000NOV!$N29</f>
        <v>0</v>
      </c>
      <c r="AK29" s="7">
        <f>TONT20000NOV!$O29</f>
        <v>0</v>
      </c>
      <c r="AL29" s="7">
        <f>TONT20000NOV!$P29</f>
        <v>0</v>
      </c>
    </row>
    <row r="30" spans="1:38" x14ac:dyDescent="0.25">
      <c r="A30" s="1" t="s">
        <v>35</v>
      </c>
      <c r="B30" s="1" t="str">
        <f>VLOOKUP(A30,LISTADHERENT!A$5:H$51,2)</f>
        <v>NGONGANG JEAN THEODORE</v>
      </c>
      <c r="C30" s="7">
        <f>TONT20000DEC2015!$O30</f>
        <v>0</v>
      </c>
      <c r="D30" s="7">
        <f>TONT20000DEC2015!$P30</f>
        <v>0</v>
      </c>
      <c r="E30" s="7">
        <f>TONT20000DEC2015!$Q30</f>
        <v>0</v>
      </c>
      <c r="F30" s="7">
        <f>TONT20000JANV!$M30</f>
        <v>0</v>
      </c>
      <c r="G30" s="7">
        <f>TONT20000JANV!$N30</f>
        <v>0</v>
      </c>
      <c r="H30" s="7">
        <f>TONT20000JANV!$O30</f>
        <v>0</v>
      </c>
      <c r="I30" s="7">
        <f>TONT20000FEV!$M30</f>
        <v>0</v>
      </c>
      <c r="J30" s="7">
        <f>TONT20000FEV!$N30</f>
        <v>0</v>
      </c>
      <c r="K30" s="7">
        <f>TONT20000FEV!$O30</f>
        <v>0</v>
      </c>
      <c r="L30" s="7">
        <f>TONT20000MARS!$M30</f>
        <v>0</v>
      </c>
      <c r="M30" s="7">
        <f>TONT20000MARS!$N30</f>
        <v>0</v>
      </c>
      <c r="N30" s="7">
        <f>TONT20000MARS!$O30</f>
        <v>0</v>
      </c>
      <c r="O30" s="7">
        <f>TONT20000AVRIL!$M30</f>
        <v>0</v>
      </c>
      <c r="P30" s="7">
        <f>TONT20000AVRIL!$N30</f>
        <v>0</v>
      </c>
      <c r="Q30" s="7">
        <f>TONT20000AVRIL!$O30</f>
        <v>0</v>
      </c>
      <c r="R30" s="7">
        <f>TONT20000MAI!$M30</f>
        <v>0</v>
      </c>
      <c r="S30" s="7">
        <f>TONT20000MAI!$N30</f>
        <v>0</v>
      </c>
      <c r="T30" s="7">
        <f>TONT20000MAI!$O30</f>
        <v>0</v>
      </c>
      <c r="U30" s="7">
        <f>TONT20000JUIN!$M30</f>
        <v>0</v>
      </c>
      <c r="V30" s="7">
        <f>TONT20000JUIN!$N30</f>
        <v>0</v>
      </c>
      <c r="W30" s="7">
        <f>TONT20000JUIN!$O30</f>
        <v>0</v>
      </c>
      <c r="X30" s="7">
        <f>TONT20000JUIL!$M30</f>
        <v>0</v>
      </c>
      <c r="Y30" s="7">
        <f>TONT20000JUIL!$N30</f>
        <v>0</v>
      </c>
      <c r="Z30" s="7">
        <f>TONT20000JUIL!$O30</f>
        <v>0</v>
      </c>
      <c r="AA30" s="7">
        <f>TONT20000AOUT!$M30</f>
        <v>0</v>
      </c>
      <c r="AB30" s="7">
        <f>TONT20000AOUT!$N30</f>
        <v>0</v>
      </c>
      <c r="AC30" s="7">
        <f>TONT20000AOUT!$O30</f>
        <v>0</v>
      </c>
      <c r="AD30" s="7">
        <f>TONT20000SEPT!$M30</f>
        <v>0</v>
      </c>
      <c r="AE30" s="7">
        <f>TONT20000SEPT!$N30</f>
        <v>0</v>
      </c>
      <c r="AF30" s="7">
        <f>TONT20000SEPT!$O30</f>
        <v>0</v>
      </c>
      <c r="AG30" s="7">
        <f>TONT20000OCT!$M30</f>
        <v>0</v>
      </c>
      <c r="AH30" s="7">
        <f>TONT20000OCT!$N30</f>
        <v>0</v>
      </c>
      <c r="AI30" s="7">
        <f>TONT20000OCT!$O30</f>
        <v>0</v>
      </c>
      <c r="AJ30" s="7">
        <f>TONT20000NOV!$N30</f>
        <v>0</v>
      </c>
      <c r="AK30" s="7">
        <f>TONT20000NOV!$O30</f>
        <v>0</v>
      </c>
      <c r="AL30" s="7">
        <f>TONT20000NOV!$P30</f>
        <v>0</v>
      </c>
    </row>
    <row r="31" spans="1:38" x14ac:dyDescent="0.25">
      <c r="A31" s="1" t="s">
        <v>36</v>
      </c>
      <c r="B31" s="1" t="str">
        <f>VLOOKUP(A31,LISTADHERENT!A$5:H$51,2)</f>
        <v>NGUIEMEGNI MATHIEU BLAISE</v>
      </c>
      <c r="C31" s="7">
        <f>TONT20000DEC2015!$O31</f>
        <v>0</v>
      </c>
      <c r="D31" s="7">
        <f>TONT20000DEC2015!$P31</f>
        <v>0</v>
      </c>
      <c r="E31" s="7">
        <f>TONT20000DEC2015!$Q31</f>
        <v>0</v>
      </c>
      <c r="F31" s="7">
        <f>TONT20000JANV!$M31</f>
        <v>0</v>
      </c>
      <c r="G31" s="7">
        <f>TONT20000JANV!$N31</f>
        <v>0</v>
      </c>
      <c r="H31" s="7">
        <f>TONT20000JANV!$O31</f>
        <v>0</v>
      </c>
      <c r="I31" s="7">
        <f>TONT20000FEV!$M31</f>
        <v>0</v>
      </c>
      <c r="J31" s="7">
        <f>TONT20000FEV!$N31</f>
        <v>0</v>
      </c>
      <c r="K31" s="7">
        <f>TONT20000FEV!$O31</f>
        <v>0</v>
      </c>
      <c r="L31" s="7">
        <f>TONT20000MARS!$M31</f>
        <v>0</v>
      </c>
      <c r="M31" s="7">
        <f>TONT20000MARS!$N31</f>
        <v>0</v>
      </c>
      <c r="N31" s="7">
        <f>TONT20000MARS!$O31</f>
        <v>0</v>
      </c>
      <c r="O31" s="7">
        <f>TONT20000AVRIL!$M31</f>
        <v>0</v>
      </c>
      <c r="P31" s="7">
        <f>TONT20000AVRIL!$N31</f>
        <v>0</v>
      </c>
      <c r="Q31" s="7">
        <f>TONT20000AVRIL!$O31</f>
        <v>0</v>
      </c>
      <c r="R31" s="7">
        <f>TONT20000MAI!$M31</f>
        <v>0</v>
      </c>
      <c r="S31" s="7">
        <f>TONT20000MAI!$N31</f>
        <v>0</v>
      </c>
      <c r="T31" s="7">
        <f>TONT20000MAI!$O31</f>
        <v>0</v>
      </c>
      <c r="U31" s="7">
        <f>TONT20000JUIN!$M31</f>
        <v>0</v>
      </c>
      <c r="V31" s="7">
        <f>TONT20000JUIN!$N31</f>
        <v>0</v>
      </c>
      <c r="W31" s="7">
        <f>TONT20000JUIN!$O31</f>
        <v>0</v>
      </c>
      <c r="X31" s="7">
        <f>TONT20000JUIL!$M31</f>
        <v>0</v>
      </c>
      <c r="Y31" s="7">
        <f>TONT20000JUIL!$N31</f>
        <v>0</v>
      </c>
      <c r="Z31" s="7">
        <f>TONT20000JUIL!$O31</f>
        <v>0</v>
      </c>
      <c r="AA31" s="7">
        <f>TONT20000AOUT!$M31</f>
        <v>0</v>
      </c>
      <c r="AB31" s="7">
        <f>TONT20000AOUT!$N31</f>
        <v>0</v>
      </c>
      <c r="AC31" s="7">
        <f>TONT20000AOUT!$O31</f>
        <v>0</v>
      </c>
      <c r="AD31" s="7">
        <f>TONT20000SEPT!$M31</f>
        <v>0</v>
      </c>
      <c r="AE31" s="7">
        <f>TONT20000SEPT!$N31</f>
        <v>0</v>
      </c>
      <c r="AF31" s="7">
        <f>TONT20000SEPT!$O31</f>
        <v>0</v>
      </c>
      <c r="AG31" s="7">
        <f>TONT20000OCT!$M31</f>
        <v>0</v>
      </c>
      <c r="AH31" s="7">
        <f>TONT20000OCT!$N31</f>
        <v>0</v>
      </c>
      <c r="AI31" s="7">
        <f>TONT20000OCT!$O31</f>
        <v>0</v>
      </c>
      <c r="AJ31" s="7">
        <f>TONT20000NOV!$N31</f>
        <v>0</v>
      </c>
      <c r="AK31" s="7">
        <f>TONT20000NOV!$O31</f>
        <v>0</v>
      </c>
      <c r="AL31" s="7">
        <f>TONT20000NOV!$P31</f>
        <v>0</v>
      </c>
    </row>
    <row r="32" spans="1:38" x14ac:dyDescent="0.25">
      <c r="A32" s="1" t="s">
        <v>37</v>
      </c>
      <c r="B32" s="1" t="str">
        <f>VLOOKUP(A32,LISTADHERENT!A$5:H$51,2)</f>
        <v>NJEPDJIO MBOUKAM DELUXE</v>
      </c>
      <c r="C32" s="7">
        <f>TONT20000DEC2015!$O32</f>
        <v>0</v>
      </c>
      <c r="D32" s="7">
        <f>TONT20000DEC2015!$P32</f>
        <v>0</v>
      </c>
      <c r="E32" s="7">
        <f>TONT20000DEC2015!$Q32</f>
        <v>0</v>
      </c>
      <c r="F32" s="7">
        <f>TONT20000JANV!$M32</f>
        <v>0</v>
      </c>
      <c r="G32" s="7">
        <f>TONT20000JANV!$N32</f>
        <v>0</v>
      </c>
      <c r="H32" s="7">
        <f>TONT20000JANV!$O32</f>
        <v>0</v>
      </c>
      <c r="I32" s="7">
        <f>TONT20000FEV!$M32</f>
        <v>0</v>
      </c>
      <c r="J32" s="7">
        <f>TONT20000FEV!$N32</f>
        <v>0</v>
      </c>
      <c r="K32" s="7">
        <f>TONT20000FEV!$O32</f>
        <v>0</v>
      </c>
      <c r="L32" s="7">
        <f>TONT20000MARS!$M32</f>
        <v>1000000</v>
      </c>
      <c r="M32" s="7">
        <f>TONT20000MARS!$N32</f>
        <v>30000</v>
      </c>
      <c r="N32" s="7">
        <f>TONT20000MARS!$O32</f>
        <v>0</v>
      </c>
      <c r="O32" s="7">
        <f>TONT20000AVRIL!$M32</f>
        <v>0</v>
      </c>
      <c r="P32" s="7">
        <f>TONT20000AVRIL!$N32</f>
        <v>0</v>
      </c>
      <c r="Q32" s="7">
        <f>TONT20000AVRIL!$O32</f>
        <v>0</v>
      </c>
      <c r="R32" s="7">
        <f>TONT20000MAI!$M32</f>
        <v>0</v>
      </c>
      <c r="S32" s="7">
        <f>TONT20000MAI!$N32</f>
        <v>0</v>
      </c>
      <c r="T32" s="7">
        <f>TONT20000MAI!$O32</f>
        <v>0</v>
      </c>
      <c r="U32" s="7">
        <f>TONT20000JUIN!$M32</f>
        <v>1000000</v>
      </c>
      <c r="V32" s="7">
        <f>TONT20000JUIN!$N32</f>
        <v>120000</v>
      </c>
      <c r="W32" s="7">
        <f>TONT20000JUIN!$O32</f>
        <v>1000000</v>
      </c>
      <c r="X32" s="7">
        <f>TONT20000JUIL!$M32</f>
        <v>0</v>
      </c>
      <c r="Y32" s="7">
        <f>TONT20000JUIL!$N32</f>
        <v>0</v>
      </c>
      <c r="Z32" s="7">
        <f>TONT20000JUIL!$O32</f>
        <v>0</v>
      </c>
      <c r="AA32" s="7">
        <f>TONT20000AOUT!$M32</f>
        <v>0</v>
      </c>
      <c r="AB32" s="7">
        <f>TONT20000AOUT!$N32</f>
        <v>0</v>
      </c>
      <c r="AC32" s="7">
        <f>TONT20000AOUT!$O32</f>
        <v>0</v>
      </c>
      <c r="AD32" s="7">
        <f>TONT20000SEPT!$M32</f>
        <v>0</v>
      </c>
      <c r="AE32" s="7">
        <f>TONT20000SEPT!$N32</f>
        <v>0</v>
      </c>
      <c r="AF32" s="7">
        <f>TONT20000SEPT!$O32</f>
        <v>0</v>
      </c>
      <c r="AG32" s="7">
        <f>TONT20000OCT!$M32</f>
        <v>0</v>
      </c>
      <c r="AH32" s="7">
        <f>TONT20000OCT!$N32</f>
        <v>0</v>
      </c>
      <c r="AI32" s="7">
        <f>TONT20000OCT!$O32</f>
        <v>0</v>
      </c>
      <c r="AJ32" s="7">
        <f>TONT20000NOV!$N32</f>
        <v>0</v>
      </c>
      <c r="AK32" s="7">
        <f>TONT20000NOV!$O32</f>
        <v>0</v>
      </c>
      <c r="AL32" s="7">
        <f>TONT20000NOV!$P32</f>
        <v>0</v>
      </c>
    </row>
    <row r="33" spans="1:38" x14ac:dyDescent="0.25">
      <c r="A33" s="1" t="s">
        <v>38</v>
      </c>
      <c r="B33" s="1" t="str">
        <f>VLOOKUP(A33,LISTADHERENT!A$5:H$51,2)</f>
        <v>NKAMGANG JUSTIN DEJOLIE</v>
      </c>
      <c r="C33" s="7">
        <f>TONT20000DEC2015!$O33</f>
        <v>0</v>
      </c>
      <c r="D33" s="7">
        <f>TONT20000DEC2015!$P33</f>
        <v>0</v>
      </c>
      <c r="E33" s="7">
        <f>TONT20000DEC2015!$Q33</f>
        <v>0</v>
      </c>
      <c r="F33" s="7">
        <f>TONT20000JANV!$M33</f>
        <v>0</v>
      </c>
      <c r="G33" s="7">
        <f>TONT20000JANV!$N33</f>
        <v>0</v>
      </c>
      <c r="H33" s="7">
        <f>TONT20000JANV!$O33</f>
        <v>0</v>
      </c>
      <c r="I33" s="7">
        <f>TONT20000FEV!$M33</f>
        <v>0</v>
      </c>
      <c r="J33" s="7">
        <f>TONT20000FEV!$N33</f>
        <v>0</v>
      </c>
      <c r="K33" s="7">
        <f>TONT20000FEV!$O33</f>
        <v>0</v>
      </c>
      <c r="L33" s="7">
        <f>TONT20000MARS!$M33</f>
        <v>0</v>
      </c>
      <c r="M33" s="7">
        <f>TONT20000MARS!$N33</f>
        <v>0</v>
      </c>
      <c r="N33" s="7">
        <f>TONT20000MARS!$O33</f>
        <v>0</v>
      </c>
      <c r="O33" s="7">
        <f>TONT20000AVRIL!$M33</f>
        <v>0</v>
      </c>
      <c r="P33" s="7">
        <f>TONT20000AVRIL!$N33</f>
        <v>0</v>
      </c>
      <c r="Q33" s="7">
        <f>TONT20000AVRIL!$O33</f>
        <v>0</v>
      </c>
      <c r="R33" s="7">
        <f>TONT20000MAI!$M33</f>
        <v>0</v>
      </c>
      <c r="S33" s="7">
        <f>TONT20000MAI!$N33</f>
        <v>0</v>
      </c>
      <c r="T33" s="7">
        <f>TONT20000MAI!$O33</f>
        <v>0</v>
      </c>
      <c r="U33" s="7">
        <f>TONT20000JUIN!$M33</f>
        <v>0</v>
      </c>
      <c r="V33" s="7">
        <f>TONT20000JUIN!$N33</f>
        <v>0</v>
      </c>
      <c r="W33" s="7">
        <f>TONT20000JUIN!$O33</f>
        <v>0</v>
      </c>
      <c r="X33" s="7">
        <f>TONT20000JUIL!$M33</f>
        <v>0</v>
      </c>
      <c r="Y33" s="7">
        <f>TONT20000JUIL!$N33</f>
        <v>0</v>
      </c>
      <c r="Z33" s="7">
        <f>TONT20000JUIL!$O33</f>
        <v>0</v>
      </c>
      <c r="AA33" s="7">
        <f>TONT20000AOUT!$M33</f>
        <v>0</v>
      </c>
      <c r="AB33" s="7">
        <f>TONT20000AOUT!$N33</f>
        <v>0</v>
      </c>
      <c r="AC33" s="7">
        <f>TONT20000AOUT!$O33</f>
        <v>0</v>
      </c>
      <c r="AD33" s="7">
        <f>TONT20000SEPT!$M33</f>
        <v>0</v>
      </c>
      <c r="AE33" s="7">
        <f>TONT20000SEPT!$N33</f>
        <v>0</v>
      </c>
      <c r="AF33" s="7">
        <f>TONT20000SEPT!$O33</f>
        <v>0</v>
      </c>
      <c r="AG33" s="7">
        <f>TONT20000OCT!$M33</f>
        <v>0</v>
      </c>
      <c r="AH33" s="7">
        <f>TONT20000OCT!$N33</f>
        <v>0</v>
      </c>
      <c r="AI33" s="7">
        <f>TONT20000OCT!$O33</f>
        <v>0</v>
      </c>
      <c r="AJ33" s="7">
        <f>TONT20000NOV!$N33</f>
        <v>1000000</v>
      </c>
      <c r="AK33" s="7">
        <f>TONT20000NOV!$O33</f>
        <v>120000</v>
      </c>
      <c r="AL33" s="7">
        <f>TONT20000NOV!$P33</f>
        <v>0</v>
      </c>
    </row>
    <row r="34" spans="1:38" s="11" customFormat="1" x14ac:dyDescent="0.25">
      <c r="A34" s="1" t="s">
        <v>39</v>
      </c>
      <c r="B34" s="1" t="str">
        <f>VLOOKUP(A34,LISTADHERENT!A$5:H$51,2)</f>
        <v>NKEPSEU DIEUDONNE</v>
      </c>
      <c r="C34" s="7">
        <f>TONT20000DEC2015!$O34</f>
        <v>0</v>
      </c>
      <c r="D34" s="7">
        <f>TONT20000DEC2015!$P34</f>
        <v>0</v>
      </c>
      <c r="E34" s="7">
        <f>TONT20000DEC2015!$Q34</f>
        <v>0</v>
      </c>
      <c r="F34" s="7">
        <f>TONT20000JANV!$M34</f>
        <v>0</v>
      </c>
      <c r="G34" s="7">
        <f>TONT20000JANV!$N34</f>
        <v>0</v>
      </c>
      <c r="H34" s="7">
        <f>TONT20000JANV!$O34</f>
        <v>0</v>
      </c>
      <c r="I34" s="7">
        <f>TONT20000FEV!$M34</f>
        <v>0</v>
      </c>
      <c r="J34" s="7">
        <f>TONT20000FEV!$N34</f>
        <v>0</v>
      </c>
      <c r="K34" s="7">
        <f>TONT20000FEV!$O34</f>
        <v>0</v>
      </c>
      <c r="L34" s="7">
        <f>TONT20000MARS!$M34</f>
        <v>0</v>
      </c>
      <c r="M34" s="7">
        <f>TONT20000MARS!$N34</f>
        <v>0</v>
      </c>
      <c r="N34" s="7">
        <f>TONT20000MARS!$O34</f>
        <v>0</v>
      </c>
      <c r="O34" s="7">
        <f>TONT20000AVRIL!$M34</f>
        <v>0</v>
      </c>
      <c r="P34" s="7">
        <f>TONT20000AVRIL!$N34</f>
        <v>0</v>
      </c>
      <c r="Q34" s="7">
        <f>TONT20000AVRIL!$O34</f>
        <v>0</v>
      </c>
      <c r="R34" s="7">
        <f>TONT20000MAI!$M34</f>
        <v>0</v>
      </c>
      <c r="S34" s="7">
        <f>TONT20000MAI!$N34</f>
        <v>0</v>
      </c>
      <c r="T34" s="7">
        <f>TONT20000MAI!$O34</f>
        <v>0</v>
      </c>
      <c r="U34" s="7">
        <f>TONT20000JUIN!$M34</f>
        <v>0</v>
      </c>
      <c r="V34" s="7">
        <f>TONT20000JUIN!$N34</f>
        <v>0</v>
      </c>
      <c r="W34" s="7">
        <f>TONT20000JUIN!$O34</f>
        <v>0</v>
      </c>
      <c r="X34" s="7">
        <f>TONT20000JUIL!$M34</f>
        <v>0</v>
      </c>
      <c r="Y34" s="7">
        <f>TONT20000JUIL!$N34</f>
        <v>0</v>
      </c>
      <c r="Z34" s="7">
        <f>TONT20000JUIL!$O34</f>
        <v>0</v>
      </c>
      <c r="AA34" s="7">
        <f>TONT20000AOUT!$M34</f>
        <v>0</v>
      </c>
      <c r="AB34" s="7">
        <f>TONT20000AOUT!$N34</f>
        <v>0</v>
      </c>
      <c r="AC34" s="7">
        <f>TONT20000AOUT!$O34</f>
        <v>0</v>
      </c>
      <c r="AD34" s="7">
        <f>TONT20000SEPT!$M34</f>
        <v>0</v>
      </c>
      <c r="AE34" s="7">
        <f>TONT20000SEPT!$N34</f>
        <v>0</v>
      </c>
      <c r="AF34" s="7">
        <f>TONT20000SEPT!$O34</f>
        <v>0</v>
      </c>
      <c r="AG34" s="7">
        <f>TONT20000OCT!$M34</f>
        <v>600000</v>
      </c>
      <c r="AH34" s="7">
        <f>TONT20000OCT!$N34</f>
        <v>72000</v>
      </c>
      <c r="AI34" s="7">
        <f>TONT20000OCT!$O34</f>
        <v>0</v>
      </c>
      <c r="AJ34" s="7">
        <f>TONT20000NOV!$N34</f>
        <v>0</v>
      </c>
      <c r="AK34" s="7">
        <f>TONT20000NOV!$O34</f>
        <v>0</v>
      </c>
      <c r="AL34" s="7">
        <f>TONT20000NOV!$P34</f>
        <v>0</v>
      </c>
    </row>
    <row r="35" spans="1:38" x14ac:dyDescent="0.25">
      <c r="A35" s="1" t="s">
        <v>40</v>
      </c>
      <c r="B35" s="1" t="str">
        <f>VLOOKUP(A35,LISTADHERENT!A$5:H$51,2)</f>
        <v>NKEPSEU HENANG RENE</v>
      </c>
      <c r="C35" s="7">
        <f>TONT20000DEC2015!$O35</f>
        <v>0</v>
      </c>
      <c r="D35" s="7">
        <f>TONT20000DEC2015!$P35</f>
        <v>0</v>
      </c>
      <c r="E35" s="7">
        <f>TONT20000DEC2015!$Q35</f>
        <v>0</v>
      </c>
      <c r="F35" s="7">
        <f>TONT20000JANV!$M35</f>
        <v>0</v>
      </c>
      <c r="G35" s="7">
        <f>TONT20000JANV!$N35</f>
        <v>0</v>
      </c>
      <c r="H35" s="7">
        <f>TONT20000JANV!$O35</f>
        <v>0</v>
      </c>
      <c r="I35" s="7">
        <f>TONT20000FEV!$M35</f>
        <v>0</v>
      </c>
      <c r="J35" s="7">
        <f>TONT20000FEV!$N35</f>
        <v>0</v>
      </c>
      <c r="K35" s="7">
        <f>TONT20000FEV!$O35</f>
        <v>0</v>
      </c>
      <c r="L35" s="7">
        <f>TONT20000MARS!$M35</f>
        <v>0</v>
      </c>
      <c r="M35" s="7">
        <f>TONT20000MARS!$N35</f>
        <v>0</v>
      </c>
      <c r="N35" s="7">
        <f>TONT20000MARS!$O35</f>
        <v>0</v>
      </c>
      <c r="O35" s="7">
        <f>TONT20000AVRIL!$M35</f>
        <v>0</v>
      </c>
      <c r="P35" s="7">
        <f>TONT20000AVRIL!$N35</f>
        <v>0</v>
      </c>
      <c r="Q35" s="7">
        <f>TONT20000AVRIL!$O35</f>
        <v>0</v>
      </c>
      <c r="R35" s="7">
        <f>TONT20000MAI!$M35</f>
        <v>0</v>
      </c>
      <c r="S35" s="7">
        <f>TONT20000MAI!$N35</f>
        <v>0</v>
      </c>
      <c r="T35" s="7">
        <f>TONT20000MAI!$O35</f>
        <v>0</v>
      </c>
      <c r="U35" s="7">
        <f>TONT20000JUIN!$M35</f>
        <v>0</v>
      </c>
      <c r="V35" s="7">
        <f>TONT20000JUIN!$N35</f>
        <v>0</v>
      </c>
      <c r="W35" s="7">
        <f>TONT20000JUIN!$O35</f>
        <v>0</v>
      </c>
      <c r="X35" s="7">
        <f>TONT20000JUIL!$M35</f>
        <v>0</v>
      </c>
      <c r="Y35" s="7">
        <f>TONT20000JUIL!$N35</f>
        <v>0</v>
      </c>
      <c r="Z35" s="7">
        <f>TONT20000JUIL!$O35</f>
        <v>0</v>
      </c>
      <c r="AA35" s="7">
        <f>TONT20000AOUT!$M35</f>
        <v>0</v>
      </c>
      <c r="AB35" s="7">
        <f>TONT20000AOUT!$N35</f>
        <v>0</v>
      </c>
      <c r="AC35" s="7">
        <f>TONT20000AOUT!$O35</f>
        <v>0</v>
      </c>
      <c r="AD35" s="7">
        <f>TONT20000SEPT!$M35</f>
        <v>0</v>
      </c>
      <c r="AE35" s="7">
        <f>TONT20000SEPT!$N35</f>
        <v>0</v>
      </c>
      <c r="AF35" s="7">
        <f>TONT20000SEPT!$O35</f>
        <v>0</v>
      </c>
      <c r="AG35" s="7">
        <f>TONT20000OCT!$M35</f>
        <v>0</v>
      </c>
      <c r="AH35" s="7">
        <f>TONT20000OCT!$N35</f>
        <v>0</v>
      </c>
      <c r="AI35" s="7">
        <f>TONT20000OCT!$O35</f>
        <v>0</v>
      </c>
      <c r="AJ35" s="7">
        <f>TONT20000NOV!$N35</f>
        <v>0</v>
      </c>
      <c r="AK35" s="7">
        <f>TONT20000NOV!$O35</f>
        <v>0</v>
      </c>
      <c r="AL35" s="7">
        <f>TONT20000NOV!$P35</f>
        <v>0</v>
      </c>
    </row>
    <row r="36" spans="1:38" x14ac:dyDescent="0.25">
      <c r="A36" s="1" t="s">
        <v>41</v>
      </c>
      <c r="B36" s="1" t="str">
        <f>VLOOKUP(A36,LISTADHERENT!A$5:H$51,2)</f>
        <v>NTEPDIE TUEMAC MZ</v>
      </c>
      <c r="C36" s="7">
        <f>TONT20000DEC2015!$O36</f>
        <v>0</v>
      </c>
      <c r="D36" s="7">
        <f>TONT20000DEC2015!$P36</f>
        <v>0</v>
      </c>
      <c r="E36" s="7">
        <f>TONT20000DEC2015!$Q36</f>
        <v>0</v>
      </c>
      <c r="F36" s="7">
        <f>TONT20000JANV!$M36</f>
        <v>0</v>
      </c>
      <c r="G36" s="7">
        <f>TONT20000JANV!$N36</f>
        <v>0</v>
      </c>
      <c r="H36" s="7">
        <f>TONT20000JANV!$O36</f>
        <v>0</v>
      </c>
      <c r="I36" s="7">
        <f>TONT20000FEV!$M36</f>
        <v>0</v>
      </c>
      <c r="J36" s="7">
        <f>TONT20000FEV!$N36</f>
        <v>0</v>
      </c>
      <c r="K36" s="7">
        <f>TONT20000FEV!$O36</f>
        <v>0</v>
      </c>
      <c r="L36" s="7">
        <f>TONT20000MARS!$M36</f>
        <v>0</v>
      </c>
      <c r="M36" s="7">
        <f>TONT20000MARS!$N36</f>
        <v>0</v>
      </c>
      <c r="N36" s="7">
        <f>TONT20000MARS!$O36</f>
        <v>0</v>
      </c>
      <c r="O36" s="7">
        <f>TONT20000AVRIL!$M36</f>
        <v>0</v>
      </c>
      <c r="P36" s="7">
        <f>TONT20000AVRIL!$N36</f>
        <v>0</v>
      </c>
      <c r="Q36" s="7">
        <f>TONT20000AVRIL!$O36</f>
        <v>0</v>
      </c>
      <c r="R36" s="7">
        <f>TONT20000MAI!$M36</f>
        <v>0</v>
      </c>
      <c r="S36" s="7">
        <f>TONT20000MAI!$N36</f>
        <v>0</v>
      </c>
      <c r="T36" s="7">
        <f>TONT20000MAI!$O36</f>
        <v>0</v>
      </c>
      <c r="U36" s="7">
        <f>TONT20000JUIN!$M36</f>
        <v>0</v>
      </c>
      <c r="V36" s="7">
        <f>TONT20000JUIN!$N36</f>
        <v>0</v>
      </c>
      <c r="W36" s="7">
        <f>TONT20000JUIN!$O36</f>
        <v>0</v>
      </c>
      <c r="X36" s="7">
        <f>TONT20000JUIL!$M36</f>
        <v>0</v>
      </c>
      <c r="Y36" s="7">
        <f>TONT20000JUIL!$N36</f>
        <v>0</v>
      </c>
      <c r="Z36" s="7">
        <f>TONT20000JUIL!$O36</f>
        <v>0</v>
      </c>
      <c r="AA36" s="7">
        <f>TONT20000AOUT!$M36</f>
        <v>0</v>
      </c>
      <c r="AB36" s="7">
        <f>TONT20000AOUT!$N36</f>
        <v>0</v>
      </c>
      <c r="AC36" s="7">
        <f>TONT20000AOUT!$O36</f>
        <v>0</v>
      </c>
      <c r="AD36" s="7">
        <f>TONT20000SEPT!$M36</f>
        <v>0</v>
      </c>
      <c r="AE36" s="7">
        <f>TONT20000SEPT!$N36</f>
        <v>0</v>
      </c>
      <c r="AF36" s="7">
        <f>TONT20000SEPT!$O36</f>
        <v>0</v>
      </c>
      <c r="AG36" s="7">
        <f>TONT20000OCT!$M36</f>
        <v>0</v>
      </c>
      <c r="AH36" s="7">
        <f>TONT20000OCT!$N36</f>
        <v>0</v>
      </c>
      <c r="AI36" s="7">
        <f>TONT20000OCT!$O36</f>
        <v>0</v>
      </c>
      <c r="AJ36" s="7">
        <f>TONT20000NOV!$N36</f>
        <v>0</v>
      </c>
      <c r="AK36" s="7">
        <f>TONT20000NOV!$O36</f>
        <v>0</v>
      </c>
      <c r="AL36" s="7">
        <f>TONT20000NOV!$P36</f>
        <v>0</v>
      </c>
    </row>
    <row r="37" spans="1:38" x14ac:dyDescent="0.25">
      <c r="A37" s="1" t="s">
        <v>42</v>
      </c>
      <c r="B37" s="1" t="str">
        <f>VLOOKUP(A37,LISTADHERENT!A$5:H$51,2)</f>
        <v>NTOMBOU ADOLPHE</v>
      </c>
      <c r="C37" s="7">
        <f>TONT20000DEC2015!$O37</f>
        <v>0</v>
      </c>
      <c r="D37" s="7">
        <f>TONT20000DEC2015!$P37</f>
        <v>0</v>
      </c>
      <c r="E37" s="7">
        <f>TONT20000DEC2015!$Q37</f>
        <v>0</v>
      </c>
      <c r="F37" s="7">
        <f>TONT20000JANV!$M37</f>
        <v>0</v>
      </c>
      <c r="G37" s="7">
        <f>TONT20000JANV!$N37</f>
        <v>0</v>
      </c>
      <c r="H37" s="7">
        <f>TONT20000JANV!$O37</f>
        <v>0</v>
      </c>
      <c r="I37" s="7">
        <f>TONT20000FEV!$M37</f>
        <v>0</v>
      </c>
      <c r="J37" s="7">
        <f>TONT20000FEV!$N37</f>
        <v>0</v>
      </c>
      <c r="K37" s="7">
        <f>TONT20000FEV!$O37</f>
        <v>0</v>
      </c>
      <c r="L37" s="7">
        <f>TONT20000MARS!$M37</f>
        <v>0</v>
      </c>
      <c r="M37" s="7">
        <f>TONT20000MARS!$N37</f>
        <v>0</v>
      </c>
      <c r="N37" s="7">
        <f>TONT20000MARS!$O37</f>
        <v>0</v>
      </c>
      <c r="O37" s="7">
        <f>TONT20000AVRIL!$M37</f>
        <v>0</v>
      </c>
      <c r="P37" s="7">
        <f>TONT20000AVRIL!$N37</f>
        <v>0</v>
      </c>
      <c r="Q37" s="7">
        <f>TONT20000AVRIL!$O37</f>
        <v>0</v>
      </c>
      <c r="R37" s="7">
        <f>TONT20000MAI!$M37</f>
        <v>0</v>
      </c>
      <c r="S37" s="7">
        <f>TONT20000MAI!$N37</f>
        <v>0</v>
      </c>
      <c r="T37" s="7">
        <f>TONT20000MAI!$O37</f>
        <v>0</v>
      </c>
      <c r="U37" s="7">
        <f>TONT20000JUIN!$M37</f>
        <v>0</v>
      </c>
      <c r="V37" s="7">
        <f>TONT20000JUIN!$N37</f>
        <v>0</v>
      </c>
      <c r="W37" s="7">
        <f>TONT20000JUIN!$O37</f>
        <v>0</v>
      </c>
      <c r="X37" s="7">
        <f>TONT20000JUIL!$M37</f>
        <v>0</v>
      </c>
      <c r="Y37" s="7">
        <f>TONT20000JUIL!$N37</f>
        <v>0</v>
      </c>
      <c r="Z37" s="7">
        <f>TONT20000JUIL!$O37</f>
        <v>0</v>
      </c>
      <c r="AA37" s="7">
        <f>TONT20000AOUT!$M37</f>
        <v>0</v>
      </c>
      <c r="AB37" s="7">
        <f>TONT20000AOUT!$N37</f>
        <v>0</v>
      </c>
      <c r="AC37" s="7">
        <f>TONT20000AOUT!$O37</f>
        <v>0</v>
      </c>
      <c r="AD37" s="7">
        <f>TONT20000SEPT!$M37</f>
        <v>0</v>
      </c>
      <c r="AE37" s="7">
        <f>TONT20000SEPT!$N37</f>
        <v>0</v>
      </c>
      <c r="AF37" s="7">
        <f>TONT20000SEPT!$O37</f>
        <v>0</v>
      </c>
      <c r="AG37" s="7">
        <f>TONT20000OCT!$M37</f>
        <v>0</v>
      </c>
      <c r="AH37" s="7">
        <f>TONT20000OCT!$N37</f>
        <v>0</v>
      </c>
      <c r="AI37" s="7">
        <f>TONT20000OCT!$O37</f>
        <v>0</v>
      </c>
      <c r="AJ37" s="7">
        <f>TONT20000NOV!$N37</f>
        <v>0</v>
      </c>
      <c r="AK37" s="7">
        <f>TONT20000NOV!$O37</f>
        <v>0</v>
      </c>
      <c r="AL37" s="7">
        <f>TONT20000NOV!$P37</f>
        <v>0</v>
      </c>
    </row>
    <row r="38" spans="1:38" x14ac:dyDescent="0.25">
      <c r="A38" s="1" t="s">
        <v>43</v>
      </c>
      <c r="B38" s="1" t="str">
        <f>VLOOKUP(A38,LISTADHERENT!A$5:H$51,2)</f>
        <v>PATEGO NJOSSU GUSTAVE</v>
      </c>
      <c r="C38" s="7">
        <f>TONT20000DEC2015!$O38</f>
        <v>0</v>
      </c>
      <c r="D38" s="7">
        <f>TONT20000DEC2015!$P38</f>
        <v>0</v>
      </c>
      <c r="E38" s="7">
        <f>TONT20000DEC2015!$Q38</f>
        <v>0</v>
      </c>
      <c r="F38" s="7">
        <f>TONT20000JANV!$M38</f>
        <v>0</v>
      </c>
      <c r="G38" s="7">
        <f>TONT20000JANV!$N38</f>
        <v>0</v>
      </c>
      <c r="H38" s="7">
        <f>TONT20000JANV!$O38</f>
        <v>0</v>
      </c>
      <c r="I38" s="7">
        <f>TONT20000FEV!$M38</f>
        <v>0</v>
      </c>
      <c r="J38" s="7">
        <f>TONT20000FEV!$N38</f>
        <v>0</v>
      </c>
      <c r="K38" s="7">
        <f>TONT20000FEV!$O38</f>
        <v>0</v>
      </c>
      <c r="L38" s="7">
        <f>TONT20000MARS!$M38</f>
        <v>0</v>
      </c>
      <c r="M38" s="7">
        <f>TONT20000MARS!$N38</f>
        <v>0</v>
      </c>
      <c r="N38" s="7">
        <f>TONT20000MARS!$O38</f>
        <v>0</v>
      </c>
      <c r="O38" s="7">
        <f>TONT20000AVRIL!$M38</f>
        <v>0</v>
      </c>
      <c r="P38" s="7">
        <f>TONT20000AVRIL!$N38</f>
        <v>0</v>
      </c>
      <c r="Q38" s="7">
        <f>TONT20000AVRIL!$O38</f>
        <v>0</v>
      </c>
      <c r="R38" s="7">
        <f>TONT20000MAI!$M38</f>
        <v>0</v>
      </c>
      <c r="S38" s="7">
        <f>TONT20000MAI!$N38</f>
        <v>0</v>
      </c>
      <c r="T38" s="7">
        <f>TONT20000MAI!$O38</f>
        <v>0</v>
      </c>
      <c r="U38" s="7">
        <f>TONT20000JUIN!$M38</f>
        <v>0</v>
      </c>
      <c r="V38" s="7">
        <f>TONT20000JUIN!$N38</f>
        <v>0</v>
      </c>
      <c r="W38" s="7">
        <f>TONT20000JUIN!$O38</f>
        <v>0</v>
      </c>
      <c r="X38" s="7">
        <f>TONT20000JUIL!$M38</f>
        <v>0</v>
      </c>
      <c r="Y38" s="7">
        <f>TONT20000JUIL!$N38</f>
        <v>0</v>
      </c>
      <c r="Z38" s="7">
        <f>TONT20000JUIL!$O38</f>
        <v>0</v>
      </c>
      <c r="AA38" s="7">
        <f>TONT20000AOUT!$M38</f>
        <v>0</v>
      </c>
      <c r="AB38" s="7">
        <f>TONT20000AOUT!$N38</f>
        <v>0</v>
      </c>
      <c r="AC38" s="7">
        <f>TONT20000AOUT!$O38</f>
        <v>0</v>
      </c>
      <c r="AD38" s="7">
        <f>TONT20000SEPT!$M38</f>
        <v>0</v>
      </c>
      <c r="AE38" s="7">
        <f>TONT20000SEPT!$N38</f>
        <v>0</v>
      </c>
      <c r="AF38" s="7">
        <f>TONT20000SEPT!$O38</f>
        <v>0</v>
      </c>
      <c r="AG38" s="7">
        <f>TONT20000OCT!$M38</f>
        <v>0</v>
      </c>
      <c r="AH38" s="7">
        <f>TONT20000OCT!$N38</f>
        <v>0</v>
      </c>
      <c r="AI38" s="7">
        <f>TONT20000OCT!$O38</f>
        <v>0</v>
      </c>
      <c r="AJ38" s="7">
        <f>TONT20000NOV!$N38</f>
        <v>0</v>
      </c>
      <c r="AK38" s="7">
        <f>TONT20000NOV!$O38</f>
        <v>0</v>
      </c>
      <c r="AL38" s="7">
        <f>TONT20000NOV!$P38</f>
        <v>0</v>
      </c>
    </row>
    <row r="39" spans="1:38" x14ac:dyDescent="0.25">
      <c r="A39" s="1" t="s">
        <v>44</v>
      </c>
      <c r="B39" s="1" t="str">
        <f>VLOOKUP(A39,LISTADHERENT!A$5:H$51,2)</f>
        <v>SEUNOU RICHELOT</v>
      </c>
      <c r="C39" s="7">
        <f>TONT20000DEC2015!$O39</f>
        <v>0</v>
      </c>
      <c r="D39" s="7">
        <f>TONT20000DEC2015!$P39</f>
        <v>0</v>
      </c>
      <c r="E39" s="7">
        <f>TONT20000DEC2015!$Q39</f>
        <v>0</v>
      </c>
      <c r="F39" s="7">
        <f>TONT20000JANV!$M39</f>
        <v>0</v>
      </c>
      <c r="G39" s="7">
        <f>TONT20000JANV!$N39</f>
        <v>0</v>
      </c>
      <c r="H39" s="7">
        <f>TONT20000JANV!$O39</f>
        <v>0</v>
      </c>
      <c r="I39" s="7">
        <f>TONT20000FEV!$M39</f>
        <v>0</v>
      </c>
      <c r="J39" s="7">
        <f>TONT20000FEV!$N39</f>
        <v>0</v>
      </c>
      <c r="K39" s="7">
        <f>TONT20000FEV!$O39</f>
        <v>0</v>
      </c>
      <c r="L39" s="7">
        <f>TONT20000MARS!$M39</f>
        <v>0</v>
      </c>
      <c r="M39" s="7">
        <f>TONT20000MARS!$N39</f>
        <v>0</v>
      </c>
      <c r="N39" s="7">
        <f>TONT20000MARS!$O39</f>
        <v>0</v>
      </c>
      <c r="O39" s="7">
        <f>TONT20000AVRIL!$M39</f>
        <v>0</v>
      </c>
      <c r="P39" s="7">
        <f>TONT20000AVRIL!$N39</f>
        <v>0</v>
      </c>
      <c r="Q39" s="7">
        <f>TONT20000AVRIL!$O39</f>
        <v>0</v>
      </c>
      <c r="R39" s="7">
        <f>TONT20000MAI!$M39</f>
        <v>0</v>
      </c>
      <c r="S39" s="7">
        <f>TONT20000MAI!$N39</f>
        <v>0</v>
      </c>
      <c r="T39" s="7">
        <f>TONT20000MAI!$O39</f>
        <v>0</v>
      </c>
      <c r="U39" s="7">
        <f>TONT20000JUIN!$M39</f>
        <v>0</v>
      </c>
      <c r="V39" s="7">
        <f>TONT20000JUIN!$N39</f>
        <v>0</v>
      </c>
      <c r="W39" s="7">
        <f>TONT20000JUIN!$O39</f>
        <v>0</v>
      </c>
      <c r="X39" s="7">
        <f>TONT20000JUIL!$M39</f>
        <v>0</v>
      </c>
      <c r="Y39" s="7">
        <f>TONT20000JUIL!$N39</f>
        <v>0</v>
      </c>
      <c r="Z39" s="7">
        <f>TONT20000JUIL!$O39</f>
        <v>0</v>
      </c>
      <c r="AA39" s="7">
        <f>TONT20000AOUT!$M39</f>
        <v>0</v>
      </c>
      <c r="AB39" s="7">
        <f>TONT20000AOUT!$N39</f>
        <v>0</v>
      </c>
      <c r="AC39" s="7">
        <f>TONT20000AOUT!$O39</f>
        <v>0</v>
      </c>
      <c r="AD39" s="7">
        <f>TONT20000SEPT!$M39</f>
        <v>0</v>
      </c>
      <c r="AE39" s="7">
        <f>TONT20000SEPT!$N39</f>
        <v>0</v>
      </c>
      <c r="AF39" s="7">
        <f>TONT20000SEPT!$O39</f>
        <v>0</v>
      </c>
      <c r="AG39" s="7">
        <f>TONT20000OCT!$M39</f>
        <v>1000000</v>
      </c>
      <c r="AH39" s="7">
        <f>TONT20000OCT!$N39</f>
        <v>120000</v>
      </c>
      <c r="AI39" s="7">
        <f>TONT20000OCT!$O39</f>
        <v>0</v>
      </c>
      <c r="AJ39" s="7">
        <f>TONT20000NOV!$N39</f>
        <v>0</v>
      </c>
      <c r="AK39" s="7">
        <f>TONT20000NOV!$O39</f>
        <v>0</v>
      </c>
      <c r="AL39" s="7">
        <f>TONT20000NOV!$P39</f>
        <v>0</v>
      </c>
    </row>
    <row r="40" spans="1:38" x14ac:dyDescent="0.25">
      <c r="A40" s="1" t="s">
        <v>45</v>
      </c>
      <c r="B40" s="1" t="str">
        <f>VLOOKUP(A40,LISTADHERENT!A$5:H$51,2)</f>
        <v>SIME ABEL</v>
      </c>
      <c r="C40" s="7">
        <f>TONT20000DEC2015!$O40</f>
        <v>0</v>
      </c>
      <c r="D40" s="7">
        <f>TONT20000DEC2015!$P40</f>
        <v>0</v>
      </c>
      <c r="E40" s="7">
        <f>TONT20000DEC2015!$Q40</f>
        <v>0</v>
      </c>
      <c r="F40" s="7">
        <f>TONT20000JANV!$M40</f>
        <v>0</v>
      </c>
      <c r="G40" s="7">
        <f>TONT20000JANV!$N40</f>
        <v>0</v>
      </c>
      <c r="H40" s="7">
        <f>TONT20000JANV!$O40</f>
        <v>0</v>
      </c>
      <c r="I40" s="7">
        <f>TONT20000FEV!$M40</f>
        <v>0</v>
      </c>
      <c r="J40" s="7">
        <f>TONT20000FEV!$N40</f>
        <v>0</v>
      </c>
      <c r="K40" s="7">
        <f>TONT20000FEV!$O40</f>
        <v>0</v>
      </c>
      <c r="L40" s="7">
        <f>TONT20000MARS!$M40</f>
        <v>0</v>
      </c>
      <c r="M40" s="7">
        <f>TONT20000MARS!$N40</f>
        <v>0</v>
      </c>
      <c r="N40" s="7">
        <f>TONT20000MARS!$O40</f>
        <v>0</v>
      </c>
      <c r="O40" s="7">
        <f>TONT20000AVRIL!$M40</f>
        <v>0</v>
      </c>
      <c r="P40" s="7">
        <f>TONT20000AVRIL!$N40</f>
        <v>0</v>
      </c>
      <c r="Q40" s="7">
        <f>TONT20000AVRIL!$O40</f>
        <v>0</v>
      </c>
      <c r="R40" s="7">
        <f>TONT20000MAI!$M40</f>
        <v>0</v>
      </c>
      <c r="S40" s="7">
        <f>TONT20000MAI!$N40</f>
        <v>0</v>
      </c>
      <c r="T40" s="7">
        <f>TONT20000MAI!$O40</f>
        <v>0</v>
      </c>
      <c r="U40" s="7">
        <f>TONT20000JUIN!$M40</f>
        <v>0</v>
      </c>
      <c r="V40" s="7">
        <f>TONT20000JUIN!$N40</f>
        <v>0</v>
      </c>
      <c r="W40" s="7">
        <f>TONT20000JUIN!$O40</f>
        <v>0</v>
      </c>
      <c r="X40" s="7">
        <f>TONT20000JUIL!$M40</f>
        <v>0</v>
      </c>
      <c r="Y40" s="7">
        <f>TONT20000JUIL!$N40</f>
        <v>0</v>
      </c>
      <c r="Z40" s="7">
        <f>TONT20000JUIL!$O40</f>
        <v>0</v>
      </c>
      <c r="AA40" s="7">
        <f>TONT20000AOUT!$M40</f>
        <v>0</v>
      </c>
      <c r="AB40" s="7">
        <f>TONT20000AOUT!$N40</f>
        <v>0</v>
      </c>
      <c r="AC40" s="7">
        <f>TONT20000AOUT!$O40</f>
        <v>0</v>
      </c>
      <c r="AD40" s="7">
        <f>TONT20000SEPT!$M40</f>
        <v>0</v>
      </c>
      <c r="AE40" s="7">
        <f>TONT20000SEPT!$N40</f>
        <v>0</v>
      </c>
      <c r="AF40" s="7">
        <f>TONT20000SEPT!$O40</f>
        <v>0</v>
      </c>
      <c r="AG40" s="7">
        <f>TONT20000OCT!$M40</f>
        <v>0</v>
      </c>
      <c r="AH40" s="7">
        <f>TONT20000OCT!$N40</f>
        <v>0</v>
      </c>
      <c r="AI40" s="7">
        <f>TONT20000OCT!$O40</f>
        <v>0</v>
      </c>
      <c r="AJ40" s="7">
        <f>TONT20000NOV!$N40</f>
        <v>0</v>
      </c>
      <c r="AK40" s="7">
        <f>TONT20000NOV!$O40</f>
        <v>0</v>
      </c>
      <c r="AL40" s="7">
        <f>TONT20000NOV!$P40</f>
        <v>0</v>
      </c>
    </row>
    <row r="41" spans="1:38" x14ac:dyDescent="0.25">
      <c r="A41" s="1" t="s">
        <v>46</v>
      </c>
      <c r="B41" s="1" t="str">
        <f>VLOOKUP(A41,LISTADHERENT!A$5:H$51,2)</f>
        <v>SIME FONGANG ERIC</v>
      </c>
      <c r="C41" s="7">
        <f>TONT20000DEC2015!$O41</f>
        <v>0</v>
      </c>
      <c r="D41" s="7">
        <f>TONT20000DEC2015!$P41</f>
        <v>0</v>
      </c>
      <c r="E41" s="7">
        <f>TONT20000DEC2015!$Q41</f>
        <v>0</v>
      </c>
      <c r="F41" s="7">
        <f>TONT20000JANV!$M41</f>
        <v>0</v>
      </c>
      <c r="G41" s="7">
        <f>TONT20000JANV!$N41</f>
        <v>0</v>
      </c>
      <c r="H41" s="7">
        <f>TONT20000JANV!$O41</f>
        <v>0</v>
      </c>
      <c r="I41" s="7">
        <f>TONT20000FEV!$M41</f>
        <v>0</v>
      </c>
      <c r="J41" s="7">
        <f>TONT20000FEV!$N41</f>
        <v>0</v>
      </c>
      <c r="K41" s="7">
        <f>TONT20000FEV!$O41</f>
        <v>0</v>
      </c>
      <c r="L41" s="7">
        <f>TONT20000MARS!$M41</f>
        <v>0</v>
      </c>
      <c r="M41" s="7">
        <f>TONT20000MARS!$N41</f>
        <v>0</v>
      </c>
      <c r="N41" s="7">
        <f>TONT20000MARS!$O41</f>
        <v>0</v>
      </c>
      <c r="O41" s="7">
        <f>TONT20000AVRIL!$M41</f>
        <v>0</v>
      </c>
      <c r="P41" s="7">
        <f>TONT20000AVRIL!$N41</f>
        <v>0</v>
      </c>
      <c r="Q41" s="7">
        <f>TONT20000AVRIL!$O41</f>
        <v>0</v>
      </c>
      <c r="R41" s="7">
        <f>TONT20000MAI!$M41</f>
        <v>0</v>
      </c>
      <c r="S41" s="7">
        <f>TONT20000MAI!$N41</f>
        <v>0</v>
      </c>
      <c r="T41" s="7">
        <f>TONT20000MAI!$O41</f>
        <v>0</v>
      </c>
      <c r="U41" s="7">
        <f>TONT20000JUIN!$M41</f>
        <v>0</v>
      </c>
      <c r="V41" s="7">
        <f>TONT20000JUIN!$N41</f>
        <v>0</v>
      </c>
      <c r="W41" s="7">
        <f>TONT20000JUIN!$O41</f>
        <v>0</v>
      </c>
      <c r="X41" s="7">
        <f>TONT20000JUIL!$M41</f>
        <v>0</v>
      </c>
      <c r="Y41" s="7">
        <f>TONT20000JUIL!$N41</f>
        <v>0</v>
      </c>
      <c r="Z41" s="7">
        <f>TONT20000JUIL!$O41</f>
        <v>0</v>
      </c>
      <c r="AA41" s="7">
        <f>TONT20000AOUT!$M41</f>
        <v>0</v>
      </c>
      <c r="AB41" s="7">
        <f>TONT20000AOUT!$N41</f>
        <v>0</v>
      </c>
      <c r="AC41" s="7">
        <f>TONT20000AOUT!$O41</f>
        <v>0</v>
      </c>
      <c r="AD41" s="7">
        <f>TONT20000SEPT!$M41</f>
        <v>1000000</v>
      </c>
      <c r="AE41" s="7">
        <f>TONT20000SEPT!$N41</f>
        <v>120000</v>
      </c>
      <c r="AF41" s="7">
        <f>TONT20000SEPT!$O41</f>
        <v>0</v>
      </c>
      <c r="AG41" s="7">
        <f>TONT20000OCT!$M41</f>
        <v>0</v>
      </c>
      <c r="AH41" s="7">
        <f>TONT20000OCT!$N41</f>
        <v>0</v>
      </c>
      <c r="AI41" s="7">
        <f>TONT20000OCT!$O41</f>
        <v>0</v>
      </c>
      <c r="AJ41" s="7">
        <f>TONT20000NOV!$N41</f>
        <v>0</v>
      </c>
      <c r="AK41" s="7">
        <f>TONT20000NOV!$O41</f>
        <v>0</v>
      </c>
      <c r="AL41" s="7">
        <f>TONT20000NOV!$P41</f>
        <v>0</v>
      </c>
    </row>
    <row r="42" spans="1:38" x14ac:dyDescent="0.25">
      <c r="A42" s="1" t="s">
        <v>47</v>
      </c>
      <c r="B42" s="1" t="str">
        <f>VLOOKUP(A42,LISTADHERENT!A$5:H$51,2)</f>
        <v>SIME MATHIEU</v>
      </c>
      <c r="C42" s="7">
        <f>TONT20000DEC2015!$O42</f>
        <v>0</v>
      </c>
      <c r="D42" s="7">
        <f>TONT20000DEC2015!$P42</f>
        <v>0</v>
      </c>
      <c r="E42" s="7">
        <f>TONT20000DEC2015!$Q42</f>
        <v>0</v>
      </c>
      <c r="F42" s="7">
        <f>TONT20000JANV!$M42</f>
        <v>0</v>
      </c>
      <c r="G42" s="7">
        <f>TONT20000JANV!$N42</f>
        <v>0</v>
      </c>
      <c r="H42" s="7">
        <f>TONT20000JANV!$O42</f>
        <v>0</v>
      </c>
      <c r="I42" s="7">
        <f>TONT20000FEV!$M42</f>
        <v>0</v>
      </c>
      <c r="J42" s="7">
        <f>TONT20000FEV!$N42</f>
        <v>0</v>
      </c>
      <c r="K42" s="7">
        <f>TONT20000FEV!$O42</f>
        <v>0</v>
      </c>
      <c r="L42" s="7">
        <f>TONT20000MARS!$M42</f>
        <v>0</v>
      </c>
      <c r="M42" s="7">
        <f>TONT20000MARS!$N42</f>
        <v>0</v>
      </c>
      <c r="N42" s="7">
        <f>TONT20000MARS!$O42</f>
        <v>0</v>
      </c>
      <c r="O42" s="7">
        <f>TONT20000AVRIL!$M42</f>
        <v>0</v>
      </c>
      <c r="P42" s="7">
        <f>TONT20000AVRIL!$N42</f>
        <v>0</v>
      </c>
      <c r="Q42" s="7">
        <f>TONT20000AVRIL!$O42</f>
        <v>0</v>
      </c>
      <c r="R42" s="7">
        <f>TONT20000MAI!$M42</f>
        <v>0</v>
      </c>
      <c r="S42" s="7">
        <f>TONT20000MAI!$N42</f>
        <v>0</v>
      </c>
      <c r="T42" s="7">
        <f>TONT20000MAI!$O42</f>
        <v>0</v>
      </c>
      <c r="U42" s="7">
        <f>TONT20000JUIN!$M42</f>
        <v>0</v>
      </c>
      <c r="V42" s="7">
        <f>TONT20000JUIN!$N42</f>
        <v>0</v>
      </c>
      <c r="W42" s="7">
        <f>TONT20000JUIN!$O42</f>
        <v>0</v>
      </c>
      <c r="X42" s="7">
        <f>TONT20000JUIL!$M42</f>
        <v>0</v>
      </c>
      <c r="Y42" s="7">
        <f>TONT20000JUIL!$N42</f>
        <v>0</v>
      </c>
      <c r="Z42" s="7">
        <f>TONT20000JUIL!$O42</f>
        <v>0</v>
      </c>
      <c r="AA42" s="7">
        <f>TONT20000AOUT!$M42</f>
        <v>0</v>
      </c>
      <c r="AB42" s="7">
        <f>TONT20000AOUT!$N42</f>
        <v>0</v>
      </c>
      <c r="AC42" s="7">
        <f>TONT20000AOUT!$O42</f>
        <v>0</v>
      </c>
      <c r="AD42" s="7">
        <f>TONT20000SEPT!$M42</f>
        <v>800000</v>
      </c>
      <c r="AE42" s="7">
        <f>TONT20000SEPT!$N42</f>
        <v>96000</v>
      </c>
      <c r="AF42" s="7">
        <f>TONT20000SEPT!$O42</f>
        <v>0</v>
      </c>
      <c r="AG42" s="7">
        <f>TONT20000OCT!$M42</f>
        <v>0</v>
      </c>
      <c r="AH42" s="7">
        <f>TONT20000OCT!$N42</f>
        <v>0</v>
      </c>
      <c r="AI42" s="7">
        <f>TONT20000OCT!$O42</f>
        <v>0</v>
      </c>
      <c r="AJ42" s="7">
        <f>TONT20000NOV!$N42</f>
        <v>0</v>
      </c>
      <c r="AK42" s="7">
        <f>TONT20000NOV!$O42</f>
        <v>0</v>
      </c>
      <c r="AL42" s="7">
        <f>TONT20000NOV!$P42</f>
        <v>0</v>
      </c>
    </row>
    <row r="43" spans="1:38" x14ac:dyDescent="0.25">
      <c r="A43" s="1" t="s">
        <v>48</v>
      </c>
      <c r="B43" s="1" t="str">
        <f>VLOOKUP(A43,LISTADHERENT!A$5:H$51,2)</f>
        <v>SIME PIERRE</v>
      </c>
      <c r="C43" s="7">
        <f>TONT20000DEC2015!$O43</f>
        <v>0</v>
      </c>
      <c r="D43" s="7">
        <f>TONT20000DEC2015!$P43</f>
        <v>0</v>
      </c>
      <c r="E43" s="7">
        <f>TONT20000DEC2015!$Q43</f>
        <v>0</v>
      </c>
      <c r="F43" s="7">
        <f>TONT20000JANV!$M43</f>
        <v>200000</v>
      </c>
      <c r="G43" s="7">
        <f>TONT20000JANV!$N43</f>
        <v>6000</v>
      </c>
      <c r="H43" s="7">
        <f>TONT20000JANV!$O43</f>
        <v>0</v>
      </c>
      <c r="I43" s="7">
        <f>TONT20000FEV!$M43</f>
        <v>0</v>
      </c>
      <c r="J43" s="7">
        <f>TONT20000FEV!$N43</f>
        <v>0</v>
      </c>
      <c r="K43" s="7">
        <f>TONT20000FEV!$O43</f>
        <v>0</v>
      </c>
      <c r="L43" s="7">
        <f>TONT20000MARS!$M43</f>
        <v>0</v>
      </c>
      <c r="M43" s="7">
        <f>TONT20000MARS!$N43</f>
        <v>0</v>
      </c>
      <c r="N43" s="7">
        <f>TONT20000MARS!$O43</f>
        <v>0</v>
      </c>
      <c r="O43" s="7">
        <f>TONT20000AVRIL!$M43</f>
        <v>200000</v>
      </c>
      <c r="P43" s="7">
        <f>TONT20000AVRIL!$N43</f>
        <v>6000</v>
      </c>
      <c r="Q43" s="7">
        <f>TONT20000AVRIL!$O43</f>
        <v>200000</v>
      </c>
      <c r="R43" s="7">
        <f>TONT20000MAI!$M43</f>
        <v>0</v>
      </c>
      <c r="S43" s="7">
        <f>TONT20000MAI!$N43</f>
        <v>0</v>
      </c>
      <c r="T43" s="7">
        <f>TONT20000MAI!$O43</f>
        <v>0</v>
      </c>
      <c r="U43" s="7">
        <f>TONT20000JUIN!$M43</f>
        <v>0</v>
      </c>
      <c r="V43" s="7">
        <f>TONT20000JUIN!$N43</f>
        <v>0</v>
      </c>
      <c r="W43" s="7">
        <f>TONT20000JUIN!$O43</f>
        <v>0</v>
      </c>
      <c r="X43" s="7">
        <f>TONT20000JUIL!$M43</f>
        <v>70000</v>
      </c>
      <c r="Y43" s="7">
        <f>TONT20000JUIL!$N43</f>
        <v>2100</v>
      </c>
      <c r="Z43" s="7">
        <f>TONT20000JUIL!$O43</f>
        <v>200000</v>
      </c>
      <c r="AA43" s="7">
        <f>TONT20000AOUT!$M43</f>
        <v>0</v>
      </c>
      <c r="AB43" s="7">
        <f>TONT20000AOUT!$N43</f>
        <v>0</v>
      </c>
      <c r="AC43" s="7">
        <f>TONT20000AOUT!$O43</f>
        <v>0</v>
      </c>
      <c r="AD43" s="7">
        <f>TONT20000SEPT!$M43</f>
        <v>0</v>
      </c>
      <c r="AE43" s="7">
        <f>TONT20000SEPT!$N43</f>
        <v>0</v>
      </c>
      <c r="AF43" s="7">
        <f>TONT20000SEPT!$O43</f>
        <v>0</v>
      </c>
      <c r="AG43" s="7">
        <f>TONT20000OCT!$M43</f>
        <v>70000</v>
      </c>
      <c r="AH43" s="7">
        <f>TONT20000OCT!$N43</f>
        <v>2100</v>
      </c>
      <c r="AI43" s="7">
        <f>TONT20000OCT!$O43</f>
        <v>70000</v>
      </c>
      <c r="AJ43" s="7">
        <f>TONT20000NOV!$N43</f>
        <v>570000</v>
      </c>
      <c r="AK43" s="7">
        <f>TONT20000NOV!$O43</f>
        <v>68400</v>
      </c>
      <c r="AL43" s="7">
        <f>TONT20000NOV!$P43</f>
        <v>70000</v>
      </c>
    </row>
    <row r="44" spans="1:38" x14ac:dyDescent="0.25">
      <c r="A44" s="1" t="s">
        <v>49</v>
      </c>
      <c r="B44" s="1" t="str">
        <f>VLOOKUP(A44,LISTADHERENT!A$5:H$51,2)</f>
        <v>TAGNE NANGUEN MARTIN</v>
      </c>
      <c r="C44" s="7">
        <f>TONT20000DEC2015!$O44</f>
        <v>0</v>
      </c>
      <c r="D44" s="7">
        <f>TONT20000DEC2015!$P44</f>
        <v>0</v>
      </c>
      <c r="E44" s="7">
        <f>TONT20000DEC2015!$Q44</f>
        <v>0</v>
      </c>
      <c r="F44" s="7">
        <f>TONT20000JANV!$M44</f>
        <v>0</v>
      </c>
      <c r="G44" s="7">
        <f>TONT20000JANV!$N44</f>
        <v>0</v>
      </c>
      <c r="H44" s="7">
        <f>TONT20000JANV!$O44</f>
        <v>0</v>
      </c>
      <c r="I44" s="7">
        <f>TONT20000FEV!$M44</f>
        <v>0</v>
      </c>
      <c r="J44" s="7">
        <f>TONT20000FEV!$N44</f>
        <v>0</v>
      </c>
      <c r="K44" s="7">
        <f>TONT20000FEV!$O44</f>
        <v>0</v>
      </c>
      <c r="L44" s="7">
        <f>TONT20000MARS!$M44</f>
        <v>0</v>
      </c>
      <c r="M44" s="7">
        <f>TONT20000MARS!$N44</f>
        <v>0</v>
      </c>
      <c r="N44" s="7">
        <f>TONT20000MARS!$O44</f>
        <v>0</v>
      </c>
      <c r="O44" s="7">
        <f>TONT20000AVRIL!$M44</f>
        <v>0</v>
      </c>
      <c r="P44" s="7">
        <f>TONT20000AVRIL!$N44</f>
        <v>0</v>
      </c>
      <c r="Q44" s="7">
        <f>TONT20000AVRIL!$O44</f>
        <v>0</v>
      </c>
      <c r="R44" s="7">
        <f>TONT20000MAI!$M44</f>
        <v>0</v>
      </c>
      <c r="S44" s="7">
        <f>TONT20000MAI!$N44</f>
        <v>0</v>
      </c>
      <c r="T44" s="7">
        <f>TONT20000MAI!$O44</f>
        <v>0</v>
      </c>
      <c r="U44" s="7">
        <f>TONT20000JUIN!$M44</f>
        <v>0</v>
      </c>
      <c r="V44" s="7">
        <f>TONT20000JUIN!$N44</f>
        <v>0</v>
      </c>
      <c r="W44" s="7">
        <f>TONT20000JUIN!$O44</f>
        <v>0</v>
      </c>
      <c r="X44" s="7">
        <f>TONT20000JUIL!$M44</f>
        <v>0</v>
      </c>
      <c r="Y44" s="7">
        <f>TONT20000JUIL!$N44</f>
        <v>0</v>
      </c>
      <c r="Z44" s="7">
        <f>TONT20000JUIL!$O44</f>
        <v>0</v>
      </c>
      <c r="AA44" s="7">
        <f>TONT20000AOUT!$M44</f>
        <v>0</v>
      </c>
      <c r="AB44" s="7">
        <f>TONT20000AOUT!$N44</f>
        <v>0</v>
      </c>
      <c r="AC44" s="7">
        <f>TONT20000AOUT!$O44</f>
        <v>0</v>
      </c>
      <c r="AD44" s="7">
        <f>TONT20000SEPT!$M44</f>
        <v>0</v>
      </c>
      <c r="AE44" s="7">
        <f>TONT20000SEPT!$N44</f>
        <v>0</v>
      </c>
      <c r="AF44" s="7">
        <f>TONT20000SEPT!$O44</f>
        <v>0</v>
      </c>
      <c r="AG44" s="7">
        <f>TONT20000OCT!$M44</f>
        <v>0</v>
      </c>
      <c r="AH44" s="7">
        <f>TONT20000OCT!$N44</f>
        <v>0</v>
      </c>
      <c r="AI44" s="7">
        <f>TONT20000OCT!$O44</f>
        <v>0</v>
      </c>
      <c r="AJ44" s="7">
        <f>TONT20000NOV!$N44</f>
        <v>0</v>
      </c>
      <c r="AK44" s="7">
        <f>TONT20000NOV!$O44</f>
        <v>0</v>
      </c>
      <c r="AL44" s="7">
        <f>TONT20000NOV!$P44</f>
        <v>0</v>
      </c>
    </row>
    <row r="45" spans="1:38" x14ac:dyDescent="0.25">
      <c r="A45" s="1" t="s">
        <v>50</v>
      </c>
      <c r="B45" s="1" t="str">
        <f>VLOOKUP(A45,LISTADHERENT!A$5:H$51,2)</f>
        <v>TCHOUAMOU JEAN PAUL</v>
      </c>
      <c r="C45" s="7">
        <f>TONT20000DEC2015!$O45</f>
        <v>0</v>
      </c>
      <c r="D45" s="7">
        <f>TONT20000DEC2015!$P45</f>
        <v>0</v>
      </c>
      <c r="E45" s="7">
        <f>TONT20000DEC2015!$Q45</f>
        <v>0</v>
      </c>
      <c r="F45" s="7">
        <f>TONT20000JANV!$M45</f>
        <v>0</v>
      </c>
      <c r="G45" s="7">
        <f>TONT20000JANV!$N45</f>
        <v>0</v>
      </c>
      <c r="H45" s="7">
        <f>TONT20000JANV!$O45</f>
        <v>0</v>
      </c>
      <c r="I45" s="7">
        <f>TONT20000FEV!$M45</f>
        <v>0</v>
      </c>
      <c r="J45" s="7">
        <f>TONT20000FEV!$N45</f>
        <v>0</v>
      </c>
      <c r="K45" s="7">
        <f>TONT20000FEV!$O45</f>
        <v>0</v>
      </c>
      <c r="L45" s="7">
        <f>TONT20000MARS!$M45</f>
        <v>0</v>
      </c>
      <c r="M45" s="7">
        <f>TONT20000MARS!$N45</f>
        <v>0</v>
      </c>
      <c r="N45" s="7">
        <f>TONT20000MARS!$O45</f>
        <v>0</v>
      </c>
      <c r="O45" s="7">
        <f>TONT20000AVRIL!$M45</f>
        <v>0</v>
      </c>
      <c r="P45" s="7">
        <f>TONT20000AVRIL!$N45</f>
        <v>0</v>
      </c>
      <c r="Q45" s="7">
        <f>TONT20000AVRIL!$O45</f>
        <v>0</v>
      </c>
      <c r="R45" s="7">
        <f>TONT20000MAI!$M45</f>
        <v>0</v>
      </c>
      <c r="S45" s="7">
        <f>TONT20000MAI!$N45</f>
        <v>0</v>
      </c>
      <c r="T45" s="7">
        <f>TONT20000MAI!$O45</f>
        <v>0</v>
      </c>
      <c r="U45" s="7">
        <f>TONT20000JUIN!$M45</f>
        <v>0</v>
      </c>
      <c r="V45" s="7">
        <f>TONT20000JUIN!$N45</f>
        <v>0</v>
      </c>
      <c r="W45" s="7">
        <f>TONT20000JUIN!$O45</f>
        <v>0</v>
      </c>
      <c r="X45" s="7">
        <f>TONT20000JUIL!$M45</f>
        <v>0</v>
      </c>
      <c r="Y45" s="7">
        <f>TONT20000JUIL!$N45</f>
        <v>0</v>
      </c>
      <c r="Z45" s="7">
        <f>TONT20000JUIL!$O45</f>
        <v>0</v>
      </c>
      <c r="AA45" s="7">
        <f>TONT20000AOUT!$M45</f>
        <v>0</v>
      </c>
      <c r="AB45" s="7">
        <f>TONT20000AOUT!$N45</f>
        <v>0</v>
      </c>
      <c r="AC45" s="7">
        <f>TONT20000AOUT!$O45</f>
        <v>0</v>
      </c>
      <c r="AD45" s="7">
        <f>TONT20000SEPT!$M45</f>
        <v>0</v>
      </c>
      <c r="AE45" s="7">
        <f>TONT20000SEPT!$N45</f>
        <v>0</v>
      </c>
      <c r="AF45" s="7">
        <f>TONT20000SEPT!$O45</f>
        <v>0</v>
      </c>
      <c r="AG45" s="7">
        <f>TONT20000OCT!$M45</f>
        <v>0</v>
      </c>
      <c r="AH45" s="7">
        <f>TONT20000OCT!$N45</f>
        <v>0</v>
      </c>
      <c r="AI45" s="7">
        <f>TONT20000OCT!$O45</f>
        <v>0</v>
      </c>
      <c r="AJ45" s="7">
        <f>TONT20000NOV!$N45</f>
        <v>0</v>
      </c>
      <c r="AK45" s="7">
        <f>TONT20000NOV!$O45</f>
        <v>0</v>
      </c>
      <c r="AL45" s="7">
        <f>TONT20000NOV!$P45</f>
        <v>0</v>
      </c>
    </row>
    <row r="46" spans="1:38" x14ac:dyDescent="0.25">
      <c r="A46" s="1" t="s">
        <v>51</v>
      </c>
      <c r="B46" s="1" t="str">
        <f>VLOOKUP(A46,LISTADHERENT!A$5:H$51,2)</f>
        <v>TCHOUAMOU MATHIEU</v>
      </c>
      <c r="C46" s="7">
        <f>TONT20000DEC2015!$O46</f>
        <v>500000</v>
      </c>
      <c r="D46" s="7">
        <f>TONT20000DEC2015!$P46</f>
        <v>15000</v>
      </c>
      <c r="E46" s="7">
        <f>TONT20000DEC2015!$Q46</f>
        <v>0</v>
      </c>
      <c r="F46" s="7">
        <f>TONT20000JANV!$M46</f>
        <v>0</v>
      </c>
      <c r="G46" s="7">
        <f>TONT20000JANV!$N46</f>
        <v>0</v>
      </c>
      <c r="H46" s="7">
        <f>TONT20000JANV!$O46</f>
        <v>0</v>
      </c>
      <c r="I46" s="7">
        <f>TONT20000FEV!$M46</f>
        <v>0</v>
      </c>
      <c r="J46" s="7">
        <f>TONT20000FEV!$N46</f>
        <v>0</v>
      </c>
      <c r="K46" s="7">
        <f>TONT20000FEV!$O46</f>
        <v>0</v>
      </c>
      <c r="L46" s="7">
        <f>TONT20000MARS!$M46</f>
        <v>500000</v>
      </c>
      <c r="M46" s="7">
        <f>TONT20000MARS!$N46</f>
        <v>15000</v>
      </c>
      <c r="N46" s="7">
        <f>TONT20000MARS!$O46</f>
        <v>500000</v>
      </c>
      <c r="O46" s="7">
        <f>TONT20000AVRIL!$M46</f>
        <v>0</v>
      </c>
      <c r="P46" s="7">
        <f>TONT20000AVRIL!$N46</f>
        <v>0</v>
      </c>
      <c r="Q46" s="7">
        <f>TONT20000AVRIL!$O46</f>
        <v>0</v>
      </c>
      <c r="R46" s="7">
        <f>TONT20000MAI!$M46</f>
        <v>0</v>
      </c>
      <c r="S46" s="7">
        <f>TONT20000MAI!$N46</f>
        <v>0</v>
      </c>
      <c r="T46" s="7">
        <f>TONT20000MAI!$O46</f>
        <v>0</v>
      </c>
      <c r="U46" s="7">
        <f>TONT20000JUIN!$M46</f>
        <v>500000</v>
      </c>
      <c r="V46" s="7">
        <f>TONT20000JUIN!$N46</f>
        <v>15000</v>
      </c>
      <c r="W46" s="7">
        <f>TONT20000JUIN!$O46</f>
        <v>500000</v>
      </c>
      <c r="X46" s="7">
        <f>TONT20000JUIL!$M46</f>
        <v>0</v>
      </c>
      <c r="Y46" s="7">
        <f>TONT20000JUIL!$N46</f>
        <v>0</v>
      </c>
      <c r="Z46" s="7">
        <f>TONT20000JUIL!$O46</f>
        <v>0</v>
      </c>
      <c r="AA46" s="7">
        <f>TONT20000AOUT!$M46</f>
        <v>0</v>
      </c>
      <c r="AB46" s="7">
        <f>TONT20000AOUT!$N46</f>
        <v>0</v>
      </c>
      <c r="AC46" s="7">
        <f>TONT20000AOUT!$O46</f>
        <v>0</v>
      </c>
      <c r="AD46" s="7">
        <f>TONT20000SEPT!$M46</f>
        <v>0</v>
      </c>
      <c r="AE46" s="7">
        <f>TONT20000SEPT!$N46</f>
        <v>0</v>
      </c>
      <c r="AF46" s="7">
        <f>TONT20000SEPT!$O46</f>
        <v>0</v>
      </c>
      <c r="AG46" s="7">
        <f>TONT20000OCT!$M46</f>
        <v>0</v>
      </c>
      <c r="AH46" s="7">
        <f>TONT20000OCT!$N46</f>
        <v>0</v>
      </c>
      <c r="AI46" s="7">
        <f>TONT20000OCT!$O46</f>
        <v>0</v>
      </c>
      <c r="AJ46" s="7">
        <f>TONT20000NOV!$N46</f>
        <v>0</v>
      </c>
      <c r="AK46" s="7">
        <f>TONT20000NOV!$O46</f>
        <v>0</v>
      </c>
      <c r="AL46" s="7">
        <f>TONT20000NOV!$P46</f>
        <v>0</v>
      </c>
    </row>
    <row r="47" spans="1:38" x14ac:dyDescent="0.25">
      <c r="A47" s="1" t="s">
        <v>52</v>
      </c>
      <c r="B47" s="1" t="str">
        <f>VLOOKUP(A47,LISTADHERENT!A$5:H$51,2)</f>
        <v>TCHOUANTE FRANCOIS</v>
      </c>
      <c r="C47" s="7">
        <f>TONT20000DEC2015!$O47</f>
        <v>0</v>
      </c>
      <c r="D47" s="7">
        <f>TONT20000DEC2015!$P47</f>
        <v>0</v>
      </c>
      <c r="E47" s="7">
        <f>TONT20000DEC2015!$Q47</f>
        <v>0</v>
      </c>
      <c r="F47" s="7">
        <f>TONT20000JANV!$M47</f>
        <v>0</v>
      </c>
      <c r="G47" s="7">
        <f>TONT20000JANV!$N47</f>
        <v>0</v>
      </c>
      <c r="H47" s="7">
        <f>TONT20000JANV!$O47</f>
        <v>0</v>
      </c>
      <c r="I47" s="7">
        <f>TONT20000FEV!$M47</f>
        <v>500000</v>
      </c>
      <c r="J47" s="7">
        <f>TONT20000FEV!$N47</f>
        <v>15000</v>
      </c>
      <c r="K47" s="7">
        <f>TONT20000FEV!$O47</f>
        <v>0</v>
      </c>
      <c r="L47" s="7">
        <f>TONT20000MARS!$M47</f>
        <v>0</v>
      </c>
      <c r="M47" s="7">
        <f>TONT20000MARS!$N47</f>
        <v>0</v>
      </c>
      <c r="N47" s="7">
        <f>TONT20000MARS!$O47</f>
        <v>0</v>
      </c>
      <c r="O47" s="7">
        <f>TONT20000AVRIL!$M47</f>
        <v>0</v>
      </c>
      <c r="P47" s="7">
        <f>TONT20000AVRIL!$N47</f>
        <v>0</v>
      </c>
      <c r="Q47" s="7">
        <f>TONT20000AVRIL!$O47</f>
        <v>0</v>
      </c>
      <c r="R47" s="7">
        <f>TONT20000MAI!$M47</f>
        <v>750000</v>
      </c>
      <c r="S47" s="7">
        <f>TONT20000MAI!$N47</f>
        <v>90000</v>
      </c>
      <c r="T47" s="7">
        <f>TONT20000MAI!$O47</f>
        <v>0</v>
      </c>
      <c r="U47" s="7">
        <f>TONT20000JUIN!$M47</f>
        <v>0</v>
      </c>
      <c r="V47" s="7">
        <f>TONT20000JUIN!$N47</f>
        <v>0</v>
      </c>
      <c r="W47" s="7">
        <f>TONT20000JUIN!$O47</f>
        <v>0</v>
      </c>
      <c r="X47" s="7">
        <f>TONT20000JUIL!$M47</f>
        <v>0</v>
      </c>
      <c r="Y47" s="7">
        <f>TONT20000JUIL!$N47</f>
        <v>0</v>
      </c>
      <c r="Z47" s="7">
        <f>TONT20000JUIL!$O47</f>
        <v>0</v>
      </c>
      <c r="AA47" s="7">
        <f>TONT20000AOUT!$M47</f>
        <v>0</v>
      </c>
      <c r="AB47" s="7">
        <f>TONT20000AOUT!$N47</f>
        <v>0</v>
      </c>
      <c r="AC47" s="7">
        <f>TONT20000AOUT!$O47</f>
        <v>0</v>
      </c>
      <c r="AD47" s="7">
        <f>TONT20000SEPT!$M47</f>
        <v>0</v>
      </c>
      <c r="AE47" s="7">
        <f>TONT20000SEPT!$N47</f>
        <v>0</v>
      </c>
      <c r="AF47" s="7">
        <f>TONT20000SEPT!$O47</f>
        <v>0</v>
      </c>
      <c r="AG47" s="7">
        <f>TONT20000OCT!$M47</f>
        <v>0</v>
      </c>
      <c r="AH47" s="7">
        <f>TONT20000OCT!$N47</f>
        <v>0</v>
      </c>
      <c r="AI47" s="7">
        <f>TONT20000OCT!$O47</f>
        <v>0</v>
      </c>
      <c r="AJ47" s="7">
        <f>TONT20000NOV!$N47</f>
        <v>0</v>
      </c>
      <c r="AK47" s="7">
        <f>TONT20000NOV!$O47</f>
        <v>0</v>
      </c>
      <c r="AL47" s="7">
        <f>TONT20000NOV!$P47</f>
        <v>0</v>
      </c>
    </row>
    <row r="48" spans="1:38" x14ac:dyDescent="0.25">
      <c r="A48" s="1" t="s">
        <v>53</v>
      </c>
      <c r="B48" s="1" t="str">
        <f>VLOOKUP(A48,LISTADHERENT!A$5:H$51,2)</f>
        <v>TCHOUTOU NANA CLAUDE</v>
      </c>
      <c r="C48" s="7">
        <f>TONT20000DEC2015!$O48</f>
        <v>0</v>
      </c>
      <c r="D48" s="7">
        <f>TONT20000DEC2015!$P48</f>
        <v>0</v>
      </c>
      <c r="E48" s="7">
        <f>TONT20000DEC2015!$Q48</f>
        <v>0</v>
      </c>
      <c r="F48" s="7">
        <f>TONT20000JANV!$M48</f>
        <v>0</v>
      </c>
      <c r="G48" s="7">
        <f>TONT20000JANV!$N48</f>
        <v>0</v>
      </c>
      <c r="H48" s="7">
        <f>TONT20000JANV!$O48</f>
        <v>0</v>
      </c>
      <c r="I48" s="7">
        <f>TONT20000FEV!$M48</f>
        <v>0</v>
      </c>
      <c r="J48" s="7">
        <f>TONT20000FEV!$N48</f>
        <v>0</v>
      </c>
      <c r="K48" s="7">
        <f>TONT20000FEV!$O48</f>
        <v>0</v>
      </c>
      <c r="L48" s="7">
        <f>TONT20000MARS!$M48</f>
        <v>0</v>
      </c>
      <c r="M48" s="7">
        <f>TONT20000MARS!$N48</f>
        <v>0</v>
      </c>
      <c r="N48" s="7">
        <f>TONT20000MARS!$O48</f>
        <v>0</v>
      </c>
      <c r="O48" s="7">
        <f>TONT20000AVRIL!$M48</f>
        <v>0</v>
      </c>
      <c r="P48" s="7">
        <f>TONT20000AVRIL!$N48</f>
        <v>0</v>
      </c>
      <c r="Q48" s="7">
        <f>TONT20000AVRIL!$O48</f>
        <v>0</v>
      </c>
      <c r="R48" s="7">
        <f>TONT20000MAI!$M48</f>
        <v>0</v>
      </c>
      <c r="S48" s="7">
        <f>TONT20000MAI!$N48</f>
        <v>0</v>
      </c>
      <c r="T48" s="7">
        <f>TONT20000MAI!$O48</f>
        <v>0</v>
      </c>
      <c r="U48" s="7">
        <f>TONT20000JUIN!$M48</f>
        <v>0</v>
      </c>
      <c r="V48" s="7">
        <f>TONT20000JUIN!$N48</f>
        <v>0</v>
      </c>
      <c r="W48" s="7">
        <f>TONT20000JUIN!$O48</f>
        <v>0</v>
      </c>
      <c r="X48" s="7">
        <f>TONT20000JUIL!$M48</f>
        <v>0</v>
      </c>
      <c r="Y48" s="7">
        <f>TONT20000JUIL!$N48</f>
        <v>0</v>
      </c>
      <c r="Z48" s="7">
        <f>TONT20000JUIL!$O48</f>
        <v>0</v>
      </c>
      <c r="AA48" s="7">
        <f>TONT20000AOUT!$M48</f>
        <v>0</v>
      </c>
      <c r="AB48" s="7">
        <f>TONT20000AOUT!$N48</f>
        <v>0</v>
      </c>
      <c r="AC48" s="7">
        <f>TONT20000AOUT!$O48</f>
        <v>0</v>
      </c>
      <c r="AD48" s="7">
        <f>TONT20000SEPT!$M48</f>
        <v>0</v>
      </c>
      <c r="AE48" s="7">
        <f>TONT20000SEPT!$N48</f>
        <v>0</v>
      </c>
      <c r="AF48" s="7">
        <f>TONT20000SEPT!$O48</f>
        <v>0</v>
      </c>
      <c r="AG48" s="7">
        <f>TONT20000OCT!$M48</f>
        <v>0</v>
      </c>
      <c r="AH48" s="7">
        <f>TONT20000OCT!$N48</f>
        <v>0</v>
      </c>
      <c r="AI48" s="7">
        <f>TONT20000OCT!$O48</f>
        <v>0</v>
      </c>
      <c r="AJ48" s="7">
        <f>TONT20000NOV!$N48</f>
        <v>0</v>
      </c>
      <c r="AK48" s="7">
        <f>TONT20000NOV!$O48</f>
        <v>0</v>
      </c>
      <c r="AL48" s="7">
        <f>TONT20000NOV!$P48</f>
        <v>0</v>
      </c>
    </row>
    <row r="49" spans="1:38" x14ac:dyDescent="0.25">
      <c r="A49" s="1" t="s">
        <v>54</v>
      </c>
      <c r="B49" s="1" t="str">
        <f>VLOOKUP(A49,LISTADHERENT!A$5:H$51,2)</f>
        <v>TIEYAM ERNEST</v>
      </c>
      <c r="C49" s="7">
        <f>TONT20000DEC2015!$O49</f>
        <v>0</v>
      </c>
      <c r="D49" s="7">
        <f>TONT20000DEC2015!$P49</f>
        <v>0</v>
      </c>
      <c r="E49" s="7">
        <f>TONT20000DEC2015!$Q49</f>
        <v>0</v>
      </c>
      <c r="F49" s="7">
        <f>TONT20000JANV!$M49</f>
        <v>1000000</v>
      </c>
      <c r="G49" s="7">
        <f>TONT20000JANV!$N49</f>
        <v>120000</v>
      </c>
      <c r="H49" s="7">
        <f>TONT20000JANV!$O49</f>
        <v>0</v>
      </c>
      <c r="I49" s="7">
        <f>TONT20000FEV!$M49</f>
        <v>0</v>
      </c>
      <c r="J49" s="7">
        <f>TONT20000FEV!$N49</f>
        <v>0</v>
      </c>
      <c r="K49" s="7">
        <f>TONT20000FEV!$O49</f>
        <v>0</v>
      </c>
      <c r="L49" s="7">
        <f>TONT20000MARS!$M49</f>
        <v>0</v>
      </c>
      <c r="M49" s="7">
        <f>TONT20000MARS!$N49</f>
        <v>0</v>
      </c>
      <c r="N49" s="7">
        <f>TONT20000MARS!$O49</f>
        <v>0</v>
      </c>
      <c r="O49" s="7">
        <f>TONT20000AVRIL!$M49</f>
        <v>0</v>
      </c>
      <c r="P49" s="7">
        <f>TONT20000AVRIL!$N49</f>
        <v>0</v>
      </c>
      <c r="Q49" s="7">
        <f>TONT20000AVRIL!$O49</f>
        <v>0</v>
      </c>
      <c r="R49" s="7">
        <f>TONT20000MAI!$M49</f>
        <v>0</v>
      </c>
      <c r="S49" s="7">
        <f>TONT20000MAI!$N49</f>
        <v>0</v>
      </c>
      <c r="T49" s="7">
        <f>TONT20000MAI!$O49</f>
        <v>0</v>
      </c>
      <c r="U49" s="7">
        <f>TONT20000JUIN!$M49</f>
        <v>0</v>
      </c>
      <c r="V49" s="7">
        <f>TONT20000JUIN!$N49</f>
        <v>0</v>
      </c>
      <c r="W49" s="7">
        <f>TONT20000JUIN!$O49</f>
        <v>0</v>
      </c>
      <c r="X49" s="7">
        <f>TONT20000JUIL!$M49</f>
        <v>0</v>
      </c>
      <c r="Y49" s="7">
        <f>TONT20000JUIL!$N49</f>
        <v>0</v>
      </c>
      <c r="Z49" s="7">
        <f>TONT20000JUIL!$O49</f>
        <v>0</v>
      </c>
      <c r="AA49" s="7">
        <f>TONT20000AOUT!$M49</f>
        <v>0</v>
      </c>
      <c r="AB49" s="7">
        <f>TONT20000AOUT!$N49</f>
        <v>0</v>
      </c>
      <c r="AC49" s="7">
        <f>TONT20000AOUT!$O49</f>
        <v>0</v>
      </c>
      <c r="AD49" s="7">
        <f>TONT20000SEPT!$M49</f>
        <v>0</v>
      </c>
      <c r="AE49" s="7">
        <f>TONT20000SEPT!$N49</f>
        <v>0</v>
      </c>
      <c r="AF49" s="7">
        <f>TONT20000SEPT!$O49</f>
        <v>0</v>
      </c>
      <c r="AG49" s="7">
        <f>TONT20000OCT!$M49</f>
        <v>0</v>
      </c>
      <c r="AH49" s="7">
        <f>TONT20000OCT!$N49</f>
        <v>0</v>
      </c>
      <c r="AI49" s="7">
        <f>TONT20000OCT!$O49</f>
        <v>0</v>
      </c>
      <c r="AJ49" s="7">
        <f>TONT20000NOV!$N49</f>
        <v>0</v>
      </c>
      <c r="AK49" s="7">
        <f>TONT20000NOV!$O49</f>
        <v>0</v>
      </c>
      <c r="AL49" s="7">
        <f>TONT20000NOV!$P49</f>
        <v>0</v>
      </c>
    </row>
    <row r="50" spans="1:38" x14ac:dyDescent="0.25">
      <c r="A50" s="1" t="s">
        <v>55</v>
      </c>
      <c r="B50" s="1" t="str">
        <f>VLOOKUP(A50,LISTADHERENT!A$5:H$51,2)</f>
        <v>TUGMA PIERRE LOTI</v>
      </c>
      <c r="C50" s="7">
        <f>TONT20000DEC2015!$O50</f>
        <v>0</v>
      </c>
      <c r="D50" s="7">
        <f>TONT20000DEC2015!$P50</f>
        <v>0</v>
      </c>
      <c r="E50" s="7">
        <f>TONT20000DEC2015!$Q50</f>
        <v>0</v>
      </c>
      <c r="F50" s="7">
        <f>TONT20000JANV!$M50</f>
        <v>0</v>
      </c>
      <c r="G50" s="7">
        <f>TONT20000JANV!$N50</f>
        <v>0</v>
      </c>
      <c r="H50" s="7">
        <f>TONT20000JANV!$O50</f>
        <v>0</v>
      </c>
      <c r="I50" s="7">
        <f>TONT20000FEV!$M50</f>
        <v>0</v>
      </c>
      <c r="J50" s="7">
        <f>TONT20000FEV!$N50</f>
        <v>0</v>
      </c>
      <c r="K50" s="7">
        <f>TONT20000FEV!$O50</f>
        <v>0</v>
      </c>
      <c r="L50" s="7">
        <f>TONT20000MARS!$M50</f>
        <v>0</v>
      </c>
      <c r="M50" s="7">
        <f>TONT20000MARS!$N50</f>
        <v>0</v>
      </c>
      <c r="N50" s="7">
        <f>TONT20000MARS!$O50</f>
        <v>0</v>
      </c>
      <c r="O50" s="7">
        <f>TONT20000AVRIL!$M50</f>
        <v>0</v>
      </c>
      <c r="P50" s="7">
        <f>TONT20000AVRIL!$N50</f>
        <v>0</v>
      </c>
      <c r="Q50" s="7">
        <f>TONT20000AVRIL!$O50</f>
        <v>0</v>
      </c>
      <c r="R50" s="7">
        <f>TONT20000MAI!$M50</f>
        <v>0</v>
      </c>
      <c r="S50" s="7">
        <f>TONT20000MAI!$N50</f>
        <v>0</v>
      </c>
      <c r="T50" s="7">
        <f>TONT20000MAI!$O50</f>
        <v>0</v>
      </c>
      <c r="U50" s="7">
        <f>TONT20000JUIN!$M50</f>
        <v>0</v>
      </c>
      <c r="V50" s="7">
        <f>TONT20000JUIN!$N50</f>
        <v>0</v>
      </c>
      <c r="W50" s="7">
        <f>TONT20000JUIN!$O50</f>
        <v>0</v>
      </c>
      <c r="X50" s="7">
        <f>TONT20000JUIL!$M50</f>
        <v>0</v>
      </c>
      <c r="Y50" s="7">
        <f>TONT20000JUIL!$N50</f>
        <v>0</v>
      </c>
      <c r="Z50" s="7">
        <f>TONT20000JUIL!$O50</f>
        <v>0</v>
      </c>
      <c r="AA50" s="7">
        <f>TONT20000AOUT!$M50</f>
        <v>0</v>
      </c>
      <c r="AB50" s="7">
        <f>TONT20000AOUT!$N50</f>
        <v>0</v>
      </c>
      <c r="AC50" s="7">
        <f>TONT20000AOUT!$O50</f>
        <v>0</v>
      </c>
      <c r="AD50" s="7">
        <f>TONT20000SEPT!$M50</f>
        <v>0</v>
      </c>
      <c r="AE50" s="7">
        <f>TONT20000SEPT!$N50</f>
        <v>0</v>
      </c>
      <c r="AF50" s="7">
        <f>TONT20000SEPT!$O50</f>
        <v>0</v>
      </c>
      <c r="AG50" s="7">
        <f>TONT20000OCT!$M50</f>
        <v>0</v>
      </c>
      <c r="AH50" s="7">
        <f>TONT20000OCT!$N50</f>
        <v>0</v>
      </c>
      <c r="AI50" s="7">
        <f>TONT20000OCT!$O50</f>
        <v>0</v>
      </c>
      <c r="AJ50" s="7">
        <f>TONT20000NOV!$N50</f>
        <v>0</v>
      </c>
      <c r="AK50" s="7">
        <f>TONT20000NOV!$O50</f>
        <v>0</v>
      </c>
      <c r="AL50" s="7">
        <f>TONT20000NOV!$P50</f>
        <v>0</v>
      </c>
    </row>
    <row r="51" spans="1:38" x14ac:dyDescent="0.25">
      <c r="A51" s="1" t="s">
        <v>66</v>
      </c>
      <c r="B51" s="1" t="str">
        <f>VLOOKUP(A51,LISTADHERENT!A$5:H$51,2)</f>
        <v>YEPMOU JEAN JACQUES</v>
      </c>
      <c r="C51" s="7">
        <f>TONT20000DEC2015!$O51</f>
        <v>0</v>
      </c>
      <c r="D51" s="7">
        <f>TONT20000DEC2015!$P51</f>
        <v>0</v>
      </c>
      <c r="E51" s="7">
        <f>TONT20000DEC2015!$Q51</f>
        <v>0</v>
      </c>
      <c r="F51" s="7">
        <f>TONT20000JANV!$M51</f>
        <v>0</v>
      </c>
      <c r="G51" s="7">
        <f>TONT20000JANV!$N51</f>
        <v>0</v>
      </c>
      <c r="H51" s="7">
        <f>TONT20000JANV!$O51</f>
        <v>0</v>
      </c>
      <c r="I51" s="7">
        <f>TONT20000FEV!$M51</f>
        <v>0</v>
      </c>
      <c r="J51" s="7">
        <f>TONT20000FEV!$N51</f>
        <v>0</v>
      </c>
      <c r="K51" s="7">
        <f>TONT20000FEV!$O51</f>
        <v>0</v>
      </c>
      <c r="L51" s="7">
        <f>TONT20000MARS!$M51</f>
        <v>0</v>
      </c>
      <c r="M51" s="7">
        <f>TONT20000MARS!$N51</f>
        <v>0</v>
      </c>
      <c r="N51" s="7">
        <f>TONT20000MARS!$O51</f>
        <v>0</v>
      </c>
      <c r="O51" s="7">
        <f>TONT20000AVRIL!$M51</f>
        <v>0</v>
      </c>
      <c r="P51" s="7">
        <f>TONT20000AVRIL!$N51</f>
        <v>0</v>
      </c>
      <c r="Q51" s="7">
        <f>TONT20000AVRIL!$O51</f>
        <v>0</v>
      </c>
      <c r="R51" s="7">
        <f>TONT20000MAI!$M51</f>
        <v>0</v>
      </c>
      <c r="S51" s="7">
        <f>TONT20000MAI!$N51</f>
        <v>0</v>
      </c>
      <c r="T51" s="7">
        <f>TONT20000MAI!$O51</f>
        <v>0</v>
      </c>
      <c r="U51" s="7">
        <f>TONT20000JUIN!$M51</f>
        <v>0</v>
      </c>
      <c r="V51" s="7">
        <f>TONT20000JUIN!$N51</f>
        <v>0</v>
      </c>
      <c r="W51" s="7">
        <f>TONT20000JUIN!$O51</f>
        <v>0</v>
      </c>
      <c r="X51" s="7">
        <f>TONT20000JUIL!$M51</f>
        <v>0</v>
      </c>
      <c r="Y51" s="7">
        <f>TONT20000JUIL!$N51</f>
        <v>0</v>
      </c>
      <c r="Z51" s="7">
        <f>TONT20000JUIL!$O51</f>
        <v>0</v>
      </c>
      <c r="AA51" s="7">
        <f>TONT20000AOUT!$M51</f>
        <v>0</v>
      </c>
      <c r="AB51" s="7">
        <f>TONT20000AOUT!$N51</f>
        <v>0</v>
      </c>
      <c r="AC51" s="7">
        <f>TONT20000AOUT!$O51</f>
        <v>0</v>
      </c>
      <c r="AD51" s="7">
        <f>TONT20000SEPT!$M51</f>
        <v>0</v>
      </c>
      <c r="AE51" s="7">
        <f>TONT20000SEPT!$N51</f>
        <v>0</v>
      </c>
      <c r="AF51" s="7">
        <f>TONT20000SEPT!$O51</f>
        <v>0</v>
      </c>
      <c r="AG51" s="7">
        <f>TONT20000OCT!$M51</f>
        <v>0</v>
      </c>
      <c r="AH51" s="7">
        <f>TONT20000OCT!$N51</f>
        <v>0</v>
      </c>
      <c r="AI51" s="7">
        <f>TONT20000OCT!$O51</f>
        <v>0</v>
      </c>
      <c r="AJ51" s="7">
        <f>TONT20000NOV!$N51</f>
        <v>0</v>
      </c>
      <c r="AK51" s="7">
        <f>TONT20000NOV!$O51</f>
        <v>0</v>
      </c>
      <c r="AL51" s="7">
        <f>TONT20000NOV!$P51</f>
        <v>0</v>
      </c>
    </row>
    <row r="52" spans="1:38" x14ac:dyDescent="0.25">
      <c r="A52" s="1" t="s">
        <v>178</v>
      </c>
      <c r="B52" s="1" t="str">
        <f>VLOOKUP(A52,LISTADHERENT!A$5:H$51,2)</f>
        <v>YOUMBI EMMANUEL</v>
      </c>
      <c r="C52" s="7">
        <f>TONT20000DEC2015!$O52</f>
        <v>0</v>
      </c>
      <c r="D52" s="7">
        <f>TONT20000DEC2015!$P52</f>
        <v>0</v>
      </c>
      <c r="E52" s="7">
        <f>TONT20000DEC2015!$Q52</f>
        <v>0</v>
      </c>
      <c r="F52" s="7">
        <f>TONT20000JANV!$M52</f>
        <v>0</v>
      </c>
      <c r="G52" s="7">
        <f>TONT20000JANV!$N52</f>
        <v>0</v>
      </c>
      <c r="H52" s="7">
        <f>TONT20000JANV!$O52</f>
        <v>0</v>
      </c>
      <c r="I52" s="7">
        <f>TONT20000FEV!$M52</f>
        <v>0</v>
      </c>
      <c r="J52" s="7">
        <f>TONT20000FEV!$N52</f>
        <v>0</v>
      </c>
      <c r="K52" s="7">
        <f>TONT20000FEV!$O52</f>
        <v>0</v>
      </c>
      <c r="L52" s="7">
        <f>TONT20000MARS!$M52</f>
        <v>0</v>
      </c>
      <c r="M52" s="7">
        <f>TONT20000MARS!$N52</f>
        <v>0</v>
      </c>
      <c r="N52" s="7">
        <f>TONT20000MARS!$O52</f>
        <v>0</v>
      </c>
      <c r="O52" s="7">
        <f>TONT20000AVRIL!$M52</f>
        <v>0</v>
      </c>
      <c r="P52" s="7">
        <f>TONT20000AVRIL!$N52</f>
        <v>0</v>
      </c>
      <c r="Q52" s="7">
        <f>TONT20000AVRIL!$O52</f>
        <v>0</v>
      </c>
      <c r="R52" s="7">
        <f>TONT20000MAI!$M52</f>
        <v>0</v>
      </c>
      <c r="S52" s="7">
        <f>TONT20000MAI!$N52</f>
        <v>0</v>
      </c>
      <c r="T52" s="7">
        <f>TONT20000MAI!$O52</f>
        <v>0</v>
      </c>
      <c r="U52" s="7">
        <f>TONT20000JUIN!$M52</f>
        <v>0</v>
      </c>
      <c r="V52" s="7">
        <f>TONT20000JUIN!$N52</f>
        <v>0</v>
      </c>
      <c r="W52" s="7">
        <f>TONT20000JUIN!$O52</f>
        <v>0</v>
      </c>
      <c r="X52" s="7">
        <f>TONT20000JUIL!$M52</f>
        <v>0</v>
      </c>
      <c r="Y52" s="7">
        <f>TONT20000JUIL!$N52</f>
        <v>0</v>
      </c>
      <c r="Z52" s="7">
        <f>TONT20000JUIL!$O52</f>
        <v>0</v>
      </c>
      <c r="AA52" s="7">
        <f>TONT20000AOUT!$M52</f>
        <v>0</v>
      </c>
      <c r="AB52" s="7">
        <f>TONT20000AOUT!$N52</f>
        <v>0</v>
      </c>
      <c r="AC52" s="7">
        <f>TONT20000AOUT!$O52</f>
        <v>0</v>
      </c>
      <c r="AD52" s="7">
        <f>TONT20000SEPT!$M52</f>
        <v>0</v>
      </c>
      <c r="AE52" s="7">
        <f>TONT20000SEPT!$N52</f>
        <v>0</v>
      </c>
      <c r="AF52" s="7">
        <f>TONT20000SEPT!$O52</f>
        <v>0</v>
      </c>
      <c r="AG52" s="7">
        <f>TONT20000OCT!$M52</f>
        <v>0</v>
      </c>
      <c r="AH52" s="7">
        <f>TONT20000OCT!$N52</f>
        <v>0</v>
      </c>
      <c r="AI52" s="7">
        <f>TONT20000OCT!$O52</f>
        <v>0</v>
      </c>
      <c r="AJ52" s="7">
        <f>TONT20000NOV!$N52</f>
        <v>0</v>
      </c>
      <c r="AK52" s="7">
        <f>TONT20000NOV!$O52</f>
        <v>0</v>
      </c>
      <c r="AL52" s="7">
        <f>TONT20000NOV!$P52</f>
        <v>0</v>
      </c>
    </row>
    <row r="53" spans="1:38" x14ac:dyDescent="0.25">
      <c r="A53" s="1"/>
      <c r="B53" s="1"/>
      <c r="C53" s="2"/>
      <c r="D53" s="7"/>
      <c r="E53" s="2"/>
    </row>
    <row r="54" spans="1:38" x14ac:dyDescent="0.25">
      <c r="A54" s="1"/>
      <c r="B54" s="1" t="s">
        <v>180</v>
      </c>
      <c r="C54" s="2"/>
      <c r="D54" s="7"/>
      <c r="E54" s="2"/>
    </row>
    <row r="55" spans="1:38" x14ac:dyDescent="0.25">
      <c r="A55" s="1"/>
      <c r="B55" s="1"/>
    </row>
    <row r="56" spans="1:38" ht="18" x14ac:dyDescent="0.25">
      <c r="A56" s="1" t="s">
        <v>56</v>
      </c>
      <c r="B56" s="1"/>
      <c r="C56" s="9">
        <f t="shared" ref="C56:AL56" si="0">SUM(C5:C52)</f>
        <v>1500000</v>
      </c>
      <c r="D56" s="9">
        <f t="shared" si="0"/>
        <v>99000</v>
      </c>
      <c r="E56" s="9">
        <f t="shared" si="0"/>
        <v>0</v>
      </c>
      <c r="F56" s="9">
        <f t="shared" si="0"/>
        <v>2200000</v>
      </c>
      <c r="G56" s="9">
        <f t="shared" si="0"/>
        <v>186000</v>
      </c>
      <c r="H56" s="9">
        <f t="shared" si="0"/>
        <v>0</v>
      </c>
      <c r="I56" s="9">
        <f t="shared" si="0"/>
        <v>750000</v>
      </c>
      <c r="J56" s="9">
        <f t="shared" si="0"/>
        <v>22500</v>
      </c>
      <c r="K56" s="9">
        <f t="shared" si="0"/>
        <v>0</v>
      </c>
      <c r="L56" s="9">
        <f t="shared" si="0"/>
        <v>1980000</v>
      </c>
      <c r="M56" s="9">
        <f t="shared" si="0"/>
        <v>59400</v>
      </c>
      <c r="N56" s="9">
        <f t="shared" si="0"/>
        <v>900000</v>
      </c>
      <c r="O56" s="9">
        <f t="shared" si="0"/>
        <v>2200000</v>
      </c>
      <c r="P56" s="9">
        <f t="shared" si="0"/>
        <v>246000</v>
      </c>
      <c r="Q56" s="9">
        <f t="shared" si="0"/>
        <v>200000</v>
      </c>
      <c r="R56" s="9">
        <f t="shared" si="0"/>
        <v>750000</v>
      </c>
      <c r="S56" s="9">
        <f t="shared" si="0"/>
        <v>90000</v>
      </c>
      <c r="T56" s="9">
        <f t="shared" si="0"/>
        <v>0</v>
      </c>
      <c r="U56" s="9">
        <f t="shared" si="0"/>
        <v>3040000</v>
      </c>
      <c r="V56" s="9">
        <f t="shared" si="0"/>
        <v>271200</v>
      </c>
      <c r="W56" s="9">
        <f t="shared" si="0"/>
        <v>2980000</v>
      </c>
      <c r="X56" s="9">
        <f t="shared" si="0"/>
        <v>4870000</v>
      </c>
      <c r="Y56" s="9">
        <f t="shared" si="0"/>
        <v>410100</v>
      </c>
      <c r="Z56" s="9">
        <f t="shared" si="0"/>
        <v>200000</v>
      </c>
      <c r="AA56" s="9">
        <f t="shared" si="0"/>
        <v>1300000</v>
      </c>
      <c r="AB56" s="9">
        <f t="shared" si="0"/>
        <v>102000</v>
      </c>
      <c r="AC56" s="9">
        <f t="shared" si="0"/>
        <v>0</v>
      </c>
      <c r="AD56" s="9">
        <f t="shared" si="0"/>
        <v>2280000</v>
      </c>
      <c r="AE56" s="9">
        <f t="shared" si="0"/>
        <v>230400</v>
      </c>
      <c r="AF56" s="9">
        <f t="shared" si="0"/>
        <v>480000</v>
      </c>
      <c r="AG56" s="9">
        <f t="shared" si="0"/>
        <v>1670000</v>
      </c>
      <c r="AH56" s="9">
        <f t="shared" si="0"/>
        <v>194100</v>
      </c>
      <c r="AI56" s="9">
        <f t="shared" si="0"/>
        <v>70000</v>
      </c>
      <c r="AJ56" s="9">
        <f t="shared" si="0"/>
        <v>3170000</v>
      </c>
      <c r="AK56" s="9">
        <f t="shared" si="0"/>
        <v>371400</v>
      </c>
      <c r="AL56" s="9">
        <f t="shared" si="0"/>
        <v>2070000</v>
      </c>
    </row>
    <row r="58" spans="1:38" ht="18" x14ac:dyDescent="0.25">
      <c r="C58" s="9">
        <f>G56+D56+J56+M56+P56+S56+V56+Y56+AB56+AE56+AH56+AK56</f>
        <v>2282100</v>
      </c>
    </row>
  </sheetData>
  <mergeCells count="12">
    <mergeCell ref="AJ3:AL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A4" sqref="A4:J52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10" ht="18.75" x14ac:dyDescent="0.3">
      <c r="A1" s="12" t="s">
        <v>1</v>
      </c>
    </row>
    <row r="2" spans="1:10" ht="18.75" x14ac:dyDescent="0.3">
      <c r="A2" s="12" t="s">
        <v>108</v>
      </c>
    </row>
    <row r="3" spans="1:10" ht="19.5" thickBot="1" x14ac:dyDescent="0.35">
      <c r="A3" s="12"/>
    </row>
    <row r="4" spans="1:10" ht="15.75" thickTop="1" x14ac:dyDescent="0.25">
      <c r="A4" s="13" t="s">
        <v>109</v>
      </c>
      <c r="B4" s="14" t="s">
        <v>110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115</v>
      </c>
      <c r="H4" s="14" t="s">
        <v>116</v>
      </c>
      <c r="I4" s="43" t="s">
        <v>231</v>
      </c>
      <c r="J4" s="44" t="s">
        <v>232</v>
      </c>
    </row>
    <row r="5" spans="1:10" x14ac:dyDescent="0.25">
      <c r="A5" s="15" t="s">
        <v>11</v>
      </c>
      <c r="B5" s="16" t="s">
        <v>68</v>
      </c>
      <c r="C5" s="16" t="s">
        <v>117</v>
      </c>
      <c r="D5" s="16"/>
      <c r="E5" s="16">
        <v>677841881</v>
      </c>
      <c r="F5" s="16"/>
      <c r="G5" s="16" t="s">
        <v>118</v>
      </c>
      <c r="H5" s="45">
        <v>42887</v>
      </c>
      <c r="I5" s="16"/>
      <c r="J5" s="46"/>
    </row>
    <row r="6" spans="1:10" x14ac:dyDescent="0.25">
      <c r="A6" s="15" t="s">
        <v>12</v>
      </c>
      <c r="B6" s="16" t="s">
        <v>69</v>
      </c>
      <c r="C6" s="16" t="s">
        <v>119</v>
      </c>
      <c r="D6" s="16"/>
      <c r="E6" s="16">
        <v>677704694</v>
      </c>
      <c r="F6" s="16"/>
      <c r="G6" s="16" t="s">
        <v>120</v>
      </c>
      <c r="H6" s="45">
        <v>43191</v>
      </c>
      <c r="I6" s="16"/>
      <c r="J6" s="46"/>
    </row>
    <row r="7" spans="1:10" x14ac:dyDescent="0.25">
      <c r="A7" s="15" t="s">
        <v>13</v>
      </c>
      <c r="B7" s="16" t="s">
        <v>70</v>
      </c>
      <c r="C7" s="16" t="s">
        <v>119</v>
      </c>
      <c r="D7" s="16"/>
      <c r="E7" s="16">
        <v>677881912</v>
      </c>
      <c r="F7" s="16"/>
      <c r="G7" s="16" t="s">
        <v>121</v>
      </c>
      <c r="H7" s="45">
        <v>43466</v>
      </c>
      <c r="I7" s="16"/>
      <c r="J7" s="46"/>
    </row>
    <row r="8" spans="1:10" x14ac:dyDescent="0.25">
      <c r="A8" s="15" t="s">
        <v>14</v>
      </c>
      <c r="B8" s="16" t="s">
        <v>71</v>
      </c>
      <c r="C8" s="16" t="s">
        <v>122</v>
      </c>
      <c r="D8" s="16"/>
      <c r="E8" s="16">
        <v>677986676</v>
      </c>
      <c r="F8" s="16"/>
      <c r="G8" s="16" t="s">
        <v>123</v>
      </c>
      <c r="H8" s="45">
        <v>43132</v>
      </c>
      <c r="I8" s="16"/>
      <c r="J8" s="46"/>
    </row>
    <row r="9" spans="1:10" x14ac:dyDescent="0.25">
      <c r="A9" s="15" t="s">
        <v>15</v>
      </c>
      <c r="B9" s="16" t="s">
        <v>72</v>
      </c>
      <c r="C9" s="16" t="s">
        <v>124</v>
      </c>
      <c r="D9" s="16"/>
      <c r="E9" s="16">
        <v>675250451</v>
      </c>
      <c r="F9" s="16"/>
      <c r="G9" s="16" t="s">
        <v>123</v>
      </c>
      <c r="H9" s="45">
        <v>43313</v>
      </c>
      <c r="I9" s="16"/>
      <c r="J9" s="46"/>
    </row>
    <row r="10" spans="1:10" x14ac:dyDescent="0.25">
      <c r="A10" s="15" t="s">
        <v>16</v>
      </c>
      <c r="B10" s="16" t="s">
        <v>179</v>
      </c>
      <c r="C10" s="16" t="s">
        <v>124</v>
      </c>
      <c r="D10" s="16"/>
      <c r="E10" s="16">
        <v>675250451</v>
      </c>
      <c r="F10" s="16"/>
      <c r="G10" s="16" t="s">
        <v>123</v>
      </c>
      <c r="H10" s="45">
        <v>43313</v>
      </c>
      <c r="I10" s="16"/>
      <c r="J10" s="46"/>
    </row>
    <row r="11" spans="1:10" x14ac:dyDescent="0.25">
      <c r="A11" s="15" t="s">
        <v>17</v>
      </c>
      <c r="B11" s="16" t="s">
        <v>73</v>
      </c>
      <c r="C11" s="16" t="s">
        <v>125</v>
      </c>
      <c r="D11" s="16"/>
      <c r="E11" s="16">
        <v>697103557</v>
      </c>
      <c r="F11" s="16"/>
      <c r="G11" s="16" t="s">
        <v>126</v>
      </c>
      <c r="H11" s="45">
        <v>42401</v>
      </c>
      <c r="I11" s="16"/>
      <c r="J11" s="46"/>
    </row>
    <row r="12" spans="1:10" x14ac:dyDescent="0.25">
      <c r="A12" s="15" t="s">
        <v>18</v>
      </c>
      <c r="B12" s="16" t="s">
        <v>74</v>
      </c>
      <c r="C12" s="16" t="s">
        <v>127</v>
      </c>
      <c r="D12" s="16"/>
      <c r="E12" s="16">
        <v>677501239</v>
      </c>
      <c r="F12" s="16">
        <v>699324095</v>
      </c>
      <c r="G12" s="16" t="s">
        <v>128</v>
      </c>
      <c r="H12" s="45">
        <v>43647</v>
      </c>
      <c r="I12" s="16"/>
      <c r="J12" s="46"/>
    </row>
    <row r="13" spans="1:10" x14ac:dyDescent="0.25">
      <c r="A13" s="15" t="s">
        <v>19</v>
      </c>
      <c r="B13" s="16" t="s">
        <v>75</v>
      </c>
      <c r="C13" s="16" t="s">
        <v>129</v>
      </c>
      <c r="D13" s="16"/>
      <c r="E13" s="16">
        <v>699908065</v>
      </c>
      <c r="F13" s="16"/>
      <c r="G13" s="16" t="s">
        <v>130</v>
      </c>
      <c r="H13" s="45">
        <v>42979</v>
      </c>
      <c r="I13" s="16"/>
      <c r="J13" s="46"/>
    </row>
    <row r="14" spans="1:10" x14ac:dyDescent="0.25">
      <c r="A14" s="15" t="s">
        <v>20</v>
      </c>
      <c r="B14" s="16" t="s">
        <v>76</v>
      </c>
      <c r="C14" s="16" t="s">
        <v>131</v>
      </c>
      <c r="D14" s="16"/>
      <c r="E14" s="16">
        <v>677910278</v>
      </c>
      <c r="F14" s="16"/>
      <c r="G14" s="16" t="s">
        <v>132</v>
      </c>
      <c r="H14" s="45">
        <v>43344</v>
      </c>
      <c r="I14" s="16"/>
      <c r="J14" s="46"/>
    </row>
    <row r="15" spans="1:10" x14ac:dyDescent="0.25">
      <c r="A15" s="15" t="s">
        <v>21</v>
      </c>
      <c r="B15" s="16" t="s">
        <v>77</v>
      </c>
      <c r="C15" s="16" t="s">
        <v>133</v>
      </c>
      <c r="D15" s="16"/>
      <c r="E15" s="16">
        <v>694468080</v>
      </c>
      <c r="F15" s="16"/>
      <c r="G15" s="16" t="s">
        <v>128</v>
      </c>
      <c r="H15" s="45">
        <v>42583</v>
      </c>
      <c r="I15" s="16"/>
      <c r="J15" s="46"/>
    </row>
    <row r="16" spans="1:10" x14ac:dyDescent="0.25">
      <c r="A16" s="15" t="s">
        <v>22</v>
      </c>
      <c r="B16" s="16" t="s">
        <v>78</v>
      </c>
      <c r="C16" s="16" t="s">
        <v>134</v>
      </c>
      <c r="D16" s="16"/>
      <c r="E16" s="16">
        <v>675291170</v>
      </c>
      <c r="F16" s="16"/>
      <c r="G16" s="16" t="s">
        <v>135</v>
      </c>
      <c r="H16" s="45">
        <v>43009</v>
      </c>
      <c r="I16" s="16"/>
      <c r="J16" s="46"/>
    </row>
    <row r="17" spans="1:10" x14ac:dyDescent="0.25">
      <c r="A17" s="15" t="s">
        <v>23</v>
      </c>
      <c r="B17" s="16" t="s">
        <v>79</v>
      </c>
      <c r="C17" s="16" t="s">
        <v>136</v>
      </c>
      <c r="D17" s="16"/>
      <c r="E17" s="16">
        <v>699956355</v>
      </c>
      <c r="F17" s="16"/>
      <c r="G17" s="16" t="s">
        <v>137</v>
      </c>
      <c r="H17" s="45">
        <v>42614</v>
      </c>
      <c r="I17" s="16"/>
      <c r="J17" s="46"/>
    </row>
    <row r="18" spans="1:10" x14ac:dyDescent="0.25">
      <c r="A18" s="15" t="s">
        <v>24</v>
      </c>
      <c r="B18" s="16" t="s">
        <v>80</v>
      </c>
      <c r="C18" s="16" t="s">
        <v>119</v>
      </c>
      <c r="D18" s="16"/>
      <c r="E18" s="16">
        <v>677053815</v>
      </c>
      <c r="F18" s="16"/>
      <c r="G18" s="16" t="s">
        <v>128</v>
      </c>
      <c r="H18" s="45">
        <v>43374</v>
      </c>
      <c r="I18" s="16"/>
      <c r="J18" s="46"/>
    </row>
    <row r="19" spans="1:10" x14ac:dyDescent="0.25">
      <c r="A19" s="15" t="s">
        <v>25</v>
      </c>
      <c r="B19" s="16" t="s">
        <v>81</v>
      </c>
      <c r="C19" s="16" t="s">
        <v>138</v>
      </c>
      <c r="D19" s="16"/>
      <c r="E19" s="16">
        <v>699528700</v>
      </c>
      <c r="F19" s="16"/>
      <c r="G19" s="16" t="s">
        <v>139</v>
      </c>
      <c r="H19" s="45">
        <v>43405</v>
      </c>
      <c r="I19" s="16"/>
      <c r="J19" s="46"/>
    </row>
    <row r="20" spans="1:10" x14ac:dyDescent="0.25">
      <c r="A20" s="15" t="s">
        <v>26</v>
      </c>
      <c r="B20" s="16" t="s">
        <v>82</v>
      </c>
      <c r="C20" s="16" t="s">
        <v>119</v>
      </c>
      <c r="D20" s="16"/>
      <c r="E20" s="16">
        <v>699335584</v>
      </c>
      <c r="F20" s="16"/>
      <c r="G20" s="16" t="s">
        <v>141</v>
      </c>
      <c r="H20" s="45">
        <v>42795</v>
      </c>
      <c r="I20" s="16"/>
      <c r="J20" s="46"/>
    </row>
    <row r="21" spans="1:10" x14ac:dyDescent="0.25">
      <c r="A21" s="15" t="s">
        <v>27</v>
      </c>
      <c r="B21" s="16" t="s">
        <v>83</v>
      </c>
      <c r="C21" s="16" t="s">
        <v>142</v>
      </c>
      <c r="D21" s="16"/>
      <c r="E21" s="16">
        <v>675836725</v>
      </c>
      <c r="F21" s="16"/>
      <c r="G21" s="16" t="s">
        <v>137</v>
      </c>
      <c r="H21" s="45">
        <v>42370</v>
      </c>
      <c r="I21" s="16"/>
      <c r="J21" s="46"/>
    </row>
    <row r="22" spans="1:10" x14ac:dyDescent="0.25">
      <c r="A22" s="15" t="s">
        <v>28</v>
      </c>
      <c r="B22" s="16" t="s">
        <v>84</v>
      </c>
      <c r="C22" s="16" t="s">
        <v>143</v>
      </c>
      <c r="D22" s="16"/>
      <c r="E22" s="16">
        <v>696564847</v>
      </c>
      <c r="F22" s="16"/>
      <c r="G22" s="16" t="s">
        <v>128</v>
      </c>
      <c r="H22" s="45">
        <v>43617</v>
      </c>
      <c r="I22" s="16"/>
      <c r="J22" s="46"/>
    </row>
    <row r="23" spans="1:10" x14ac:dyDescent="0.25">
      <c r="A23" s="15" t="s">
        <v>29</v>
      </c>
      <c r="B23" s="16" t="s">
        <v>144</v>
      </c>
      <c r="C23" s="16" t="s">
        <v>145</v>
      </c>
      <c r="D23" s="16"/>
      <c r="E23" s="16">
        <v>677735778</v>
      </c>
      <c r="F23" s="16"/>
      <c r="G23" s="16" t="s">
        <v>121</v>
      </c>
      <c r="H23" s="45">
        <v>42644</v>
      </c>
      <c r="I23" s="16"/>
      <c r="J23" s="46"/>
    </row>
    <row r="24" spans="1:10" x14ac:dyDescent="0.25">
      <c r="A24" s="15" t="s">
        <v>30</v>
      </c>
      <c r="B24" s="16" t="s">
        <v>67</v>
      </c>
      <c r="C24" s="16" t="s">
        <v>177</v>
      </c>
      <c r="D24" s="16"/>
      <c r="E24" s="16"/>
      <c r="F24" s="16"/>
      <c r="G24" s="16"/>
      <c r="H24" s="45"/>
      <c r="I24" s="16"/>
      <c r="J24" s="46"/>
    </row>
    <row r="25" spans="1:10" x14ac:dyDescent="0.25">
      <c r="A25" s="15" t="s">
        <v>31</v>
      </c>
      <c r="B25" s="16" t="s">
        <v>85</v>
      </c>
      <c r="C25" s="16" t="s">
        <v>147</v>
      </c>
      <c r="D25" s="16"/>
      <c r="E25" s="16">
        <v>693055118</v>
      </c>
      <c r="F25" s="16"/>
      <c r="G25" s="16" t="s">
        <v>137</v>
      </c>
      <c r="H25" s="45">
        <v>43678</v>
      </c>
      <c r="I25" s="16"/>
      <c r="J25" s="46"/>
    </row>
    <row r="26" spans="1:10" x14ac:dyDescent="0.25">
      <c r="A26" s="15" t="s">
        <v>32</v>
      </c>
      <c r="B26" s="16" t="s">
        <v>86</v>
      </c>
      <c r="C26" s="16" t="s">
        <v>136</v>
      </c>
      <c r="D26" s="16"/>
      <c r="E26" s="16">
        <v>677553702</v>
      </c>
      <c r="F26" s="16"/>
      <c r="G26" s="16" t="s">
        <v>141</v>
      </c>
      <c r="H26" s="45">
        <v>42705</v>
      </c>
      <c r="I26" s="16"/>
      <c r="J26" s="46"/>
    </row>
    <row r="27" spans="1:10" x14ac:dyDescent="0.25">
      <c r="A27" s="15" t="s">
        <v>33</v>
      </c>
      <c r="B27" s="16" t="s">
        <v>87</v>
      </c>
      <c r="C27" s="16" t="s">
        <v>148</v>
      </c>
      <c r="D27" s="16"/>
      <c r="E27" s="16">
        <v>699358350</v>
      </c>
      <c r="F27" s="16"/>
      <c r="G27" s="16" t="s">
        <v>149</v>
      </c>
      <c r="H27" s="45">
        <v>42767</v>
      </c>
      <c r="I27" s="16"/>
      <c r="J27" s="46"/>
    </row>
    <row r="28" spans="1:10" x14ac:dyDescent="0.25">
      <c r="A28" s="15" t="s">
        <v>34</v>
      </c>
      <c r="B28" s="16" t="s">
        <v>88</v>
      </c>
      <c r="C28" s="16" t="s">
        <v>150</v>
      </c>
      <c r="D28" s="16"/>
      <c r="E28" s="16">
        <v>675249207</v>
      </c>
      <c r="F28" s="16"/>
      <c r="G28" s="16" t="s">
        <v>151</v>
      </c>
      <c r="H28" s="45">
        <v>43070</v>
      </c>
      <c r="I28" s="16"/>
      <c r="J28" s="46"/>
    </row>
    <row r="29" spans="1:10" x14ac:dyDescent="0.25">
      <c r="A29" s="15" t="s">
        <v>35</v>
      </c>
      <c r="B29" s="16" t="s">
        <v>89</v>
      </c>
      <c r="C29" s="16" t="s">
        <v>152</v>
      </c>
      <c r="D29" s="16"/>
      <c r="E29" s="16">
        <v>677766503</v>
      </c>
      <c r="F29" s="16"/>
      <c r="G29" s="16" t="s">
        <v>123</v>
      </c>
      <c r="H29" s="45">
        <v>42491</v>
      </c>
      <c r="I29" s="16"/>
      <c r="J29" s="46"/>
    </row>
    <row r="30" spans="1:10" x14ac:dyDescent="0.25">
      <c r="A30" s="15" t="s">
        <v>36</v>
      </c>
      <c r="B30" s="16" t="s">
        <v>90</v>
      </c>
      <c r="C30" s="16" t="s">
        <v>153</v>
      </c>
      <c r="D30" s="16"/>
      <c r="E30" s="16">
        <v>677068360</v>
      </c>
      <c r="F30" s="16"/>
      <c r="G30" s="16" t="s">
        <v>154</v>
      </c>
      <c r="H30" s="45">
        <v>43101</v>
      </c>
      <c r="I30" s="16"/>
      <c r="J30" s="46"/>
    </row>
    <row r="31" spans="1:10" x14ac:dyDescent="0.25">
      <c r="A31" s="15" t="s">
        <v>37</v>
      </c>
      <c r="B31" s="16" t="s">
        <v>91</v>
      </c>
      <c r="C31" s="16" t="s">
        <v>119</v>
      </c>
      <c r="D31" s="16"/>
      <c r="E31" s="16">
        <v>670909070</v>
      </c>
      <c r="F31" s="16"/>
      <c r="G31" s="16" t="s">
        <v>155</v>
      </c>
      <c r="H31" s="45">
        <v>43586</v>
      </c>
      <c r="I31" s="16"/>
      <c r="J31" s="46"/>
    </row>
    <row r="32" spans="1:10" x14ac:dyDescent="0.25">
      <c r="A32" s="15" t="s">
        <v>38</v>
      </c>
      <c r="B32" s="16" t="s">
        <v>92</v>
      </c>
      <c r="C32" s="16" t="s">
        <v>156</v>
      </c>
      <c r="D32" s="16"/>
      <c r="E32" s="16">
        <v>676659191</v>
      </c>
      <c r="F32" s="16"/>
      <c r="G32" s="16" t="s">
        <v>155</v>
      </c>
      <c r="H32" s="45">
        <v>43497</v>
      </c>
      <c r="I32" s="16"/>
      <c r="J32" s="46"/>
    </row>
    <row r="33" spans="1:10" x14ac:dyDescent="0.25">
      <c r="A33" s="15" t="s">
        <v>39</v>
      </c>
      <c r="B33" s="16" t="s">
        <v>93</v>
      </c>
      <c r="C33" s="16" t="s">
        <v>119</v>
      </c>
      <c r="D33" s="16"/>
      <c r="E33" s="16">
        <v>677575366</v>
      </c>
      <c r="F33" s="16"/>
      <c r="G33" s="16" t="s">
        <v>157</v>
      </c>
      <c r="H33" s="45">
        <v>42917</v>
      </c>
      <c r="I33" s="16"/>
      <c r="J33" s="46"/>
    </row>
    <row r="34" spans="1:10" x14ac:dyDescent="0.25">
      <c r="A34" s="15" t="s">
        <v>40</v>
      </c>
      <c r="B34" s="16" t="s">
        <v>107</v>
      </c>
      <c r="C34" s="16" t="s">
        <v>140</v>
      </c>
      <c r="D34" s="16"/>
      <c r="E34" s="16">
        <v>699843118</v>
      </c>
      <c r="F34" s="16"/>
      <c r="G34" s="16" t="s">
        <v>126</v>
      </c>
      <c r="H34" s="45">
        <v>42522</v>
      </c>
      <c r="I34" s="16"/>
      <c r="J34" s="46"/>
    </row>
    <row r="35" spans="1:10" x14ac:dyDescent="0.25">
      <c r="A35" s="15" t="s">
        <v>41</v>
      </c>
      <c r="B35" s="16" t="s">
        <v>94</v>
      </c>
      <c r="C35" s="16" t="s">
        <v>119</v>
      </c>
      <c r="D35" s="16"/>
      <c r="E35" s="16">
        <v>677377251</v>
      </c>
      <c r="F35" s="16"/>
      <c r="G35" s="16" t="s">
        <v>141</v>
      </c>
      <c r="H35" s="45">
        <v>43282</v>
      </c>
      <c r="I35" s="16"/>
      <c r="J35" s="46"/>
    </row>
    <row r="36" spans="1:10" x14ac:dyDescent="0.25">
      <c r="A36" s="15" t="s">
        <v>42</v>
      </c>
      <c r="B36" s="16" t="s">
        <v>158</v>
      </c>
      <c r="C36" s="16" t="s">
        <v>159</v>
      </c>
      <c r="D36" s="16"/>
      <c r="E36" s="16">
        <v>677867173</v>
      </c>
      <c r="F36" s="16"/>
      <c r="G36" s="16" t="s">
        <v>126</v>
      </c>
      <c r="H36" s="45">
        <v>42461</v>
      </c>
      <c r="I36" s="16"/>
      <c r="J36" s="46"/>
    </row>
    <row r="37" spans="1:10" x14ac:dyDescent="0.25">
      <c r="A37" s="15" t="s">
        <v>43</v>
      </c>
      <c r="B37" s="16" t="s">
        <v>95</v>
      </c>
      <c r="C37" s="16" t="s">
        <v>160</v>
      </c>
      <c r="D37" s="16"/>
      <c r="E37" s="16">
        <v>699995086</v>
      </c>
      <c r="F37" s="16"/>
      <c r="G37" s="16" t="s">
        <v>161</v>
      </c>
      <c r="H37" s="45">
        <v>43525</v>
      </c>
      <c r="I37" s="16"/>
      <c r="J37" s="46"/>
    </row>
    <row r="38" spans="1:10" x14ac:dyDescent="0.25">
      <c r="A38" s="15" t="s">
        <v>44</v>
      </c>
      <c r="B38" s="16" t="s">
        <v>96</v>
      </c>
      <c r="C38" s="16" t="s">
        <v>119</v>
      </c>
      <c r="D38" s="16"/>
      <c r="E38" s="16">
        <v>677054646</v>
      </c>
      <c r="F38" s="16"/>
      <c r="G38" s="16" t="s">
        <v>120</v>
      </c>
      <c r="H38" s="45">
        <v>43160</v>
      </c>
      <c r="I38" s="16"/>
      <c r="J38" s="46"/>
    </row>
    <row r="39" spans="1:10" x14ac:dyDescent="0.25">
      <c r="A39" s="15" t="s">
        <v>45</v>
      </c>
      <c r="B39" s="16" t="s">
        <v>97</v>
      </c>
      <c r="C39" s="16" t="s">
        <v>119</v>
      </c>
      <c r="D39" s="16"/>
      <c r="E39" s="16">
        <v>699549665</v>
      </c>
      <c r="F39" s="16"/>
      <c r="G39" s="16" t="s">
        <v>162</v>
      </c>
      <c r="H39" s="45">
        <v>43556</v>
      </c>
      <c r="I39" s="16"/>
      <c r="J39" s="46"/>
    </row>
    <row r="40" spans="1:10" x14ac:dyDescent="0.25">
      <c r="A40" s="15" t="s">
        <v>46</v>
      </c>
      <c r="B40" s="16" t="s">
        <v>98</v>
      </c>
      <c r="C40" s="16" t="s">
        <v>131</v>
      </c>
      <c r="D40" s="16"/>
      <c r="E40" s="16">
        <v>699350133</v>
      </c>
      <c r="F40" s="16"/>
      <c r="G40" s="16" t="s">
        <v>137</v>
      </c>
      <c r="H40" s="45">
        <v>43435</v>
      </c>
      <c r="I40" s="16"/>
      <c r="J40" s="46"/>
    </row>
    <row r="41" spans="1:10" x14ac:dyDescent="0.25">
      <c r="A41" s="15" t="s">
        <v>47</v>
      </c>
      <c r="B41" s="16" t="s">
        <v>99</v>
      </c>
      <c r="C41" s="16" t="s">
        <v>152</v>
      </c>
      <c r="D41" s="16"/>
      <c r="E41" s="16">
        <v>677477649</v>
      </c>
      <c r="F41" s="16"/>
      <c r="G41" s="16" t="s">
        <v>163</v>
      </c>
      <c r="H41" s="45">
        <v>42948</v>
      </c>
      <c r="I41" s="16"/>
      <c r="J41" s="46"/>
    </row>
    <row r="42" spans="1:10" x14ac:dyDescent="0.25">
      <c r="A42" s="15" t="s">
        <v>48</v>
      </c>
      <c r="B42" s="16" t="s">
        <v>100</v>
      </c>
      <c r="C42" s="16" t="s">
        <v>164</v>
      </c>
      <c r="D42" s="16"/>
      <c r="E42" s="16">
        <v>677546060</v>
      </c>
      <c r="F42" s="16"/>
      <c r="G42" s="16" t="s">
        <v>132</v>
      </c>
      <c r="H42" s="45">
        <v>42736</v>
      </c>
      <c r="I42" s="16"/>
      <c r="J42" s="46"/>
    </row>
    <row r="43" spans="1:10" x14ac:dyDescent="0.25">
      <c r="A43" s="15" t="s">
        <v>49</v>
      </c>
      <c r="B43" s="16" t="s">
        <v>176</v>
      </c>
      <c r="C43" s="16" t="s">
        <v>146</v>
      </c>
      <c r="D43" s="16"/>
      <c r="E43" s="16">
        <v>677648306</v>
      </c>
      <c r="F43" s="16"/>
      <c r="G43" s="16" t="s">
        <v>123</v>
      </c>
      <c r="H43" s="45">
        <v>43040</v>
      </c>
      <c r="I43" s="16"/>
      <c r="J43" s="46"/>
    </row>
    <row r="44" spans="1:10" x14ac:dyDescent="0.25">
      <c r="A44" s="15" t="s">
        <v>50</v>
      </c>
      <c r="B44" s="16" t="s">
        <v>165</v>
      </c>
      <c r="C44" s="16" t="s">
        <v>134</v>
      </c>
      <c r="D44" s="16"/>
      <c r="E44" s="16">
        <v>677780149</v>
      </c>
      <c r="F44" s="16"/>
      <c r="G44" s="16" t="s">
        <v>128</v>
      </c>
      <c r="H44" s="45">
        <v>42552</v>
      </c>
      <c r="I44" s="16"/>
      <c r="J44" s="46"/>
    </row>
    <row r="45" spans="1:10" x14ac:dyDescent="0.25">
      <c r="A45" s="15" t="s">
        <v>51</v>
      </c>
      <c r="B45" s="16" t="s">
        <v>166</v>
      </c>
      <c r="C45" s="16" t="s">
        <v>167</v>
      </c>
      <c r="D45" s="16"/>
      <c r="E45" s="16">
        <v>699778906</v>
      </c>
      <c r="F45" s="16"/>
      <c r="G45" s="16" t="s">
        <v>155</v>
      </c>
      <c r="H45" s="45">
        <v>43709</v>
      </c>
      <c r="I45" s="16"/>
      <c r="J45" s="46"/>
    </row>
    <row r="46" spans="1:10" x14ac:dyDescent="0.25">
      <c r="A46" s="15" t="s">
        <v>52</v>
      </c>
      <c r="B46" s="16" t="s">
        <v>101</v>
      </c>
      <c r="C46" s="16" t="s">
        <v>147</v>
      </c>
      <c r="D46" s="16"/>
      <c r="E46" s="16">
        <v>678639806</v>
      </c>
      <c r="F46" s="16"/>
      <c r="G46" s="16" t="s">
        <v>155</v>
      </c>
      <c r="H46" s="45">
        <v>43252</v>
      </c>
      <c r="I46" s="16"/>
      <c r="J46" s="46"/>
    </row>
    <row r="47" spans="1:10" x14ac:dyDescent="0.25">
      <c r="A47" s="15" t="s">
        <v>53</v>
      </c>
      <c r="B47" s="16" t="s">
        <v>102</v>
      </c>
      <c r="C47" s="16" t="s">
        <v>119</v>
      </c>
      <c r="D47" s="16"/>
      <c r="E47" s="16">
        <v>677775940</v>
      </c>
      <c r="F47" s="16"/>
      <c r="G47" s="16" t="s">
        <v>168</v>
      </c>
      <c r="H47" s="45">
        <v>43221</v>
      </c>
      <c r="I47" s="16"/>
      <c r="J47" s="46"/>
    </row>
    <row r="48" spans="1:10" x14ac:dyDescent="0.25">
      <c r="A48" s="15" t="s">
        <v>54</v>
      </c>
      <c r="B48" s="16" t="s">
        <v>103</v>
      </c>
      <c r="C48" s="16" t="s">
        <v>169</v>
      </c>
      <c r="D48" s="16"/>
      <c r="E48" s="16">
        <v>677508603</v>
      </c>
      <c r="F48" s="16"/>
      <c r="G48" s="16" t="s">
        <v>170</v>
      </c>
      <c r="H48" s="45">
        <v>42856</v>
      </c>
      <c r="I48" s="16"/>
      <c r="J48" s="46"/>
    </row>
    <row r="49" spans="1:10" x14ac:dyDescent="0.25">
      <c r="A49" s="15" t="s">
        <v>55</v>
      </c>
      <c r="B49" s="16" t="s">
        <v>104</v>
      </c>
      <c r="C49" s="16" t="s">
        <v>171</v>
      </c>
      <c r="D49" s="16"/>
      <c r="E49" s="16">
        <v>677726329</v>
      </c>
      <c r="F49" s="16"/>
      <c r="G49" s="16" t="s">
        <v>126</v>
      </c>
      <c r="H49" s="45">
        <v>42430</v>
      </c>
      <c r="I49" s="16"/>
      <c r="J49" s="46"/>
    </row>
    <row r="50" spans="1:10" x14ac:dyDescent="0.25">
      <c r="A50" s="15" t="s">
        <v>66</v>
      </c>
      <c r="B50" s="16" t="s">
        <v>105</v>
      </c>
      <c r="C50" s="16" t="s">
        <v>172</v>
      </c>
      <c r="D50" s="16"/>
      <c r="E50" s="16">
        <v>699663416</v>
      </c>
      <c r="F50" s="16"/>
      <c r="G50" s="16" t="s">
        <v>173</v>
      </c>
      <c r="H50" s="45">
        <v>42826</v>
      </c>
      <c r="I50" s="16"/>
      <c r="J50" s="46"/>
    </row>
    <row r="51" spans="1:10" x14ac:dyDescent="0.25">
      <c r="A51" s="15" t="s">
        <v>178</v>
      </c>
      <c r="B51" s="16" t="s">
        <v>106</v>
      </c>
      <c r="C51" s="16" t="s">
        <v>174</v>
      </c>
      <c r="D51" s="16"/>
      <c r="E51" s="16">
        <v>677547311</v>
      </c>
      <c r="F51" s="16"/>
      <c r="G51" s="16" t="s">
        <v>175</v>
      </c>
      <c r="H51" s="45">
        <v>42675</v>
      </c>
      <c r="I51" s="16"/>
      <c r="J51" s="46"/>
    </row>
    <row r="52" spans="1:10" ht="15.75" thickBot="1" x14ac:dyDescent="0.3">
      <c r="A52" s="21" t="s">
        <v>185</v>
      </c>
      <c r="B52" s="22" t="s">
        <v>1</v>
      </c>
      <c r="C52" s="22" t="s">
        <v>194</v>
      </c>
      <c r="D52" s="17"/>
      <c r="E52" s="17"/>
      <c r="F52" s="17"/>
      <c r="G52" s="17"/>
      <c r="H52" s="17"/>
      <c r="I52" s="17"/>
      <c r="J52" s="23"/>
    </row>
    <row r="53" spans="1:10" ht="15.75" thickTop="1" x14ac:dyDescent="0.25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workbookViewId="0">
      <pane xSplit="2" ySplit="4" topLeftCell="G68" activePane="bottomRight" state="frozen"/>
      <selection pane="topRight" activeCell="C1" sqref="C1"/>
      <selection pane="bottomLeft" activeCell="A6" sqref="A6"/>
      <selection pane="bottomRight" activeCell="A37" sqref="A37:XFD3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85546875" style="2" bestFit="1" customWidth="1"/>
    <col min="4" max="4" width="15.28515625" customWidth="1"/>
    <col min="5" max="5" width="16.5703125" bestFit="1" customWidth="1"/>
    <col min="6" max="6" width="16.85546875" bestFit="1" customWidth="1"/>
    <col min="7" max="9" width="17.140625" customWidth="1"/>
    <col min="10" max="11" width="17.28515625" customWidth="1"/>
    <col min="12" max="12" width="13.140625" customWidth="1"/>
    <col min="13" max="13" width="16.28515625" customWidth="1"/>
    <col min="14" max="14" width="13.140625" customWidth="1"/>
    <col min="15" max="15" width="16.85546875" style="2" bestFit="1" customWidth="1"/>
    <col min="16" max="16" width="15" bestFit="1" customWidth="1"/>
    <col min="17" max="17" width="17.5703125" style="4" bestFit="1" customWidth="1"/>
    <col min="18" max="18" width="15.7109375" style="2" customWidth="1"/>
    <col min="19" max="19" width="15" style="2" bestFit="1" customWidth="1"/>
    <col min="20" max="20" width="18.140625" style="2" bestFit="1" customWidth="1"/>
    <col min="21" max="26" width="18.140625" customWidth="1"/>
    <col min="27" max="27" width="21.28515625" style="2" bestFit="1" customWidth="1"/>
    <col min="28" max="28" width="19" bestFit="1" customWidth="1"/>
  </cols>
  <sheetData>
    <row r="1" spans="1:28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8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ht="60" customHeight="1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190</v>
      </c>
      <c r="F4" s="5" t="s">
        <v>186</v>
      </c>
      <c r="G4" s="5" t="s">
        <v>191</v>
      </c>
      <c r="H4" s="5" t="s">
        <v>215</v>
      </c>
      <c r="I4" s="5" t="s">
        <v>216</v>
      </c>
      <c r="J4" s="5" t="s">
        <v>217</v>
      </c>
      <c r="K4" s="5" t="s">
        <v>212</v>
      </c>
      <c r="L4" s="5" t="s">
        <v>184</v>
      </c>
      <c r="M4" s="5" t="s">
        <v>209</v>
      </c>
      <c r="N4" s="5" t="s">
        <v>192</v>
      </c>
      <c r="O4" s="5" t="s">
        <v>65</v>
      </c>
      <c r="P4" s="5" t="s">
        <v>57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62</v>
      </c>
      <c r="V4" s="5" t="s">
        <v>63</v>
      </c>
      <c r="W4" s="5" t="s">
        <v>64</v>
      </c>
      <c r="X4" s="5" t="s">
        <v>8</v>
      </c>
      <c r="Y4" s="5" t="s">
        <v>182</v>
      </c>
      <c r="Z4" s="5" t="s">
        <v>181</v>
      </c>
      <c r="AA4" s="6" t="s">
        <v>9</v>
      </c>
      <c r="AB4" s="1" t="s">
        <v>10</v>
      </c>
    </row>
    <row r="5" spans="1:28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1">
        <v>318145</v>
      </c>
      <c r="E5" s="6">
        <f t="shared" ref="E5:E52" si="0">C5+D5+P5</f>
        <v>318145</v>
      </c>
      <c r="F5" s="6">
        <f>TONT20000DEC2015!E5+TONT20000JANV!C5+TONT20000FEV!C5+TONT20000MARS!C5+TONT20000AVRIL!C5+TONT20000MAI!C5+TONT20000JUIN!C5+TONT20000JUIL!C5+TONT20000AOUT!C5+TONT20000SEPT!C5+TONT20000OCT!C5+TONT20000NOV!C5</f>
        <v>35196.343946707959</v>
      </c>
      <c r="G5" s="6">
        <f>TONT20000NOV!E5</f>
        <v>353341.3439467079</v>
      </c>
      <c r="H5" s="6">
        <f t="shared" ref="H5:H52" si="1">D5+F5+P5</f>
        <v>353341.34394670796</v>
      </c>
      <c r="I5" s="6">
        <f>K5+L5+M5+N5</f>
        <v>0</v>
      </c>
      <c r="J5" s="31">
        <f>H5-I5</f>
        <v>353341.34394670796</v>
      </c>
      <c r="K5" s="6"/>
      <c r="L5" s="1"/>
      <c r="M5" s="1"/>
      <c r="N5" s="1"/>
      <c r="O5" s="7">
        <f>TONT20000DEC2015!H5+TONT20000JANV!F5+TONT20000FEV!F5+TONT20000MARS!F5+TONT20000AVRIL!F5+TONT20000MAI!F5+TONT20000JUIN!F5+TONT20000JUIL!F5+TONT20000AOUT!F5+TONT20000SEPT!F5+TONT20000OCT!F5+TONT20000NOV!G5</f>
        <v>0</v>
      </c>
      <c r="P5" s="7">
        <f>TONT20000DEC2015!I5+TONT20000JANV!G5+TONT20000FEV!G5+TONT20000MARS!G5+TONT20000AVRIL!G5+TONT20000MAI!G5+TONT20000JUIN!G5+TONT20000JUIL!G5+TONT20000AOUT!G5+TONT20000SEPT!G5+TONT20000OCT!G5+TONT20000NOV!H5</f>
        <v>0</v>
      </c>
      <c r="Q5" s="7">
        <f>TONT20000DEC2015!J5+TONT20000JANV!H5+TONT20000FEV!H5+TONT20000MARS!H5+TONT20000AVRIL!H5+TONT20000MAI!H5+TONT20000JUIN!H5+TONT20000JUIL!H5+TONT20000AOUT!H5+TONT20000SEPT!H5+TONT20000OCT!H5+TONT20000NOV!I5</f>
        <v>0</v>
      </c>
      <c r="R5" s="7">
        <f>TONT20000DEC2015!K5+TONT20000JANV!I5+TONT20000FEV!I5+TONT20000MARS!I5+TONT20000AVRIL!I5+TONT20000MAI!I5+TONT20000JUIN!I5+TONT20000JUIL!I5+TONT20000AOUT!I5+TONT20000SEPT!I5+TONT20000OCT!I5+TONT20000NOV!J5</f>
        <v>0</v>
      </c>
      <c r="S5" s="7">
        <f>TONT20000DEC2015!L5+TONT20000JANV!J5+TONT20000FEV!J5+TONT20000MARS!J5+TONT20000AVRIL!J5+TONT20000MAI!J5+TONT20000JUIN!J5+TONT20000JUIL!J5+TONT20000AOUT!J5+TONT20000SEPT!J5+TONT20000OCT!J5+TONT20000NOV!K5</f>
        <v>0</v>
      </c>
      <c r="T5" s="7">
        <f>TONT20000DEC2015!M5+TONT20000JANV!K5+TONT20000FEV!K5+TONT20000MARS!K5+TONT20000AVRIL!K5+TONT20000MAI!K5+TONT20000JUIN!K5+TONT20000JUIL!K5+TONT20000AOUT!K5+TONT20000SEPT!K5+TONT20000OCT!K5+TONT20000NOV!L5</f>
        <v>0</v>
      </c>
      <c r="U5" s="7">
        <f>TONT20000DEC2015!N5+TONT20000JANV!L5+TONT20000FEV!L5+TONT20000MARS!L5+TONT20000AVRIL!L5+TONT20000MAI!L5+TONT20000JUIN!L5+TONT20000JUIL!L5+TONT20000AOUT!L5+TONT20000SEPT!L5+TONT20000OCT!L5+TONT20000NOV!M5</f>
        <v>0</v>
      </c>
      <c r="V5" s="7">
        <f>TONT20000DEC2015!O5+TONT20000JANV!M5+TONT20000FEV!M5+TONT20000MARS!M5+TONT20000AVRIL!M5+TONT20000MAI!M5+TONT20000JUIN!M5+TONT20000JUIL!M5+TONT20000AOUT!M5+TONT20000SEPT!M5+TONT20000OCT!M5+TONT20000NOV!N5</f>
        <v>0</v>
      </c>
      <c r="W5" s="7">
        <f>TONT20000DEC2015!P5+TONT20000JANV!N5+TONT20000FEV!N5+TONT20000MARS!N5+TONT20000AVRIL!N5+TONT20000MAI!N5+TONT20000JUIN!N5+TONT20000JUIL!N5+TONT20000AOUT!N5+TONT20000SEPT!N5+TONT20000OCT!N5+TONT20000NOV!O5</f>
        <v>0</v>
      </c>
      <c r="X5" s="7">
        <f>TONT20000DEC2015!Q5+TONT20000JANV!O5+TONT20000FEV!O5+TONT20000MARS!O5+TONT20000AVRIL!O5+TONT20000MAI!O5+TONT20000JUIN!O5+TONT20000JUIL!O5+TONT20000AOUT!O5+TONT20000SEPT!O5+TONT20000OCT!O5+TONT20000NOV!P5</f>
        <v>0</v>
      </c>
      <c r="Y5" s="7">
        <f>TONT20000DEC2015!R5+TONT20000JANV!P5+TONT20000FEV!P5+TONT20000MARS!P5+TONT20000AVRIL!P5+TONT20000MAI!P5+TONT20000JUIN!P5+TONT20000JUIL!P5+TONT20000AOUT!P5+TONT20000SEPT!P5+TONT20000OCT!P5+TONT20000NOV!Q5</f>
        <v>0</v>
      </c>
      <c r="Z5" s="7">
        <f>TONT20000DEC2015!S5+TONT20000JANV!Q5+TONT20000FEV!Q5+TONT20000MARS!Q5+TONT20000AVRIL!Q5+TONT20000MAI!Q5+TONT20000JUIN!Q5+TONT20000JUIL!Q5+TONT20000AOUT!Q5+TONT20000SEPT!Q5+TONT20000OCT!Q5+TONT20000NOV!R5</f>
        <v>0</v>
      </c>
      <c r="AA5" s="7">
        <f>TONT20000DEC2015!T5+TONT20000JANV!R5+TONT20000FEV!R5+TONT20000MARS!R5+TONT20000AVRIL!R5+TONT20000MAI!R5+TONT20000JUIN!R5+TONT20000JUIL!R5+TONT20000AOUT!R5+TONT20000SEPT!R5+TONT20000OCT!R5+TONT20000NOV!S5</f>
        <v>0</v>
      </c>
    </row>
    <row r="6" spans="1:28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453536</v>
      </c>
      <c r="F6" s="6">
        <f>TONT20000DEC2015!E6+TONT20000JANV!C6+TONT20000FEV!C6+TONT20000MARS!C6+TONT20000AVRIL!C6+TONT20000MAI!C6+TONT20000JUIN!C6+TONT20000JUIL!C6+TONT20000AOUT!C6+TONT20000SEPT!C6+TONT20000OCT!C6+TONT20000NOV!C6</f>
        <v>49022.694143470857</v>
      </c>
      <c r="G6" s="6">
        <f>TONT20000NOV!E6</f>
        <v>502558.69414347096</v>
      </c>
      <c r="H6" s="6">
        <f t="shared" si="1"/>
        <v>112558.69414347086</v>
      </c>
      <c r="I6" s="6">
        <f t="shared" ref="I6:I52" si="2">K6+L6+M6+N6</f>
        <v>63000</v>
      </c>
      <c r="J6" s="31">
        <f t="shared" ref="J6:J52" si="3">H6-I6</f>
        <v>49558.694143470857</v>
      </c>
      <c r="K6" s="6">
        <v>30000</v>
      </c>
      <c r="L6" s="6"/>
      <c r="M6" s="6">
        <v>25000</v>
      </c>
      <c r="N6" s="6">
        <f>48000-(Q6+R6+S6)</f>
        <v>8000</v>
      </c>
      <c r="O6" s="7">
        <f>TONT20000DEC2015!H6+TONT20000JANV!F6+TONT20000FEV!F6+TONT20000MARS!F6+TONT20000AVRIL!F6+TONT20000MAI!F6+TONT20000JUIN!F6+TONT20000JUIL!F6+TONT20000AOUT!F6+TONT20000SEPT!F6+TONT20000OCT!F6+TONT20000NOV!G6</f>
        <v>225000</v>
      </c>
      <c r="P6" s="7">
        <f>TONT20000DEC2015!I6+TONT20000JANV!G6+TONT20000FEV!G6+TONT20000MARS!G6+TONT20000AVRIL!G6+TONT20000MAI!G6+TONT20000JUIN!G6+TONT20000JUIL!G6+TONT20000AOUT!G6+TONT20000SEPT!G6+TONT20000OCT!G6+TONT20000NOV!H6</f>
        <v>30000</v>
      </c>
      <c r="Q6" s="7">
        <f>TONT20000DEC2015!J6+TONT20000JANV!H6+TONT20000FEV!H6+TONT20000MARS!H6+TONT20000AVRIL!H6+TONT20000MAI!H6+TONT20000JUIN!H6+TONT20000JUIL!H6+TONT20000AOUT!H6+TONT20000SEPT!H6+TONT20000OCT!H6+TONT20000NOV!I6</f>
        <v>5000</v>
      </c>
      <c r="R6" s="7">
        <f>TONT20000DEC2015!K6+TONT20000JANV!I6+TONT20000FEV!I6+TONT20000MARS!I6+TONT20000AVRIL!I6+TONT20000MAI!I6+TONT20000JUIN!I6+TONT20000JUIL!I6+TONT20000AOUT!I6+TONT20000SEPT!I6+TONT20000OCT!I6+TONT20000NOV!J6</f>
        <v>10000</v>
      </c>
      <c r="S6" s="7">
        <f>TONT20000DEC2015!L6+TONT20000JANV!J6+TONT20000FEV!J6+TONT20000MARS!J6+TONT20000AVRIL!J6+TONT20000MAI!J6+TONT20000JUIN!J6+TONT20000JUIL!J6+TONT20000AOUT!J6+TONT20000SEPT!J6+TONT20000OCT!J6+TONT20000NOV!K6</f>
        <v>25000</v>
      </c>
      <c r="T6" s="7">
        <f>TONT20000DEC2015!M6+TONT20000JANV!K6+TONT20000FEV!K6+TONT20000MARS!K6+TONT20000AVRIL!K6+TONT20000MAI!K6+TONT20000JUIN!K6+TONT20000JUIL!K6+TONT20000AOUT!K6+TONT20000SEPT!K6+TONT20000OCT!K6+TONT20000NOV!L6</f>
        <v>25000</v>
      </c>
      <c r="U6" s="7">
        <f>TONT20000DEC2015!N6+TONT20000JANV!L6+TONT20000FEV!L6+TONT20000MARS!L6+TONT20000AVRIL!L6+TONT20000MAI!L6+TONT20000JUIN!L6+TONT20000JUIL!L6+TONT20000AOUT!L6+TONT20000SEPT!L6+TONT20000OCT!L6+TONT20000NOV!M6</f>
        <v>130000</v>
      </c>
      <c r="V6" s="7">
        <f>TONT20000DEC2015!O6+TONT20000JANV!M6+TONT20000FEV!M6+TONT20000MARS!M6+TONT20000AVRIL!M6+TONT20000MAI!M6+TONT20000JUIN!M6+TONT20000JUIL!M6+TONT20000AOUT!M6+TONT20000SEPT!M6+TONT20000OCT!M6+TONT20000NOV!N6</f>
        <v>500000</v>
      </c>
      <c r="W6" s="7">
        <f>TONT20000DEC2015!P6+TONT20000JANV!N6+TONT20000FEV!N6+TONT20000MARS!N6+TONT20000AVRIL!N6+TONT20000MAI!N6+TONT20000JUIN!N6+TONT20000JUIL!N6+TONT20000AOUT!N6+TONT20000SEPT!N6+TONT20000OCT!N6+TONT20000NOV!O6</f>
        <v>15000</v>
      </c>
      <c r="X6" s="7">
        <f>TONT20000DEC2015!Q6+TONT20000JANV!O6+TONT20000FEV!O6+TONT20000MARS!O6+TONT20000AVRIL!O6+TONT20000MAI!O6+TONT20000JUIN!O6+TONT20000JUIL!O6+TONT20000AOUT!O6+TONT20000SEPT!O6+TONT20000OCT!O6+TONT20000NOV!P6</f>
        <v>0</v>
      </c>
      <c r="Y6" s="7">
        <f>TONT20000DEC2015!R6+TONT20000JANV!P6+TONT20000FEV!P6+TONT20000MARS!P6+TONT20000AVRIL!P6+TONT20000MAI!P6+TONT20000JUIN!P6+TONT20000JUIL!P6+TONT20000AOUT!P6+TONT20000SEPT!P6+TONT20000OCT!P6+TONT20000NOV!Q6</f>
        <v>0</v>
      </c>
      <c r="Z6" s="7">
        <f>TONT20000DEC2015!S6+TONT20000JANV!Q6+TONT20000FEV!Q6+TONT20000MARS!Q6+TONT20000AVRIL!Q6+TONT20000MAI!Q6+TONT20000JUIN!Q6+TONT20000JUIL!Q6+TONT20000AOUT!Q6+TONT20000SEPT!Q6+TONT20000OCT!Q6+TONT20000NOV!R6</f>
        <v>0</v>
      </c>
      <c r="AA6" s="7">
        <f>TONT20000DEC2015!T6+TONT20000JANV!R6+TONT20000FEV!R6+TONT20000MARS!R6+TONT20000AVRIL!R6+TONT20000MAI!R6+TONT20000JUIN!R6+TONT20000JUIL!R6+TONT20000AOUT!R6+TONT20000SEPT!R6+TONT20000OCT!R6+TONT20000NOV!S6</f>
        <v>0</v>
      </c>
    </row>
    <row r="7" spans="1:28" x14ac:dyDescent="0.25">
      <c r="A7" s="1" t="s">
        <v>12</v>
      </c>
      <c r="B7" s="1" t="str">
        <f>VLOOKUP(A7,LISTADHERENT!A$5:H$52,2,0)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427704</v>
      </c>
      <c r="F7" s="6">
        <f>TONT20000DEC2015!E7+TONT20000JANV!C7+TONT20000FEV!C7+TONT20000MARS!C7+TONT20000AVRIL!C7+TONT20000MAI!C7+TONT20000JUIN!C7+TONT20000JUIL!C7+TONT20000AOUT!C7+TONT20000SEPT!C7+TONT20000OCT!C7+TONT20000NOV!C7</f>
        <v>45747.968291719255</v>
      </c>
      <c r="G7" s="6">
        <f>TONT20000NOV!E7</f>
        <v>473451.96829171921</v>
      </c>
      <c r="H7" s="6">
        <f t="shared" si="1"/>
        <v>83451.968291719255</v>
      </c>
      <c r="I7" s="6">
        <f t="shared" si="2"/>
        <v>80000</v>
      </c>
      <c r="J7" s="31">
        <f t="shared" si="3"/>
        <v>3451.9682917192549</v>
      </c>
      <c r="K7" s="6">
        <v>30000</v>
      </c>
      <c r="L7" s="6"/>
      <c r="M7" s="6">
        <v>50000</v>
      </c>
      <c r="N7" s="6">
        <f t="shared" ref="N7:N52" si="4">48000-(Q7+R7+S7)</f>
        <v>0</v>
      </c>
      <c r="O7" s="7">
        <f>TONT20000DEC2015!H7+TONT20000JANV!F7+TONT20000FEV!F7+TONT20000MARS!F7+TONT20000AVRIL!F7+TONT20000MAI!F7+TONT20000JUIN!F7+TONT20000JUIL!F7+TONT20000AOUT!F7+TONT20000SEPT!F7+TONT20000OCT!F7+TONT20000NOV!G7</f>
        <v>240000</v>
      </c>
      <c r="P7" s="7">
        <f>TONT20000DEC2015!I7+TONT20000JANV!G7+TONT20000FEV!G7+TONT20000MARS!G7+TONT20000AVRIL!G7+TONT20000MAI!G7+TONT20000JUIN!G7+TONT20000JUIL!G7+TONT20000AOUT!G7+TONT20000SEPT!G7+TONT20000OCT!G7+TONT20000NOV!H7</f>
        <v>36000</v>
      </c>
      <c r="Q7" s="7">
        <f>TONT20000DEC2015!J7+TONT20000JANV!H7+TONT20000FEV!H7+TONT20000MARS!H7+TONT20000AVRIL!H7+TONT20000MAI!H7+TONT20000JUIN!H7+TONT20000JUIL!H7+TONT20000AOUT!H7+TONT20000SEPT!H7+TONT20000OCT!H7+TONT20000NOV!I7</f>
        <v>6000</v>
      </c>
      <c r="R7" s="7">
        <f>TONT20000DEC2015!K7+TONT20000JANV!I7+TONT20000FEV!I7+TONT20000MARS!I7+TONT20000AVRIL!I7+TONT20000MAI!I7+TONT20000JUIN!I7+TONT20000JUIL!I7+TONT20000AOUT!I7+TONT20000SEPT!I7+TONT20000OCT!I7+TONT20000NOV!J7</f>
        <v>12000</v>
      </c>
      <c r="S7" s="7">
        <f>TONT20000DEC2015!L7+TONT20000JANV!J7+TONT20000FEV!J7+TONT20000MARS!J7+TONT20000AVRIL!J7+TONT20000MAI!J7+TONT20000JUIN!J7+TONT20000JUIL!J7+TONT20000AOUT!J7+TONT20000SEPT!J7+TONT20000OCT!J7+TONT20000NOV!K7</f>
        <v>30000</v>
      </c>
      <c r="T7" s="7">
        <f>TONT20000DEC2015!M7+TONT20000JANV!K7+TONT20000FEV!K7+TONT20000MARS!K7+TONT20000AVRIL!K7+TONT20000MAI!K7+TONT20000JUIN!K7+TONT20000JUIL!K7+TONT20000AOUT!K7+TONT20000SEPT!K7+TONT20000OCT!K7+TONT20000NOV!L7</f>
        <v>0</v>
      </c>
      <c r="U7" s="7">
        <f>TONT20000DEC2015!N7+TONT20000JANV!L7+TONT20000FEV!L7+TONT20000MARS!L7+TONT20000AVRIL!L7+TONT20000MAI!L7+TONT20000JUIN!L7+TONT20000JUIL!L7+TONT20000AOUT!L7+TONT20000SEPT!L7+TONT20000OCT!L7+TONT20000NOV!M7</f>
        <v>156000</v>
      </c>
      <c r="V7" s="7">
        <f>TONT20000DEC2015!O7+TONT20000JANV!M7+TONT20000FEV!M7+TONT20000MARS!M7+TONT20000AVRIL!M7+TONT20000MAI!M7+TONT20000JUIN!M7+TONT20000JUIL!M7+TONT20000AOUT!M7+TONT20000SEPT!M7+TONT20000OCT!M7+TONT20000NOV!N7</f>
        <v>1700000</v>
      </c>
      <c r="W7" s="7">
        <f>TONT20000DEC2015!P7+TONT20000JANV!N7+TONT20000FEV!N7+TONT20000MARS!N7+TONT20000AVRIL!N7+TONT20000MAI!N7+TONT20000JUIN!N7+TONT20000JUIL!N7+TONT20000AOUT!N7+TONT20000SEPT!N7+TONT20000OCT!N7+TONT20000NOV!O7</f>
        <v>124000</v>
      </c>
      <c r="X7" s="7">
        <f>TONT20000DEC2015!Q7+TONT20000JANV!O7+TONT20000FEV!O7+TONT20000MARS!O7+TONT20000AVRIL!O7+TONT20000MAI!O7+TONT20000JUIN!O7+TONT20000JUIL!O7+TONT20000AOUT!O7+TONT20000SEPT!O7+TONT20000OCT!O7+TONT20000NOV!P7</f>
        <v>1000000</v>
      </c>
      <c r="Y7" s="7">
        <f>TONT20000DEC2015!R7+TONT20000JANV!P7+TONT20000FEV!P7+TONT20000MARS!P7+TONT20000AVRIL!P7+TONT20000MAI!P7+TONT20000JUIN!P7+TONT20000JUIL!P7+TONT20000AOUT!P7+TONT20000SEPT!P7+TONT20000OCT!P7+TONT20000NOV!Q7</f>
        <v>0</v>
      </c>
      <c r="Z7" s="7">
        <f>TONT20000DEC2015!S7+TONT20000JANV!Q7+TONT20000FEV!Q7+TONT20000MARS!Q7+TONT20000AVRIL!Q7+TONT20000MAI!Q7+TONT20000JUIN!Q7+TONT20000JUIL!Q7+TONT20000AOUT!Q7+TONT20000SEPT!Q7+TONT20000OCT!Q7+TONT20000NOV!R7</f>
        <v>0</v>
      </c>
      <c r="AA7" s="7">
        <f>TONT20000DEC2015!T7+TONT20000JANV!R7+TONT20000FEV!R7+TONT20000MARS!R7+TONT20000AVRIL!R7+TONT20000MAI!R7+TONT20000JUIN!R7+TONT20000JUIL!R7+TONT20000AOUT!R7+TONT20000SEPT!R7+TONT20000OCT!R7+TONT20000NOV!S7</f>
        <v>0</v>
      </c>
    </row>
    <row r="8" spans="1:28" x14ac:dyDescent="0.25">
      <c r="A8" s="1" t="s">
        <v>13</v>
      </c>
      <c r="B8" s="1" t="str">
        <f>VLOOKUP(A8,LISTADHERENT!A$5:H$52,2,0)</f>
        <v>CHINGUE FABRICE</v>
      </c>
      <c r="C8" s="6">
        <f>VLOOKUP(A8,FONDSDECAISSE!A$5:C$52,3,0)</f>
        <v>390000</v>
      </c>
      <c r="D8" s="6">
        <v>1842</v>
      </c>
      <c r="E8" s="6">
        <f t="shared" si="0"/>
        <v>427842</v>
      </c>
      <c r="F8" s="6">
        <f>TONT20000DEC2015!E8+TONT20000JANV!C8+TONT20000FEV!C8+TONT20000MARS!C8+TONT20000AVRIL!C8+TONT20000MAI!C8+TONT20000JUIN!C8+TONT20000JUIL!C8+TONT20000AOUT!C8+TONT20000SEPT!C8+TONT20000OCT!C8+TONT20000NOV!C8</f>
        <v>45763.235215495042</v>
      </c>
      <c r="G8" s="6">
        <f>TONT20000NOV!E8</f>
        <v>473605.23521549511</v>
      </c>
      <c r="H8" s="6">
        <f t="shared" si="1"/>
        <v>83605.235215495049</v>
      </c>
      <c r="I8" s="6">
        <f t="shared" si="2"/>
        <v>80000</v>
      </c>
      <c r="J8" s="31">
        <f t="shared" si="3"/>
        <v>3605.2352154950495</v>
      </c>
      <c r="K8" s="6">
        <v>30000</v>
      </c>
      <c r="L8" s="6"/>
      <c r="M8" s="6">
        <v>50000</v>
      </c>
      <c r="N8" s="6">
        <f t="shared" si="4"/>
        <v>0</v>
      </c>
      <c r="O8" s="7">
        <f>TONT20000DEC2015!H8+TONT20000JANV!F8+TONT20000FEV!F8+TONT20000MARS!F8+TONT20000AVRIL!F8+TONT20000MAI!F8+TONT20000JUIN!F8+TONT20000JUIL!F8+TONT20000AOUT!F8+TONT20000SEPT!F8+TONT20000OCT!F8+TONT20000NOV!G8</f>
        <v>240000</v>
      </c>
      <c r="P8" s="7">
        <f>TONT20000DEC2015!I8+TONT20000JANV!G8+TONT20000FEV!G8+TONT20000MARS!G8+TONT20000AVRIL!G8+TONT20000MAI!G8+TONT20000JUIN!G8+TONT20000JUIL!G8+TONT20000AOUT!G8+TONT20000SEPT!G8+TONT20000OCT!G8+TONT20000NOV!H8</f>
        <v>36000</v>
      </c>
      <c r="Q8" s="7">
        <f>TONT20000DEC2015!J8+TONT20000JANV!H8+TONT20000FEV!H8+TONT20000MARS!H8+TONT20000AVRIL!H8+TONT20000MAI!H8+TONT20000JUIN!H8+TONT20000JUIL!H8+TONT20000AOUT!H8+TONT20000SEPT!H8+TONT20000OCT!H8+TONT20000NOV!I8</f>
        <v>6000</v>
      </c>
      <c r="R8" s="7">
        <f>TONT20000DEC2015!K8+TONT20000JANV!I8+TONT20000FEV!I8+TONT20000MARS!I8+TONT20000AVRIL!I8+TONT20000MAI!I8+TONT20000JUIN!I8+TONT20000JUIL!I8+TONT20000AOUT!I8+TONT20000SEPT!I8+TONT20000OCT!I8+TONT20000NOV!J8</f>
        <v>12000</v>
      </c>
      <c r="S8" s="7">
        <f>TONT20000DEC2015!L8+TONT20000JANV!J8+TONT20000FEV!J8+TONT20000MARS!J8+TONT20000AVRIL!J8+TONT20000MAI!J8+TONT20000JUIN!J8+TONT20000JUIL!J8+TONT20000AOUT!J8+TONT20000SEPT!J8+TONT20000OCT!J8+TONT20000NOV!K8</f>
        <v>30000</v>
      </c>
      <c r="T8" s="7">
        <f>TONT20000DEC2015!M8+TONT20000JANV!K8+TONT20000FEV!K8+TONT20000MARS!K8+TONT20000AVRIL!K8+TONT20000MAI!K8+TONT20000JUIN!K8+TONT20000JUIL!K8+TONT20000AOUT!K8+TONT20000SEPT!K8+TONT20000OCT!K8+TONT20000NOV!L8</f>
        <v>0</v>
      </c>
      <c r="U8" s="7">
        <f>TONT20000DEC2015!N8+TONT20000JANV!L8+TONT20000FEV!L8+TONT20000MARS!L8+TONT20000AVRIL!L8+TONT20000MAI!L8+TONT20000JUIN!L8+TONT20000JUIL!L8+TONT20000AOUT!L8+TONT20000SEPT!L8+TONT20000OCT!L8+TONT20000NOV!M8</f>
        <v>156000</v>
      </c>
      <c r="V8" s="7">
        <f>TONT20000DEC2015!O8+TONT20000JANV!M8+TONT20000FEV!M8+TONT20000MARS!M8+TONT20000AVRIL!M8+TONT20000MAI!M8+TONT20000JUIN!M8+TONT20000JUIL!M8+TONT20000AOUT!M8+TONT20000SEPT!M8+TONT20000OCT!M8+TONT20000NOV!N8</f>
        <v>2000000</v>
      </c>
      <c r="W8" s="7">
        <f>TONT20000DEC2015!P8+TONT20000JANV!N8+TONT20000FEV!N8+TONT20000MARS!N8+TONT20000AVRIL!N8+TONT20000MAI!N8+TONT20000JUIN!N8+TONT20000JUIL!N8+TONT20000AOUT!N8+TONT20000SEPT!N8+TONT20000OCT!N8+TONT20000NOV!O8</f>
        <v>180000</v>
      </c>
      <c r="X8" s="7">
        <f>TONT20000DEC2015!Q8+TONT20000JANV!O8+TONT20000FEV!O8+TONT20000MARS!O8+TONT20000AVRIL!O8+TONT20000MAI!O8+TONT20000JUIN!O8+TONT20000JUIL!O8+TONT20000AOUT!O8+TONT20000SEPT!O8+TONT20000OCT!O8+TONT20000NOV!P8</f>
        <v>1000000</v>
      </c>
      <c r="Y8" s="7">
        <f>TONT20000DEC2015!R8+TONT20000JANV!P8+TONT20000FEV!P8+TONT20000MARS!P8+TONT20000AVRIL!P8+TONT20000MAI!P8+TONT20000JUIN!P8+TONT20000JUIL!P8+TONT20000AOUT!P8+TONT20000SEPT!P8+TONT20000OCT!P8+TONT20000NOV!Q8</f>
        <v>0</v>
      </c>
      <c r="Z8" s="7">
        <f>TONT20000DEC2015!S8+TONT20000JANV!Q8+TONT20000FEV!Q8+TONT20000MARS!Q8+TONT20000AVRIL!Q8+TONT20000MAI!Q8+TONT20000JUIN!Q8+TONT20000JUIL!Q8+TONT20000AOUT!Q8+TONT20000SEPT!Q8+TONT20000OCT!Q8+TONT20000NOV!R8</f>
        <v>0</v>
      </c>
      <c r="AA8" s="7">
        <f>TONT20000DEC2015!T8+TONT20000JANV!R8+TONT20000FEV!R8+TONT20000MARS!R8+TONT20000AVRIL!R8+TONT20000MAI!R8+TONT20000JUIN!R8+TONT20000JUIL!R8+TONT20000AOUT!R8+TONT20000SEPT!R8+TONT20000OCT!R8+TONT20000NOV!S8</f>
        <v>0</v>
      </c>
    </row>
    <row r="9" spans="1:28" x14ac:dyDescent="0.25">
      <c r="A9" s="1" t="s">
        <v>14</v>
      </c>
      <c r="B9" s="1" t="str">
        <f>VLOOKUP(A9,LISTADHERENT!A$5:H$52,2,0)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441156</v>
      </c>
      <c r="F9" s="6">
        <f>TONT20000DEC2015!E9+TONT20000JANV!C9+TONT20000FEV!C9+TONT20000MARS!C9+TONT20000AVRIL!C9+TONT20000MAI!C9+TONT20000JUIN!C9+TONT20000JUIL!C9+TONT20000AOUT!C9+TONT20000SEPT!C9+TONT20000OCT!C9+TONT20000NOV!C9</f>
        <v>46605.885811947403</v>
      </c>
      <c r="G9" s="6">
        <f>TONT20000NOV!E9</f>
        <v>487761.8858119474</v>
      </c>
      <c r="H9" s="6">
        <f t="shared" si="1"/>
        <v>97761.885811947403</v>
      </c>
      <c r="I9" s="6">
        <f t="shared" si="2"/>
        <v>80000</v>
      </c>
      <c r="J9" s="31">
        <f t="shared" si="3"/>
        <v>17761.885811947403</v>
      </c>
      <c r="K9" s="6">
        <v>30000</v>
      </c>
      <c r="L9" s="6"/>
      <c r="M9" s="6">
        <v>50000</v>
      </c>
      <c r="N9" s="6">
        <f t="shared" si="4"/>
        <v>0</v>
      </c>
      <c r="O9" s="7">
        <f>TONT20000DEC2015!H9+TONT20000JANV!F9+TONT20000FEV!F9+TONT20000MARS!F9+TONT20000AVRIL!F9+TONT20000MAI!F9+TONT20000JUIN!F9+TONT20000JUIL!F9+TONT20000AOUT!F9+TONT20000SEPT!F9+TONT20000OCT!F9+TONT20000NOV!G9</f>
        <v>247000</v>
      </c>
      <c r="P9" s="7">
        <f>TONT20000DEC2015!I9+TONT20000JANV!G9+TONT20000FEV!G9+TONT20000MARS!G9+TONT20000AVRIL!G9+TONT20000MAI!G9+TONT20000JUIN!G9+TONT20000JUIL!G9+TONT20000AOUT!G9+TONT20000SEPT!G9+TONT20000OCT!G9+TONT20000NOV!H9</f>
        <v>43000</v>
      </c>
      <c r="Q9" s="7">
        <f>TONT20000DEC2015!J9+TONT20000JANV!H9+TONT20000FEV!H9+TONT20000MARS!H9+TONT20000AVRIL!H9+TONT20000MAI!H9+TONT20000JUIN!H9+TONT20000JUIL!H9+TONT20000AOUT!H9+TONT20000SEPT!H9+TONT20000OCT!H9+TONT20000NOV!I9</f>
        <v>6000</v>
      </c>
      <c r="R9" s="7">
        <f>TONT20000DEC2015!K9+TONT20000JANV!I9+TONT20000FEV!I9+TONT20000MARS!I9+TONT20000AVRIL!I9+TONT20000MAI!I9+TONT20000JUIN!I9+TONT20000JUIL!I9+TONT20000AOUT!I9+TONT20000SEPT!I9+TONT20000OCT!I9+TONT20000NOV!J9</f>
        <v>12000</v>
      </c>
      <c r="S9" s="7">
        <f>TONT20000DEC2015!L9+TONT20000JANV!J9+TONT20000FEV!J9+TONT20000MARS!J9+TONT20000AVRIL!J9+TONT20000MAI!J9+TONT20000JUIN!J9+TONT20000JUIL!J9+TONT20000AOUT!J9+TONT20000SEPT!J9+TONT20000OCT!J9+TONT20000NOV!K9</f>
        <v>30000</v>
      </c>
      <c r="T9" s="7">
        <f>TONT20000DEC2015!M9+TONT20000JANV!K9+TONT20000FEV!K9+TONT20000MARS!K9+TONT20000AVRIL!K9+TONT20000MAI!K9+TONT20000JUIN!K9+TONT20000JUIL!K9+TONT20000AOUT!K9+TONT20000SEPT!K9+TONT20000OCT!K9+TONT20000NOV!L9</f>
        <v>0</v>
      </c>
      <c r="U9" s="7">
        <f>TONT20000DEC2015!N9+TONT20000JANV!L9+TONT20000FEV!L9+TONT20000MARS!L9+TONT20000AVRIL!L9+TONT20000MAI!L9+TONT20000JUIN!L9+TONT20000JUIL!L9+TONT20000AOUT!L9+TONT20000SEPT!L9+TONT20000OCT!L9+TONT20000NOV!M9</f>
        <v>156000</v>
      </c>
      <c r="V9" s="7">
        <f>TONT20000DEC2015!O9+TONT20000JANV!M9+TONT20000FEV!M9+TONT20000MARS!M9+TONT20000AVRIL!M9+TONT20000MAI!M9+TONT20000JUIN!M9+TONT20000JUIL!M9+TONT20000AOUT!M9+TONT20000SEPT!M9+TONT20000OCT!M9+TONT20000NOV!N9</f>
        <v>200000</v>
      </c>
      <c r="W9" s="7">
        <f>TONT20000DEC2015!P9+TONT20000JANV!N9+TONT20000FEV!N9+TONT20000MARS!N9+TONT20000AVRIL!N9+TONT20000MAI!N9+TONT20000JUIN!N9+TONT20000JUIL!N9+TONT20000AOUT!N9+TONT20000SEPT!N9+TONT20000OCT!N9+TONT20000NOV!O9</f>
        <v>6000</v>
      </c>
      <c r="X9" s="7">
        <f>TONT20000DEC2015!Q9+TONT20000JANV!O9+TONT20000FEV!O9+TONT20000MARS!O9+TONT20000AVRIL!O9+TONT20000MAI!O9+TONT20000JUIN!O9+TONT20000JUIL!O9+TONT20000AOUT!O9+TONT20000SEPT!O9+TONT20000OCT!O9+TONT20000NOV!P9</f>
        <v>0</v>
      </c>
      <c r="Y9" s="7">
        <f>TONT20000DEC2015!R9+TONT20000JANV!P9+TONT20000FEV!P9+TONT20000MARS!P9+TONT20000AVRIL!P9+TONT20000MAI!P9+TONT20000JUIN!P9+TONT20000JUIL!P9+TONT20000AOUT!P9+TONT20000SEPT!P9+TONT20000OCT!P9+TONT20000NOV!Q9</f>
        <v>0</v>
      </c>
      <c r="Z9" s="7">
        <f>TONT20000DEC2015!S9+TONT20000JANV!Q9+TONT20000FEV!Q9+TONT20000MARS!Q9+TONT20000AVRIL!Q9+TONT20000MAI!Q9+TONT20000JUIN!Q9+TONT20000JUIL!Q9+TONT20000AOUT!Q9+TONT20000SEPT!Q9+TONT20000OCT!Q9+TONT20000NOV!R9</f>
        <v>0</v>
      </c>
      <c r="AA9" s="7">
        <f>TONT20000DEC2015!T9+TONT20000JANV!R9+TONT20000FEV!R9+TONT20000MARS!R9+TONT20000AVRIL!R9+TONT20000MAI!R9+TONT20000JUIN!R9+TONT20000JUIL!R9+TONT20000AOUT!R9+TONT20000SEPT!R9+TONT20000OCT!R9+TONT20000NOV!S9</f>
        <v>0</v>
      </c>
    </row>
    <row r="10" spans="1:28" x14ac:dyDescent="0.25">
      <c r="A10" s="1" t="s">
        <v>15</v>
      </c>
      <c r="B10" s="1" t="str">
        <f>VLOOKUP(A10,LISTADHERENT!A$5:H$52,2,0)</f>
        <v>DJOUKWE GUY</v>
      </c>
      <c r="C10" s="6">
        <f>VLOOKUP(A10,FONDSDECAISSE!A$5:C$52,3,0)</f>
        <v>390000</v>
      </c>
      <c r="D10" s="6">
        <v>5905</v>
      </c>
      <c r="E10" s="6">
        <f t="shared" si="0"/>
        <v>471905</v>
      </c>
      <c r="F10" s="6">
        <f>TONT20000DEC2015!E10+TONT20000JANV!C10+TONT20000FEV!C10+TONT20000MARS!C10+TONT20000AVRIL!C10+TONT20000MAI!C10+TONT20000JUIN!C10+TONT20000JUIL!C10+TONT20000AOUT!C10+TONT20000SEPT!C10+TONT20000OCT!C10+TONT20000NOV!C10</f>
        <v>49359.862609730852</v>
      </c>
      <c r="G10" s="6">
        <f>TONT20000NOV!E10</f>
        <v>521264.8626097308</v>
      </c>
      <c r="H10" s="6">
        <f t="shared" si="1"/>
        <v>131264.86260973086</v>
      </c>
      <c r="I10" s="6">
        <f t="shared" si="2"/>
        <v>80000</v>
      </c>
      <c r="J10" s="31">
        <f t="shared" si="3"/>
        <v>51264.862609730859</v>
      </c>
      <c r="K10" s="6">
        <v>30000</v>
      </c>
      <c r="L10" s="6"/>
      <c r="M10" s="6">
        <v>50000</v>
      </c>
      <c r="N10" s="6">
        <f t="shared" si="4"/>
        <v>0</v>
      </c>
      <c r="O10" s="7">
        <f>TONT20000DEC2015!H10+TONT20000JANV!F10+TONT20000FEV!F10+TONT20000MARS!F10+TONT20000AVRIL!F10+TONT20000MAI!F10+TONT20000JUIN!F10+TONT20000JUIL!F10+TONT20000AOUT!F10+TONT20000SEPT!F10+TONT20000OCT!F10+TONT20000NOV!G10</f>
        <v>280000</v>
      </c>
      <c r="P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Q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R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S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T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U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V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W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X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Y10" s="7">
        <f>TONT20000DEC2015!R10+TONT20000JANV!P10+TONT20000FEV!P10+TONT20000MARS!P10+TONT20000AVRIL!P10+TONT20000MAI!P10+TONT20000JUIN!P10+TONT20000JUIL!P10+TONT20000AOUT!P10+TONT20000SEPT!P10+TONT20000OCT!P10+TONT20000NOV!Q10</f>
        <v>0</v>
      </c>
      <c r="Z10" s="7">
        <f>TONT20000DEC2015!S10+TONT20000JANV!Q10+TONT20000FEV!Q10+TONT20000MARS!Q10+TONT20000AVRIL!Q10+TONT20000MAI!Q10+TONT20000JUIN!Q10+TONT20000JUIL!Q10+TONT20000AOUT!Q10+TONT20000SEPT!Q10+TONT20000OCT!Q10+TONT20000NOV!R10</f>
        <v>0</v>
      </c>
      <c r="AA10" s="7">
        <f>TONT20000DEC2015!T10+TONT20000JANV!R10+TONT20000FEV!R10+TONT20000MARS!R10+TONT20000AVRIL!R10+TONT20000MAI!R10+TONT20000JUIN!R10+TONT20000JUIL!R10+TONT20000AOUT!R10+TONT20000SEPT!R10+TONT20000OCT!R10+TONT20000NOV!S10</f>
        <v>0</v>
      </c>
    </row>
    <row r="11" spans="1:28" s="20" customFormat="1" x14ac:dyDescent="0.25">
      <c r="A11" s="18" t="s">
        <v>16</v>
      </c>
      <c r="B11" s="18" t="str">
        <f>VLOOKUP(A11,LISTADHERENT!A$5:H$52,2,0)</f>
        <v>DJOSSEU JOSUE</v>
      </c>
      <c r="C11" s="28">
        <f>VLOOKUP(A11,FONDSDECAISSE!A$5:C$52,3,0)</f>
        <v>0</v>
      </c>
      <c r="D11" s="28">
        <v>0</v>
      </c>
      <c r="E11" s="28">
        <f t="shared" si="0"/>
        <v>5000</v>
      </c>
      <c r="F11" s="28">
        <f>TONT20000DEC2015!E11+TONT20000JANV!C11+TONT20000FEV!C11+TONT20000MARS!C11+TONT20000AVRIL!C11+TONT20000MAI!C11+TONT20000JUIN!C11+TONT20000JUIL!C11+TONT20000AOUT!C11+TONT20000SEPT!C11+TONT20000OCT!C11+TONT20000NOV!C11</f>
        <v>553.14941216596139</v>
      </c>
      <c r="G11" s="28">
        <f>TONT20000NOV!E11</f>
        <v>5553.1494121659598</v>
      </c>
      <c r="H11" s="28">
        <f t="shared" si="1"/>
        <v>5553.1494121659616</v>
      </c>
      <c r="I11" s="28">
        <f t="shared" si="2"/>
        <v>0</v>
      </c>
      <c r="J11" s="38">
        <f t="shared" si="3"/>
        <v>5553.1494121659616</v>
      </c>
      <c r="K11" s="28"/>
      <c r="L11" s="28"/>
      <c r="M11" s="28"/>
      <c r="N11" s="28"/>
      <c r="O11" s="19">
        <f>TONT20000DEC2015!H11+TONT20000JANV!F11+TONT20000FEV!F11+TONT20000MARS!F11+TONT20000AVRIL!F11+TONT20000MAI!F11+TONT20000JUIN!F11+TONT20000JUIL!F11+TONT20000AOUT!F11+TONT20000SEPT!F11+TONT20000OCT!F11+TONT20000NOV!G11</f>
        <v>22000</v>
      </c>
      <c r="P11" s="19">
        <f>TONT20000DEC2015!I11+TONT20000JANV!G11+TONT20000FEV!G11+TONT20000MARS!G11+TONT20000AVRIL!G11+TONT20000MAI!G11+TONT20000JUIN!G11+TONT20000JUIL!G11+TONT20000AOUT!G11+TONT20000SEPT!G11+TONT20000OCT!G11+TONT20000NOV!H11</f>
        <v>5000</v>
      </c>
      <c r="Q11" s="19">
        <f>TONT20000DEC2015!J11+TONT20000JANV!H11+TONT20000FEV!H11+TONT20000MARS!H11+TONT20000AVRIL!H11+TONT20000MAI!H11+TONT20000JUIN!H11+TONT20000JUIL!H11+TONT20000AOUT!H11+TONT20000SEPT!H11+TONT20000OCT!H11+TONT20000NOV!I11</f>
        <v>500</v>
      </c>
      <c r="R11" s="19">
        <f>TONT20000DEC2015!K11+TONT20000JANV!I11+TONT20000FEV!I11+TONT20000MARS!I11+TONT20000AVRIL!I11+TONT20000MAI!I11+TONT20000JUIN!I11+TONT20000JUIL!I11+TONT20000AOUT!I11+TONT20000SEPT!I11+TONT20000OCT!I11+TONT20000NOV!J11</f>
        <v>1000</v>
      </c>
      <c r="S11" s="19">
        <f>TONT20000DEC2015!L11+TONT20000JANV!J11+TONT20000FEV!J11+TONT20000MARS!J11+TONT20000AVRIL!J11+TONT20000MAI!J11+TONT20000JUIN!J11+TONT20000JUIL!J11+TONT20000AOUT!J11+TONT20000SEPT!J11+TONT20000OCT!J11+TONT20000NOV!K11</f>
        <v>2500</v>
      </c>
      <c r="T11" s="19">
        <f>TONT20000DEC2015!M11+TONT20000JANV!K11+TONT20000FEV!K11+TONT20000MARS!K11+TONT20000AVRIL!K11+TONT20000MAI!K11+TONT20000JUIN!K11+TONT20000JUIL!K11+TONT20000AOUT!K11+TONT20000SEPT!K11+TONT20000OCT!K11+TONT20000NOV!L11</f>
        <v>0</v>
      </c>
      <c r="U11" s="19">
        <f>TONT20000DEC2015!N11+TONT20000JANV!L11+TONT20000FEV!L11+TONT20000MARS!L11+TONT20000AVRIL!L11+TONT20000MAI!L11+TONT20000JUIN!L11+TONT20000JUIL!L11+TONT20000AOUT!L11+TONT20000SEPT!L11+TONT20000OCT!L11+TONT20000NOV!M11</f>
        <v>13000</v>
      </c>
      <c r="V11" s="19">
        <f>TONT20000DEC2015!O11+TONT20000JANV!M11+TONT20000FEV!M11+TONT20000MARS!M11+TONT20000AVRIL!M11+TONT20000MAI!M11+TONT20000JUIN!M11+TONT20000JUIL!M11+TONT20000AOUT!M11+TONT20000SEPT!M11+TONT20000OCT!M11+TONT20000NOV!N11</f>
        <v>0</v>
      </c>
      <c r="W11" s="19">
        <f>TONT20000DEC2015!P11+TONT20000JANV!N11+TONT20000FEV!N11+TONT20000MARS!N11+TONT20000AVRIL!N11+TONT20000MAI!N11+TONT20000JUIN!N11+TONT20000JUIL!N11+TONT20000AOUT!N11+TONT20000SEPT!N11+TONT20000OCT!N11+TONT20000NOV!O11</f>
        <v>0</v>
      </c>
      <c r="X11" s="19">
        <f>TONT20000DEC2015!Q11+TONT20000JANV!O11+TONT20000FEV!O11+TONT20000MARS!O11+TONT20000AVRIL!O11+TONT20000MAI!O11+TONT20000JUIN!O11+TONT20000JUIL!O11+TONT20000AOUT!O11+TONT20000SEPT!O11+TONT20000OCT!O11+TONT20000NOV!P11</f>
        <v>0</v>
      </c>
      <c r="Y11" s="19">
        <f>TONT20000DEC2015!R11+TONT20000JANV!P11+TONT20000FEV!P11+TONT20000MARS!P11+TONT20000AVRIL!P11+TONT20000MAI!P11+TONT20000JUIN!P11+TONT20000JUIL!P11+TONT20000AOUT!P11+TONT20000SEPT!P11+TONT20000OCT!P11+TONT20000NOV!Q11</f>
        <v>0</v>
      </c>
      <c r="Z11" s="19">
        <f>TONT20000DEC2015!S11+TONT20000JANV!Q11+TONT20000FEV!Q11+TONT20000MARS!Q11+TONT20000AVRIL!Q11+TONT20000MAI!Q11+TONT20000JUIN!Q11+TONT20000JUIL!Q11+TONT20000AOUT!Q11+TONT20000SEPT!Q11+TONT20000OCT!Q11+TONT20000NOV!R11</f>
        <v>0</v>
      </c>
      <c r="AA11" s="19">
        <f>TONT20000DEC2015!T11+TONT20000JANV!R11+TONT20000FEV!R11+TONT20000MARS!R11+TONT20000AVRIL!R11+TONT20000MAI!R11+TONT20000JUIN!R11+TONT20000JUIL!R11+TONT20000AOUT!R11+TONT20000SEPT!R11+TONT20000OCT!R11+TONT20000NOV!S11</f>
        <v>0</v>
      </c>
    </row>
    <row r="12" spans="1:28" x14ac:dyDescent="0.25">
      <c r="A12" s="1" t="s">
        <v>17</v>
      </c>
      <c r="B12" s="1" t="str">
        <f>VLOOKUP(A12,LISTADHERENT!A$5:H$52,2,0)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2001294</v>
      </c>
      <c r="F12" s="6">
        <f>TONT20000DEC2015!E12+TONT20000JANV!C12+TONT20000FEV!C12+TONT20000MARS!C12+TONT20000AVRIL!C12+TONT20000MAI!C12+TONT20000JUIN!C12+TONT20000JUIL!C12+TONT20000AOUT!C12+TONT20000SEPT!C12+TONT20000OCT!C12+TONT20000NOV!C12</f>
        <v>194776.45532052379</v>
      </c>
      <c r="G12" s="6">
        <f>TONT20000NOV!E12</f>
        <v>2126365.4553205236</v>
      </c>
      <c r="H12" s="6">
        <f t="shared" si="1"/>
        <v>1806070.4553205238</v>
      </c>
      <c r="I12" s="6">
        <f t="shared" si="2"/>
        <v>80000</v>
      </c>
      <c r="J12" s="31">
        <f t="shared" si="3"/>
        <v>1726070.4553205238</v>
      </c>
      <c r="K12" s="6">
        <v>30000</v>
      </c>
      <c r="L12" s="6"/>
      <c r="M12" s="6">
        <v>50000</v>
      </c>
      <c r="N12" s="6">
        <f t="shared" si="4"/>
        <v>0</v>
      </c>
      <c r="O12" s="7">
        <f>TONT20000DEC2015!H12+TONT20000JANV!F12+TONT20000FEV!F12+TONT20000MARS!F12+TONT20000AVRIL!F12+TONT20000MAI!F12+TONT20000JUIN!F12+TONT20000JUIL!F12+TONT20000AOUT!F12+TONT20000SEPT!F12+TONT20000OCT!F12+TONT20000NOV!G12</f>
        <v>760000</v>
      </c>
      <c r="P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Q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R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S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T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U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V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W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X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Y12" s="7">
        <f>TONT20000DEC2015!R12+TONT20000JANV!P12+TONT20000FEV!P12+TONT20000MARS!P12+TONT20000AVRIL!P12+TONT20000MAI!P12+TONT20000JUIN!P12+TONT20000JUIL!P12+TONT20000AOUT!P12+TONT20000SEPT!P12+TONT20000OCT!P12+TONT20000NOV!Q12</f>
        <v>0</v>
      </c>
      <c r="Z12" s="7">
        <f>TONT20000DEC2015!S12+TONT20000JANV!Q12+TONT20000FEV!Q12+TONT20000MARS!Q12+TONT20000AVRIL!Q12+TONT20000MAI!Q12+TONT20000JUIN!Q12+TONT20000JUIL!Q12+TONT20000AOUT!Q12+TONT20000SEPT!Q12+TONT20000OCT!Q12+TONT20000NOV!R12</f>
        <v>0</v>
      </c>
      <c r="AA12" s="7">
        <f>TONT20000DEC2015!T12+TONT20000JANV!R12+TONT20000FEV!R12+TONT20000MARS!R12+TONT20000AVRIL!R12+TONT20000MAI!R12+TONT20000JUIN!R12+TONT20000JUIL!R12+TONT20000AOUT!R12+TONT20000SEPT!R12+TONT20000OCT!R12+TONT20000NOV!S12</f>
        <v>0</v>
      </c>
    </row>
    <row r="13" spans="1:28" x14ac:dyDescent="0.25">
      <c r="A13" s="1" t="s">
        <v>18</v>
      </c>
      <c r="B13" s="1" t="str">
        <f>VLOOKUP(A13,LISTADHERENT!A$5:H$52,2,0)</f>
        <v>DJUOMBESSY ANTOINE</v>
      </c>
      <c r="C13" s="6">
        <v>390000</v>
      </c>
      <c r="D13" s="6">
        <v>0</v>
      </c>
      <c r="E13" s="6">
        <f t="shared" si="0"/>
        <v>457560</v>
      </c>
      <c r="F13" s="6">
        <f>TONT20000DEC2015!E13+TONT20000JANV!C13+TONT20000FEV!C13+TONT20000MARS!C13+TONT20000AVRIL!C13+TONT20000MAI!C13+TONT20000JUIN!C13+TONT20000JUIL!C13+TONT20000AOUT!C13+TONT20000SEPT!C13+TONT20000OCT!C13+TONT20000NOV!C13</f>
        <v>41212.655760564696</v>
      </c>
      <c r="G13" s="6">
        <f>TONT20000NOV!E13</f>
        <v>498772.65576056467</v>
      </c>
      <c r="H13" s="6">
        <f t="shared" si="1"/>
        <v>108772.6557605647</v>
      </c>
      <c r="I13" s="6">
        <f t="shared" si="2"/>
        <v>80000</v>
      </c>
      <c r="J13" s="31">
        <f t="shared" si="3"/>
        <v>28772.655760564696</v>
      </c>
      <c r="K13" s="6">
        <v>30000</v>
      </c>
      <c r="L13" s="6"/>
      <c r="M13" s="6">
        <v>50000</v>
      </c>
      <c r="N13" s="6">
        <f t="shared" si="4"/>
        <v>0</v>
      </c>
      <c r="O13" s="7">
        <f>TONT20000DEC2015!H13+TONT20000JANV!F13+TONT20000FEV!F13+TONT20000MARS!F13+TONT20000AVRIL!F13+TONT20000MAI!F13+TONT20000JUIN!F13+TONT20000JUIL!F13+TONT20000AOUT!F13+TONT20000SEPT!F13+TONT20000OCT!F13+TONT20000NOV!G13</f>
        <v>271560</v>
      </c>
      <c r="P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Q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R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S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T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U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V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W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X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Y13" s="7">
        <f>TONT20000DEC2015!R13+TONT20000JANV!P13+TONT20000FEV!P13+TONT20000MARS!P13+TONT20000AVRIL!P13+TONT20000MAI!P13+TONT20000JUIN!P13+TONT20000JUIL!P13+TONT20000AOUT!P13+TONT20000SEPT!P13+TONT20000OCT!P13+TONT20000NOV!Q13</f>
        <v>0</v>
      </c>
      <c r="Z13" s="7">
        <f>TONT20000DEC2015!S13+TONT20000JANV!Q13+TONT20000FEV!Q13+TONT20000MARS!Q13+TONT20000AVRIL!Q13+TONT20000MAI!Q13+TONT20000JUIN!Q13+TONT20000JUIL!Q13+TONT20000AOUT!Q13+TONT20000SEPT!Q13+TONT20000OCT!Q13+TONT20000NOV!R13</f>
        <v>48440</v>
      </c>
      <c r="AA13" s="7">
        <f>TONT20000DEC2015!T13+TONT20000JANV!R13+TONT20000FEV!R13+TONT20000MARS!R13+TONT20000AVRIL!R13+TONT20000MAI!R13+TONT20000JUIN!R13+TONT20000JUIL!R13+TONT20000AOUT!R13+TONT20000SEPT!R13+TONT20000OCT!R13+TONT20000NOV!S13</f>
        <v>0</v>
      </c>
    </row>
    <row r="14" spans="1:28" x14ac:dyDescent="0.25">
      <c r="A14" s="1" t="s">
        <v>19</v>
      </c>
      <c r="B14" s="1" t="str">
        <f>VLOOKUP(A14,LISTADHERENT!A$5:H$52,2,0)</f>
        <v>DONHOU DAVID</v>
      </c>
      <c r="C14" s="6">
        <f>VLOOKUP(A14,FONDSDECAISSE!A$5:C$52,3,0)</f>
        <v>390000</v>
      </c>
      <c r="D14" s="6">
        <v>44734</v>
      </c>
      <c r="E14" s="6">
        <f t="shared" si="0"/>
        <v>470734</v>
      </c>
      <c r="F14" s="6">
        <f>TONT20000DEC2015!E14+TONT20000JANV!C14+TONT20000FEV!C14+TONT20000MARS!C14+TONT20000AVRIL!C14+TONT20000MAI!C14+TONT20000JUIN!C14+TONT20000JUIL!C14+TONT20000AOUT!C14+TONT20000SEPT!C14+TONT20000OCT!C14+TONT20000NOV!C14</f>
        <v>50508.37213281951</v>
      </c>
      <c r="G14" s="6">
        <f>TONT20000NOV!E14</f>
        <v>521242.3721328195</v>
      </c>
      <c r="H14" s="6">
        <f t="shared" si="1"/>
        <v>131242.3721328195</v>
      </c>
      <c r="I14" s="6">
        <f t="shared" si="2"/>
        <v>80000</v>
      </c>
      <c r="J14" s="31">
        <f t="shared" si="3"/>
        <v>51242.372132819495</v>
      </c>
      <c r="K14" s="6">
        <v>30000</v>
      </c>
      <c r="L14" s="6"/>
      <c r="M14" s="6">
        <v>50000</v>
      </c>
      <c r="N14" s="6">
        <f t="shared" si="4"/>
        <v>0</v>
      </c>
      <c r="O14" s="7">
        <f>TONT20000DEC2015!H14+TONT20000JANV!F14+TONT20000FEV!F14+TONT20000MARS!F14+TONT20000AVRIL!F14+TONT20000MAI!F14+TONT20000JUIN!F14+TONT20000JUIL!F14+TONT20000AOUT!F14+TONT20000SEPT!F14+TONT20000OCT!F14+TONT20000NOV!G14</f>
        <v>240000</v>
      </c>
      <c r="P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Q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R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S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T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U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V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W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X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Y14" s="7">
        <f>TONT20000DEC2015!R14+TONT20000JANV!P14+TONT20000FEV!P14+TONT20000MARS!P14+TONT20000AVRIL!P14+TONT20000MAI!P14+TONT20000JUIN!P14+TONT20000JUIL!P14+TONT20000AOUT!P14+TONT20000SEPT!P14+TONT20000OCT!P14+TONT20000NOV!Q14</f>
        <v>0</v>
      </c>
      <c r="Z14" s="7">
        <f>TONT20000DEC2015!S14+TONT20000JANV!Q14+TONT20000FEV!Q14+TONT20000MARS!Q14+TONT20000AVRIL!Q14+TONT20000MAI!Q14+TONT20000JUIN!Q14+TONT20000JUIL!Q14+TONT20000AOUT!Q14+TONT20000SEPT!Q14+TONT20000OCT!Q14+TONT20000NOV!R14</f>
        <v>0</v>
      </c>
      <c r="AA14" s="7">
        <f>TONT20000DEC2015!T14+TONT20000JANV!R14+TONT20000FEV!R14+TONT20000MARS!R14+TONT20000AVRIL!R14+TONT20000MAI!R14+TONT20000JUIN!R14+TONT20000JUIL!R14+TONT20000AOUT!R14+TONT20000SEPT!R14+TONT20000OCT!R14+TONT20000NOV!S14</f>
        <v>0</v>
      </c>
    </row>
    <row r="15" spans="1:28" x14ac:dyDescent="0.25">
      <c r="A15" s="1" t="s">
        <v>20</v>
      </c>
      <c r="B15" s="1" t="str">
        <f>VLOOKUP(A15,LISTADHERENT!A$5:H$52,2,0)</f>
        <v>FOTSO THOMAS</v>
      </c>
      <c r="C15" s="6">
        <f>VLOOKUP(A15,FONDSDECAISSE!A$5:C$52,3,0)</f>
        <v>390000</v>
      </c>
      <c r="D15" s="6">
        <v>3318</v>
      </c>
      <c r="E15" s="6">
        <f t="shared" si="0"/>
        <v>429318</v>
      </c>
      <c r="F15" s="6">
        <f>TONT20000DEC2015!E15+TONT20000JANV!C15+TONT20000FEV!C15+TONT20000MARS!C15+TONT20000AVRIL!C15+TONT20000MAI!C15+TONT20000JUIN!C15+TONT20000JUIL!C15+TONT20000AOUT!C15+TONT20000SEPT!C15+TONT20000OCT!C15+TONT20000NOV!C15</f>
        <v>45926.524921966433</v>
      </c>
      <c r="G15" s="6">
        <f>TONT20000NOV!E15</f>
        <v>475244.52492196643</v>
      </c>
      <c r="H15" s="6">
        <f t="shared" si="1"/>
        <v>85244.524921966426</v>
      </c>
      <c r="I15" s="6">
        <f t="shared" si="2"/>
        <v>80000</v>
      </c>
      <c r="J15" s="31">
        <f t="shared" si="3"/>
        <v>5244.5249219664256</v>
      </c>
      <c r="K15" s="6">
        <v>30000</v>
      </c>
      <c r="L15" s="6"/>
      <c r="M15" s="6">
        <v>50000</v>
      </c>
      <c r="N15" s="6">
        <f t="shared" si="4"/>
        <v>0</v>
      </c>
      <c r="O15" s="7">
        <f>TONT20000DEC2015!H15+TONT20000JANV!F15+TONT20000FEV!F15+TONT20000MARS!F15+TONT20000AVRIL!F15+TONT20000MAI!F15+TONT20000JUIN!F15+TONT20000JUIL!F15+TONT20000AOUT!F15+TONT20000SEPT!F15+TONT20000OCT!F15+TONT20000NOV!G15</f>
        <v>240000</v>
      </c>
      <c r="P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Q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R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S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T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U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V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W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X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Y15" s="7">
        <f>TONT20000DEC2015!R15+TONT20000JANV!P15+TONT20000FEV!P15+TONT20000MARS!P15+TONT20000AVRIL!P15+TONT20000MAI!P15+TONT20000JUIN!P15+TONT20000JUIL!P15+TONT20000AOUT!P15+TONT20000SEPT!P15+TONT20000OCT!P15+TONT20000NOV!Q15</f>
        <v>0</v>
      </c>
      <c r="Z15" s="7">
        <f>TONT20000DEC2015!S15+TONT20000JANV!Q15+TONT20000FEV!Q15+TONT20000MARS!Q15+TONT20000AVRIL!Q15+TONT20000MAI!Q15+TONT20000JUIN!Q15+TONT20000JUIL!Q15+TONT20000AOUT!Q15+TONT20000SEPT!Q15+TONT20000OCT!Q15+TONT20000NOV!R15</f>
        <v>0</v>
      </c>
      <c r="AA15" s="7">
        <f>TONT20000DEC2015!T15+TONT20000JANV!R15+TONT20000FEV!R15+TONT20000MARS!R15+TONT20000AVRIL!R15+TONT20000MAI!R15+TONT20000JUIN!R15+TONT20000JUIL!R15+TONT20000AOUT!R15+TONT20000SEPT!R15+TONT20000OCT!R15+TONT20000NOV!S15</f>
        <v>0</v>
      </c>
    </row>
    <row r="16" spans="1:28" x14ac:dyDescent="0.25">
      <c r="A16" s="1" t="s">
        <v>21</v>
      </c>
      <c r="B16" s="1" t="str">
        <f>VLOOKUP(A16,LISTADHERENT!A$5:H$52,2,0)</f>
        <v>HENGUE PAUL OMER</v>
      </c>
      <c r="C16" s="6">
        <f>VLOOKUP(A16,FONDSDECAISSE!A$5:C$52,3,0)</f>
        <v>390000</v>
      </c>
      <c r="D16" s="6">
        <v>1083990</v>
      </c>
      <c r="E16" s="6">
        <f t="shared" si="0"/>
        <v>1503990</v>
      </c>
      <c r="F16" s="6">
        <f>TONT20000DEC2015!E16+TONT20000JANV!C16+TONT20000FEV!C16+TONT20000MARS!C16+TONT20000AVRIL!C16+TONT20000MAI!C16+TONT20000JUIN!C16+TONT20000JUIL!C16+TONT20000AOUT!C16+TONT20000SEPT!C16+TONT20000OCT!C16+TONT20000NOV!C16</f>
        <v>165367.88138717279</v>
      </c>
      <c r="G16" s="6">
        <f>TONT20000NOV!E16</f>
        <v>1669357.8813871727</v>
      </c>
      <c r="H16" s="6">
        <f t="shared" si="1"/>
        <v>1279357.8813871727</v>
      </c>
      <c r="I16" s="6">
        <f t="shared" si="2"/>
        <v>88000</v>
      </c>
      <c r="J16" s="31">
        <f t="shared" si="3"/>
        <v>1191357.8813871727</v>
      </c>
      <c r="K16" s="6">
        <v>30000</v>
      </c>
      <c r="L16" s="6"/>
      <c r="M16" s="6">
        <v>50000</v>
      </c>
      <c r="N16" s="6">
        <f t="shared" si="4"/>
        <v>8000</v>
      </c>
      <c r="O16" s="7">
        <f>TONT20000DEC2015!H16+TONT20000JANV!F16+TONT20000FEV!F16+TONT20000MARS!F16+TONT20000AVRIL!F16+TONT20000MAI!F16+TONT20000JUIN!F16+TONT20000JUIL!F16+TONT20000AOUT!F16+TONT20000SEPT!F16+TONT20000OCT!F16+TONT20000NOV!G16</f>
        <v>200000</v>
      </c>
      <c r="P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Q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R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S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T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U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V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W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X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Y16" s="7">
        <f>TONT20000DEC2015!R16+TONT20000JANV!P16+TONT20000FEV!P16+TONT20000MARS!P16+TONT20000AVRIL!P16+TONT20000MAI!P16+TONT20000JUIN!P16+TONT20000JUIL!P16+TONT20000AOUT!P16+TONT20000SEPT!P16+TONT20000OCT!P16+TONT20000NOV!Q16</f>
        <v>0</v>
      </c>
      <c r="Z16" s="7">
        <f>TONT20000DEC2015!S16+TONT20000JANV!Q16+TONT20000FEV!Q16+TONT20000MARS!Q16+TONT20000AVRIL!Q16+TONT20000MAI!Q16+TONT20000JUIN!Q16+TONT20000JUIL!Q16+TONT20000AOUT!Q16+TONT20000SEPT!Q16+TONT20000OCT!Q16+TONT20000NOV!R16</f>
        <v>0</v>
      </c>
      <c r="AA16" s="7">
        <f>TONT20000DEC2015!T16+TONT20000JANV!R16+TONT20000FEV!R16+TONT20000MARS!R16+TONT20000AVRIL!R16+TONT20000MAI!R16+TONT20000JUIN!R16+TONT20000JUIL!R16+TONT20000AOUT!R16+TONT20000SEPT!R16+TONT20000OCT!R16+TONT20000NOV!S16</f>
        <v>0</v>
      </c>
    </row>
    <row r="17" spans="1:27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>
        <v>0</v>
      </c>
      <c r="E17" s="6">
        <f t="shared" si="0"/>
        <v>58100</v>
      </c>
      <c r="F17" s="6">
        <f>TONT20000DEC2015!E17+TONT20000JANV!C17+TONT20000FEV!C17+TONT20000MARS!C17+TONT20000AVRIL!C17+TONT20000MAI!C17+TONT20000JUIN!C17+TONT20000JUIL!C17+TONT20000AOUT!C17+TONT20000SEPT!C17+TONT20000OCT!C17+TONT20000NOV!C17</f>
        <v>5992.4372762053736</v>
      </c>
      <c r="G17" s="6">
        <f>TONT20000NOV!E17</f>
        <v>91992.437276205368</v>
      </c>
      <c r="H17" s="6">
        <f t="shared" si="1"/>
        <v>14092.437276205374</v>
      </c>
      <c r="I17" s="6">
        <f t="shared" si="2"/>
        <v>14092</v>
      </c>
      <c r="J17" s="31">
        <f t="shared" si="3"/>
        <v>0.43727620537356415</v>
      </c>
      <c r="K17" s="6"/>
      <c r="L17" s="6"/>
      <c r="M17" s="6">
        <f>50000-35908</f>
        <v>14092</v>
      </c>
      <c r="N17" s="6">
        <f t="shared" si="4"/>
        <v>0</v>
      </c>
      <c r="O17" s="7">
        <f>TONT20000DEC2015!H17+TONT20000JANV!F17+TONT20000FEV!F17+TONT20000MARS!F17+TONT20000AVRIL!F17+TONT20000MAI!F17+TONT20000JUIN!F17+TONT20000JUIL!F17+TONT20000AOUT!F17+TONT20000SEPT!F17+TONT20000OCT!F17+TONT20000NOV!G17</f>
        <v>240000</v>
      </c>
      <c r="P17" s="7">
        <f>TONT20000DEC2015!I17+TONT20000JANV!G17+TONT20000FEV!G17+TONT20000MARS!G17+TONT20000AVRIL!G17+TONT20000MAI!G17+TONT20000JUIN!G17+TONT20000JUIL!G17+TONT20000AOUT!G17+TONT20000SEPT!G17+TONT20000OCT!G17+TONT20000NOV!H17-18000-9900</f>
        <v>8100</v>
      </c>
      <c r="Q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R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S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T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U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V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W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X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Y17" s="7">
        <f>TONT20000DEC2015!R17+TONT20000JANV!P17+TONT20000FEV!P17+TONT20000MARS!P17+TONT20000AVRIL!P17+TONT20000MAI!P17+TONT20000JUIN!P17+TONT20000JUIL!P17+TONT20000AOUT!P17+TONT20000SEPT!P17+TONT20000OCT!P17+TONT20000NOV!Q17</f>
        <v>0</v>
      </c>
      <c r="Z17" s="7">
        <f>TONT20000DEC2015!S17+TONT20000JANV!Q17+TONT20000FEV!Q17+TONT20000MARS!Q17+TONT20000AVRIL!Q17+TONT20000MAI!Q17+TONT20000JUIN!Q17+TONT20000JUIL!Q17+TONT20000AOUT!Q17+TONT20000SEPT!Q17+TONT20000OCT!Q17+TONT20000NOV!R17</f>
        <v>0</v>
      </c>
      <c r="AA17" s="7">
        <f>TONT20000DEC2015!T17+TONT20000JANV!R17+TONT20000FEV!R17+TONT20000MARS!R17+TONT20000AVRIL!R17+TONT20000MAI!R17+TONT20000JUIN!R17+TONT20000JUIL!R17+TONT20000AOUT!R17+TONT20000SEPT!R17+TONT20000OCT!R17+TONT20000NOV!S17</f>
        <v>0</v>
      </c>
    </row>
    <row r="18" spans="1:27" x14ac:dyDescent="0.25">
      <c r="A18" s="1" t="s">
        <v>23</v>
      </c>
      <c r="B18" s="1" t="str">
        <f>VLOOKUP(A18,LISTADHERENT!A$5:H$52,2,0)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482723</v>
      </c>
      <c r="F18" s="6">
        <f>TONT20000DEC2015!E18+TONT20000JANV!C18+TONT20000FEV!C18+TONT20000MARS!C18+TONT20000AVRIL!C18+TONT20000MAI!C18+TONT20000JUIN!C18+TONT20000JUIL!C18+TONT20000AOUT!C18+TONT20000SEPT!C18+TONT20000OCT!C18+TONT20000NOV!C18</f>
        <v>47622.510738036151</v>
      </c>
      <c r="G18" s="6">
        <f>TONT20000NOV!E18</f>
        <v>530345.51073803613</v>
      </c>
      <c r="H18" s="6">
        <f t="shared" si="1"/>
        <v>140345.51073803616</v>
      </c>
      <c r="I18" s="6">
        <f t="shared" si="2"/>
        <v>30000</v>
      </c>
      <c r="J18" s="31">
        <f t="shared" si="3"/>
        <v>110345.51073803616</v>
      </c>
      <c r="K18" s="6">
        <v>30000</v>
      </c>
      <c r="L18" s="6"/>
      <c r="M18" s="6">
        <v>0</v>
      </c>
      <c r="N18" s="6">
        <f t="shared" si="4"/>
        <v>0</v>
      </c>
      <c r="O18" s="7">
        <f>TONT20000DEC2015!H18+TONT20000JANV!F18+TONT20000FEV!F18+TONT20000MARS!F18+TONT20000AVRIL!F18+TONT20000MAI!F18+TONT20000JUIN!F18+TONT20000JUIL!F18+TONT20000AOUT!F18+TONT20000SEPT!F18+TONT20000OCT!F18+TONT20000NOV!G18</f>
        <v>338000</v>
      </c>
      <c r="P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Q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R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S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T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U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V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W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X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Y18" s="7">
        <f>TONT20000DEC2015!R18+TONT20000JANV!P18+TONT20000FEV!P18+TONT20000MARS!P18+TONT20000AVRIL!P18+TONT20000MAI!P18+TONT20000JUIN!P18+TONT20000JUIL!P18+TONT20000AOUT!P18+TONT20000SEPT!P18+TONT20000OCT!P18+TONT20000NOV!Q18</f>
        <v>0</v>
      </c>
      <c r="Z18" s="7">
        <f>TONT20000DEC2015!S18+TONT20000JANV!Q18+TONT20000FEV!Q18+TONT20000MARS!Q18+TONT20000AVRIL!Q18+TONT20000MAI!Q18+TONT20000JUIN!Q18+TONT20000JUIL!Q18+TONT20000AOUT!Q18+TONT20000SEPT!Q18+TONT20000OCT!Q18+TONT20000NOV!R18</f>
        <v>0</v>
      </c>
      <c r="AA18" s="7">
        <f>TONT20000DEC2015!T18+TONT20000JANV!R18+TONT20000FEV!R18+TONT20000MARS!R18+TONT20000AVRIL!R18+TONT20000MAI!R18+TONT20000JUIN!R18+TONT20000JUIL!R18+TONT20000AOUT!R18+TONT20000SEPT!R18+TONT20000OCT!R18+TONT20000NOV!S18</f>
        <v>0</v>
      </c>
    </row>
    <row r="19" spans="1:27" x14ac:dyDescent="0.25">
      <c r="A19" s="1" t="s">
        <v>24</v>
      </c>
      <c r="B19" s="1" t="str">
        <f>VLOOKUP(A19,LISTADHERENT!A$5:H$52,2,0)</f>
        <v>KEPHE DAVID</v>
      </c>
      <c r="C19" s="6">
        <f>VLOOKUP(A19,FONDSDECAISSE!A$5:C$52,3,0)</f>
        <v>0</v>
      </c>
      <c r="D19" s="6">
        <v>12795</v>
      </c>
      <c r="E19" s="6">
        <f t="shared" si="0"/>
        <v>18000</v>
      </c>
      <c r="F19" s="6">
        <f>TONT20000DEC2015!E19+TONT20000JANV!C19+TONT20000FEV!C19+TONT20000MARS!C19+TONT20000AVRIL!C19+TONT20000MAI!C19+TONT20000JUIN!C19+TONT20000JUIL!C19+TONT20000AOUT!C19+TONT20000SEPT!C19+TONT20000OCT!C19+TONT20000NOV!C19</f>
        <v>3829.3101688408037</v>
      </c>
      <c r="G19" s="6">
        <f>TONT20000NOV!E19</f>
        <v>52624.310168840806</v>
      </c>
      <c r="H19" s="6">
        <f t="shared" si="1"/>
        <v>21829.310168840802</v>
      </c>
      <c r="I19" s="6">
        <f t="shared" si="2"/>
        <v>25161</v>
      </c>
      <c r="J19" s="31">
        <f t="shared" si="3"/>
        <v>-3331.6898311591976</v>
      </c>
      <c r="K19" s="6"/>
      <c r="L19" s="6"/>
      <c r="M19" s="6">
        <f>50000-24839</f>
        <v>25161</v>
      </c>
      <c r="N19" s="6">
        <f t="shared" si="4"/>
        <v>0</v>
      </c>
      <c r="O19" s="7">
        <f>TONT20000DEC2015!H19+TONT20000JANV!F19+TONT20000FEV!F19+TONT20000MARS!F19+TONT20000AVRIL!F19+TONT20000MAI!F19+TONT20000JUIN!F19+TONT20000JUIL!F19+TONT20000AOUT!F19+TONT20000SEPT!F19+TONT20000OCT!F19+TONT20000NOV!G19</f>
        <v>240000</v>
      </c>
      <c r="P19" s="7">
        <f>TONT20000DEC2015!I19+TONT20000JANV!G19+TONT20000FEV!G19+TONT20000MARS!G19+TONT20000AVRIL!G19+TONT20000MAI!G19+TONT20000JUIN!G19+TONT20000JUIL!G19+TONT20000AOUT!G19+TONT20000SEPT!G19+TONT20000OCT!G19+TONT20000NOV!H19-30795</f>
        <v>5205</v>
      </c>
      <c r="Q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R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S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T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U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V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W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X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Y19" s="7">
        <f>TONT20000DEC2015!R19+TONT20000JANV!P19+TONT20000FEV!P19+TONT20000MARS!P19+TONT20000AVRIL!P19+TONT20000MAI!P19+TONT20000JUIN!P19+TONT20000JUIL!P19+TONT20000AOUT!P19+TONT20000SEPT!P19+TONT20000OCT!P19+TONT20000NOV!Q19</f>
        <v>0</v>
      </c>
      <c r="Z19" s="7">
        <f>TONT20000DEC2015!S19+TONT20000JANV!Q19+TONT20000FEV!Q19+TONT20000MARS!Q19+TONT20000AVRIL!Q19+TONT20000MAI!Q19+TONT20000JUIN!Q19+TONT20000JUIL!Q19+TONT20000AOUT!Q19+TONT20000SEPT!Q19+TONT20000OCT!Q19+TONT20000NOV!R19</f>
        <v>0</v>
      </c>
      <c r="AA19" s="7">
        <f>TONT20000DEC2015!T19+TONT20000JANV!R19+TONT20000FEV!R19+TONT20000MARS!R19+TONT20000AVRIL!R19+TONT20000MAI!R19+TONT20000JUIN!R19+TONT20000JUIL!R19+TONT20000AOUT!R19+TONT20000SEPT!R19+TONT20000OCT!R19+TONT20000NOV!S19</f>
        <v>0</v>
      </c>
    </row>
    <row r="20" spans="1:27" x14ac:dyDescent="0.25">
      <c r="A20" s="1" t="s">
        <v>25</v>
      </c>
      <c r="B20" s="1" t="str">
        <f>VLOOKUP(A20,LISTADHERENT!A$5:H$52,2,0)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1128997</v>
      </c>
      <c r="F20" s="6">
        <f>TONT20000DEC2015!E20+TONT20000JANV!C20+TONT20000FEV!C20+TONT20000MARS!C20+TONT20000AVRIL!C20+TONT20000MAI!C20+TONT20000JUIN!C20+TONT20000JUIL!C20+TONT20000AOUT!C20+TONT20000SEPT!C20+TONT20000OCT!C20+TONT20000NOV!C20</f>
        <v>112018.38428702735</v>
      </c>
      <c r="G20" s="6">
        <f>TONT20000NOV!E20</f>
        <v>1241015.3842870274</v>
      </c>
      <c r="H20" s="6">
        <f t="shared" si="1"/>
        <v>851015.38428702741</v>
      </c>
      <c r="I20" s="6">
        <f t="shared" si="2"/>
        <v>80000</v>
      </c>
      <c r="J20" s="31">
        <f t="shared" si="3"/>
        <v>771015.38428702741</v>
      </c>
      <c r="K20" s="6">
        <v>30000</v>
      </c>
      <c r="L20" s="6"/>
      <c r="M20" s="6">
        <v>50000</v>
      </c>
      <c r="N20" s="6">
        <f t="shared" si="4"/>
        <v>0</v>
      </c>
      <c r="O20" s="7">
        <f>TONT20000DEC2015!H20+TONT20000JANV!F20+TONT20000FEV!F20+TONT20000MARS!F20+TONT20000AVRIL!F20+TONT20000MAI!F20+TONT20000JUIN!F20+TONT20000JUIL!F20+TONT20000AOUT!F20+TONT20000SEPT!F20+TONT20000OCT!F20+TONT20000NOV!G20</f>
        <v>756000</v>
      </c>
      <c r="P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Q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R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S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T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U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V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W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X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Y20" s="7">
        <f>TONT20000DEC2015!R20+TONT20000JANV!P20+TONT20000FEV!P20+TONT20000MARS!P20+TONT20000AVRIL!P20+TONT20000MAI!P20+TONT20000JUIN!P20+TONT20000JUIL!P20+TONT20000AOUT!P20+TONT20000SEPT!P20+TONT20000OCT!P20+TONT20000NOV!Q20</f>
        <v>0</v>
      </c>
      <c r="Z20" s="7">
        <f>TONT20000DEC2015!S20+TONT20000JANV!Q20+TONT20000FEV!Q20+TONT20000MARS!Q20+TONT20000AVRIL!Q20+TONT20000MAI!Q20+TONT20000JUIN!Q20+TONT20000JUIL!Q20+TONT20000AOUT!Q20+TONT20000SEPT!Q20+TONT20000OCT!Q20+TONT20000NOV!R20</f>
        <v>0</v>
      </c>
      <c r="AA20" s="7">
        <f>TONT20000DEC2015!T20+TONT20000JANV!R20+TONT20000FEV!R20+TONT20000MARS!R20+TONT20000AVRIL!R20+TONT20000MAI!R20+TONT20000JUIN!R20+TONT20000JUIL!R20+TONT20000AOUT!R20+TONT20000SEPT!R20+TONT20000OCT!R20+TONT20000NOV!S20</f>
        <v>0</v>
      </c>
    </row>
    <row r="21" spans="1:27" x14ac:dyDescent="0.25">
      <c r="A21" s="1" t="s">
        <v>26</v>
      </c>
      <c r="B21" s="1" t="str">
        <f>VLOOKUP(A21,LISTADHERENT!A$5:H$52,2,0)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428723</v>
      </c>
      <c r="F21" s="6">
        <f>TONT20000DEC2015!E21+TONT20000JANV!C21+TONT20000FEV!C21+TONT20000MARS!C21+TONT20000AVRIL!C21+TONT20000MAI!C21+TONT20000JUIN!C21+TONT20000JUIL!C21+TONT20000AOUT!C21+TONT20000SEPT!C21+TONT20000OCT!C21+TONT20000NOV!C21</f>
        <v>45860.700141918678</v>
      </c>
      <c r="G21" s="6">
        <f>TONT20000NOV!E21</f>
        <v>474583.70014191873</v>
      </c>
      <c r="H21" s="6">
        <f t="shared" si="1"/>
        <v>84583.700141918671</v>
      </c>
      <c r="I21" s="6">
        <f t="shared" si="2"/>
        <v>80000</v>
      </c>
      <c r="J21" s="31">
        <f t="shared" si="3"/>
        <v>4583.7001419186709</v>
      </c>
      <c r="K21" s="6">
        <v>30000</v>
      </c>
      <c r="L21" s="6"/>
      <c r="M21" s="6">
        <v>50000</v>
      </c>
      <c r="N21" s="6">
        <f t="shared" si="4"/>
        <v>0</v>
      </c>
      <c r="O21" s="7">
        <f>TONT20000DEC2015!H21+TONT20000JANV!F21+TONT20000FEV!F21+TONT20000MARS!F21+TONT20000AVRIL!F21+TONT20000MAI!F21+TONT20000JUIN!F21+TONT20000JUIL!F21+TONT20000AOUT!F21+TONT20000SEPT!F21+TONT20000OCT!F21+TONT20000NOV!G21</f>
        <v>240000</v>
      </c>
      <c r="P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Q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R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S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T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U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V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W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X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Y21" s="7">
        <f>TONT20000DEC2015!R21+TONT20000JANV!P21+TONT20000FEV!P21+TONT20000MARS!P21+TONT20000AVRIL!P21+TONT20000MAI!P21+TONT20000JUIN!P21+TONT20000JUIL!P21+TONT20000AOUT!P21+TONT20000SEPT!P21+TONT20000OCT!P21+TONT20000NOV!Q21</f>
        <v>0</v>
      </c>
      <c r="Z21" s="7">
        <f>TONT20000DEC2015!S21+TONT20000JANV!Q21+TONT20000FEV!Q21+TONT20000MARS!Q21+TONT20000AVRIL!Q21+TONT20000MAI!Q21+TONT20000JUIN!Q21+TONT20000JUIL!Q21+TONT20000AOUT!Q21+TONT20000SEPT!Q21+TONT20000OCT!Q21+TONT20000NOV!R21</f>
        <v>0</v>
      </c>
      <c r="AA21" s="7">
        <f>TONT20000DEC2015!T21+TONT20000JANV!R21+TONT20000FEV!R21+TONT20000MARS!R21+TONT20000AVRIL!R21+TONT20000MAI!R21+TONT20000JUIN!R21+TONT20000JUIL!R21+TONT20000AOUT!R21+TONT20000SEPT!R21+TONT20000OCT!R21+TONT20000NOV!S21</f>
        <v>0</v>
      </c>
    </row>
    <row r="22" spans="1:27" ht="12.75" customHeight="1" x14ac:dyDescent="0.25">
      <c r="A22" s="1" t="s">
        <v>27</v>
      </c>
      <c r="B22" s="1" t="str">
        <f>VLOOKUP(A22,LISTADHERENT!A$5:H$52,2,0)</f>
        <v>KOUAMOU MOISE</v>
      </c>
      <c r="C22" s="6">
        <v>390000</v>
      </c>
      <c r="D22" s="6">
        <v>2099</v>
      </c>
      <c r="E22" s="6">
        <f t="shared" si="0"/>
        <v>428099</v>
      </c>
      <c r="F22" s="6">
        <f>TONT20000DEC2015!E22+TONT20000JANV!C22+TONT20000FEV!C22+TONT20000MARS!C22+TONT20000AVRIL!C22+TONT20000MAI!C22+TONT20000JUIN!C22+TONT20000JUIL!C22+TONT20000AOUT!C22+TONT20000SEPT!C22+TONT20000OCT!C22+TONT20000NOV!C22</f>
        <v>42862.38059243685</v>
      </c>
      <c r="G22" s="6">
        <f>TONT20000NOV!E22</f>
        <v>470961.38059243694</v>
      </c>
      <c r="H22" s="6">
        <f t="shared" si="1"/>
        <v>80961.38059243685</v>
      </c>
      <c r="I22" s="6">
        <f t="shared" si="2"/>
        <v>80000</v>
      </c>
      <c r="J22" s="31">
        <f t="shared" si="3"/>
        <v>961.38059243684984</v>
      </c>
      <c r="K22" s="6">
        <v>30000</v>
      </c>
      <c r="L22" s="6"/>
      <c r="M22" s="6">
        <v>50000</v>
      </c>
      <c r="N22" s="6">
        <f t="shared" si="4"/>
        <v>0</v>
      </c>
      <c r="O22" s="7">
        <f>TONT20000DEC2015!H22+TONT20000JANV!F22+TONT20000FEV!F22+TONT20000MARS!F22+TONT20000AVRIL!F22+TONT20000MAI!F22+TONT20000JUIN!F22+TONT20000JUIL!F22+TONT20000AOUT!F22+TONT20000SEPT!F22+TONT20000OCT!F22+TONT20000NOV!G22</f>
        <v>240000</v>
      </c>
      <c r="P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Q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R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S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T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U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V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W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X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Y22" s="7">
        <f>TONT20000DEC2015!R22+TONT20000JANV!P22+TONT20000FEV!P22+TONT20000MARS!P22+TONT20000AVRIL!P22+TONT20000MAI!P22+TONT20000JUIN!P22+TONT20000JUIL!P22+TONT20000AOUT!P22+TONT20000SEPT!P22+TONT20000OCT!P22+TONT20000NOV!Q22</f>
        <v>0</v>
      </c>
      <c r="Z22" s="7">
        <f>TONT20000DEC2015!S22+TONT20000JANV!Q22+TONT20000FEV!Q22+TONT20000MARS!Q22+TONT20000AVRIL!Q22+TONT20000MAI!Q22+TONT20000JUIN!Q22+TONT20000JUIL!Q22+TONT20000AOUT!Q22+TONT20000SEPT!Q22+TONT20000OCT!Q22+TONT20000NOV!R22</f>
        <v>0</v>
      </c>
      <c r="AA22" s="7">
        <f>TONT20000DEC2015!T22+TONT20000JANV!R22+TONT20000FEV!R22+TONT20000MARS!R22+TONT20000AVRIL!R22+TONT20000MAI!R22+TONT20000JUIN!R22+TONT20000JUIL!R22+TONT20000AOUT!R22+TONT20000SEPT!R22+TONT20000OCT!R22+TONT20000NOV!S22</f>
        <v>0</v>
      </c>
    </row>
    <row r="23" spans="1:27" x14ac:dyDescent="0.25">
      <c r="A23" s="1" t="s">
        <v>28</v>
      </c>
      <c r="B23" s="1" t="str">
        <f>VLOOKUP(A23,LISTADHERENT!A$5:H$52,2,0)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461629</v>
      </c>
      <c r="F23" s="6">
        <f>TONT20000DEC2015!E23+TONT20000JANV!C23+TONT20000FEV!C23+TONT20000MARS!C23+TONT20000AVRIL!C23+TONT20000MAI!C23+TONT20000JUIN!C23+TONT20000JUIL!C23+TONT20000AOUT!C23+TONT20000SEPT!C23+TONT20000OCT!C23+TONT20000NOV!C23</f>
        <v>49596.839306601316</v>
      </c>
      <c r="G23" s="6">
        <f>TONT20000NOV!E23</f>
        <v>511225.83930660138</v>
      </c>
      <c r="H23" s="6">
        <f t="shared" si="1"/>
        <v>121225.83930660132</v>
      </c>
      <c r="I23" s="6">
        <f t="shared" si="2"/>
        <v>80000</v>
      </c>
      <c r="J23" s="31">
        <f t="shared" si="3"/>
        <v>41225.839306601323</v>
      </c>
      <c r="K23" s="6">
        <v>30000</v>
      </c>
      <c r="L23" s="6"/>
      <c r="M23" s="6">
        <v>50000</v>
      </c>
      <c r="N23" s="6">
        <f t="shared" si="4"/>
        <v>0</v>
      </c>
      <c r="O23" s="7">
        <f>TONT20000DEC2015!H23+TONT20000JANV!F23+TONT20000FEV!F23+TONT20000MARS!F23+TONT20000AVRIL!F23+TONT20000MAI!F23+TONT20000JUIN!F23+TONT20000JUIL!F23+TONT20000AOUT!F23+TONT20000SEPT!F23+TONT20000OCT!F23+TONT20000NOV!G23</f>
        <v>239000</v>
      </c>
      <c r="P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Q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R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S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T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U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V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W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X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Y23" s="7">
        <f>TONT20000DEC2015!R23+TONT20000JANV!P23+TONT20000FEV!P23+TONT20000MARS!P23+TONT20000AVRIL!P23+TONT20000MAI!P23+TONT20000JUIN!P23+TONT20000JUIL!P23+TONT20000AOUT!P23+TONT20000SEPT!P23+TONT20000OCT!P23+TONT20000NOV!Q23</f>
        <v>0</v>
      </c>
      <c r="Z23" s="7">
        <f>TONT20000DEC2015!S23+TONT20000JANV!Q23+TONT20000FEV!Q23+TONT20000MARS!Q23+TONT20000AVRIL!Q23+TONT20000MAI!Q23+TONT20000JUIN!Q23+TONT20000JUIL!Q23+TONT20000AOUT!Q23+TONT20000SEPT!Q23+TONT20000OCT!Q23+TONT20000NOV!R23</f>
        <v>0</v>
      </c>
      <c r="AA23" s="7">
        <f>TONT20000DEC2015!T23+TONT20000JANV!R23+TONT20000FEV!R23+TONT20000MARS!R23+TONT20000AVRIL!R23+TONT20000MAI!R23+TONT20000JUIN!R23+TONT20000JUIL!R23+TONT20000AOUT!R23+TONT20000SEPT!R23+TONT20000OCT!R23+TONT20000NOV!S23</f>
        <v>0</v>
      </c>
    </row>
    <row r="24" spans="1:27" x14ac:dyDescent="0.25">
      <c r="A24" s="1" t="s">
        <v>29</v>
      </c>
      <c r="B24" s="1" t="str">
        <f>VLOOKUP(A24,LISTADHERENT!A$5:H$52,2,0)</f>
        <v>KOUATCHO MESSACK</v>
      </c>
      <c r="C24" s="6">
        <f>VLOOKUP(A24,FONDSDECAISSE!A$5:C$52,3,0)</f>
        <v>390000</v>
      </c>
      <c r="D24" s="6">
        <v>0</v>
      </c>
      <c r="E24" s="6">
        <f t="shared" si="0"/>
        <v>426000</v>
      </c>
      <c r="F24" s="6">
        <f>TONT20000DEC2015!E24+TONT20000JANV!C24+TONT20000FEV!C24+TONT20000MARS!C24+TONT20000AVRIL!C24+TONT20000MAI!C24+TONT20000JUIN!C24+TONT20000JUIL!C24+TONT20000AOUT!C24+TONT20000SEPT!C24+TONT20000OCT!C24+TONT20000NOV!C24</f>
        <v>45559.454972053099</v>
      </c>
      <c r="G24" s="6">
        <f>TONT20000NOV!E24</f>
        <v>471559.45497205318</v>
      </c>
      <c r="H24" s="6">
        <f t="shared" si="1"/>
        <v>81559.454972053092</v>
      </c>
      <c r="I24" s="6">
        <f t="shared" si="2"/>
        <v>80000</v>
      </c>
      <c r="J24" s="31">
        <f t="shared" si="3"/>
        <v>1559.4549720530922</v>
      </c>
      <c r="K24" s="6">
        <v>30000</v>
      </c>
      <c r="L24" s="6"/>
      <c r="M24" s="6">
        <v>50000</v>
      </c>
      <c r="N24" s="6">
        <f t="shared" si="4"/>
        <v>0</v>
      </c>
      <c r="O24" s="7">
        <f>TONT20000DEC2015!H24+TONT20000JANV!F24+TONT20000FEV!F24+TONT20000MARS!F24+TONT20000AVRIL!F24+TONT20000MAI!F24+TONT20000JUIN!F24+TONT20000JUIL!F24+TONT20000AOUT!F24+TONT20000SEPT!F24+TONT20000OCT!F24+TONT20000NOV!G24</f>
        <v>240000</v>
      </c>
      <c r="P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Q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R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S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T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U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V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W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X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Y24" s="7">
        <f>TONT20000DEC2015!R24+TONT20000JANV!P24+TONT20000FEV!P24+TONT20000MARS!P24+TONT20000AVRIL!P24+TONT20000MAI!P24+TONT20000JUIN!P24+TONT20000JUIL!P24+TONT20000AOUT!P24+TONT20000SEPT!P24+TONT20000OCT!P24+TONT20000NOV!Q24</f>
        <v>0</v>
      </c>
      <c r="Z24" s="7">
        <f>TONT20000DEC2015!S24+TONT20000JANV!Q24+TONT20000FEV!Q24+TONT20000MARS!Q24+TONT20000AVRIL!Q24+TONT20000MAI!Q24+TONT20000JUIN!Q24+TONT20000JUIL!Q24+TONT20000AOUT!Q24+TONT20000SEPT!Q24+TONT20000OCT!Q24+TONT20000NOV!R24</f>
        <v>0</v>
      </c>
      <c r="AA24" s="7">
        <f>TONT20000DEC2015!T24+TONT20000JANV!R24+TONT20000FEV!R24+TONT20000MARS!R24+TONT20000AVRIL!R24+TONT20000MAI!R24+TONT20000JUIN!R24+TONT20000JUIL!R24+TONT20000AOUT!R24+TONT20000SEPT!R24+TONT20000OCT!R24+TONT20000NOV!S24</f>
        <v>0</v>
      </c>
    </row>
    <row r="25" spans="1:27" x14ac:dyDescent="0.25">
      <c r="A25" s="1" t="s">
        <v>30</v>
      </c>
      <c r="B25" s="1" t="str">
        <f>VLOOKUP(A25,LISTADHERENT!A$5:H$52,2,0)</f>
        <v>LOWE JEAN</v>
      </c>
      <c r="C25" s="6">
        <f>VLOOKUP(A25,FONDSDECAISSE!A$5:C$52,3,0)</f>
        <v>390000</v>
      </c>
      <c r="D25" s="6">
        <v>4331</v>
      </c>
      <c r="E25" s="6">
        <f t="shared" si="0"/>
        <v>430331</v>
      </c>
      <c r="F25" s="6">
        <f>TONT20000DEC2015!E25+TONT20000JANV!C25+TONT20000FEV!C25+TONT20000MARS!C25+TONT20000AVRIL!C25+TONT20000MAI!C25+TONT20000JUIN!C25+TONT20000JUIL!C25+TONT20000AOUT!C25+TONT20000SEPT!C25+TONT20000OCT!C25+TONT20000NOV!C25</f>
        <v>46038.592992871243</v>
      </c>
      <c r="G25" s="6">
        <f>TONT20000NOV!E25</f>
        <v>476369.59299287124</v>
      </c>
      <c r="H25" s="6">
        <f t="shared" si="1"/>
        <v>86369.592992871243</v>
      </c>
      <c r="I25" s="6">
        <f t="shared" si="2"/>
        <v>80000</v>
      </c>
      <c r="J25" s="31">
        <f t="shared" si="3"/>
        <v>6369.592992871243</v>
      </c>
      <c r="K25" s="6">
        <v>30000</v>
      </c>
      <c r="L25" s="6"/>
      <c r="M25" s="6">
        <v>50000</v>
      </c>
      <c r="N25" s="6">
        <f t="shared" si="4"/>
        <v>0</v>
      </c>
      <c r="O25" s="7">
        <f>TONT20000DEC2015!H25+TONT20000JANV!F25+TONT20000FEV!F25+TONT20000MARS!F25+TONT20000AVRIL!F25+TONT20000MAI!F25+TONT20000JUIN!F25+TONT20000JUIL!F25+TONT20000AOUT!F25+TONT20000SEPT!F25+TONT20000OCT!F25+TONT20000NOV!G25</f>
        <v>240000</v>
      </c>
      <c r="P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Q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R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S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T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U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V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W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X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Y25" s="7">
        <f>TONT20000DEC2015!R25+TONT20000JANV!P25+TONT20000FEV!P25+TONT20000MARS!P25+TONT20000AVRIL!P25+TONT20000MAI!P25+TONT20000JUIN!P25+TONT20000JUIL!P25+TONT20000AOUT!P25+TONT20000SEPT!P25+TONT20000OCT!P25+TONT20000NOV!Q25</f>
        <v>0</v>
      </c>
      <c r="Z25" s="7">
        <f>TONT20000DEC2015!S25+TONT20000JANV!Q25+TONT20000FEV!Q25+TONT20000MARS!Q25+TONT20000AVRIL!Q25+TONT20000MAI!Q25+TONT20000JUIN!Q25+TONT20000JUIL!Q25+TONT20000AOUT!Q25+TONT20000SEPT!Q25+TONT20000OCT!Q25+TONT20000NOV!R25</f>
        <v>0</v>
      </c>
      <c r="AA25" s="7">
        <f>TONT20000DEC2015!T25+TONT20000JANV!R25+TONT20000FEV!R25+TONT20000MARS!R25+TONT20000AVRIL!R25+TONT20000MAI!R25+TONT20000JUIN!R25+TONT20000JUIL!R25+TONT20000AOUT!R25+TONT20000SEPT!R25+TONT20000OCT!R25+TONT20000NOV!S25</f>
        <v>0</v>
      </c>
    </row>
    <row r="26" spans="1:27" x14ac:dyDescent="0.25">
      <c r="A26" s="1" t="s">
        <v>31</v>
      </c>
      <c r="B26" s="1" t="str">
        <f>VLOOKUP(A26,LISTADHERENT!A$5:H$52,2,0)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435411</v>
      </c>
      <c r="F26" s="6">
        <f>TONT20000DEC2015!E26+TONT20000JANV!C26+TONT20000FEV!C26+TONT20000MARS!C26+TONT20000AVRIL!C26+TONT20000MAI!C26+TONT20000JUIN!C26+TONT20000JUIL!C26+TONT20000AOUT!C26+TONT20000SEPT!C26+TONT20000OCT!C26+TONT20000NOV!C26</f>
        <v>46600.592795631877</v>
      </c>
      <c r="G26" s="6">
        <f>TONT20000NOV!E26</f>
        <v>482011.59279563196</v>
      </c>
      <c r="H26" s="6">
        <f t="shared" si="1"/>
        <v>92011.592795631877</v>
      </c>
      <c r="I26" s="6">
        <f t="shared" si="2"/>
        <v>80000</v>
      </c>
      <c r="J26" s="31">
        <f t="shared" si="3"/>
        <v>12011.592795631877</v>
      </c>
      <c r="K26" s="6">
        <v>30000</v>
      </c>
      <c r="L26" s="6"/>
      <c r="M26" s="6">
        <v>50000</v>
      </c>
      <c r="N26" s="6">
        <f t="shared" si="4"/>
        <v>0</v>
      </c>
      <c r="O26" s="7">
        <f>TONT20000DEC2015!H26+TONT20000JANV!F26+TONT20000FEV!F26+TONT20000MARS!F26+TONT20000AVRIL!F26+TONT20000MAI!F26+TONT20000JUIN!F26+TONT20000JUIL!F26+TONT20000AOUT!F26+TONT20000SEPT!F26+TONT20000OCT!F26+TONT20000NOV!G26</f>
        <v>245000</v>
      </c>
      <c r="P26" s="7">
        <f>TONT20000DEC2015!I26+TONT20000JANV!G26+TONT20000FEV!G26+TONT20000MARS!G26+TONT20000AVRIL!G26+TONT20000MAI!G26+TONT20000JUIN!G26+TONT20000JUIL!G26+TONT20000AOUT!G26+TONT20000SEPT!G26+TONT20000OCT!G26+TONT20000NOV!H26</f>
        <v>41000</v>
      </c>
      <c r="Q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R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S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T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U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V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W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X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Y26" s="7">
        <f>TONT20000DEC2015!R26+TONT20000JANV!P26+TONT20000FEV!P26+TONT20000MARS!P26+TONT20000AVRIL!P26+TONT20000MAI!P26+TONT20000JUIN!P26+TONT20000JUIL!P26+TONT20000AOUT!P26+TONT20000SEPT!P26+TONT20000OCT!P26+TONT20000NOV!Q26</f>
        <v>0</v>
      </c>
      <c r="Z26" s="7">
        <f>TONT20000DEC2015!S26+TONT20000JANV!Q26+TONT20000FEV!Q26+TONT20000MARS!Q26+TONT20000AVRIL!Q26+TONT20000MAI!Q26+TONT20000JUIN!Q26+TONT20000JUIL!Q26+TONT20000AOUT!Q26+TONT20000SEPT!Q26+TONT20000OCT!Q26+TONT20000NOV!R26</f>
        <v>0</v>
      </c>
      <c r="AA26" s="7">
        <f>TONT20000DEC2015!T26+TONT20000JANV!R26+TONT20000FEV!R26+TONT20000MARS!R26+TONT20000AVRIL!R26+TONT20000MAI!R26+TONT20000JUIN!R26+TONT20000JUIL!R26+TONT20000AOUT!R26+TONT20000SEPT!R26+TONT20000OCT!R26+TONT20000NOV!S26</f>
        <v>0</v>
      </c>
    </row>
    <row r="27" spans="1:27" x14ac:dyDescent="0.25">
      <c r="A27" s="1" t="s">
        <v>32</v>
      </c>
      <c r="B27" s="1" t="str">
        <f>VLOOKUP(A27,LISTADHERENT!A$5:H$52,2,0)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483060</v>
      </c>
      <c r="F27" s="6">
        <f>TONT20000DEC2015!E27+TONT20000JANV!C27+TONT20000FEV!C27+TONT20000MARS!C27+TONT20000AVRIL!C27+TONT20000MAI!C27+TONT20000JUIN!C27+TONT20000JUIL!C27+TONT20000AOUT!C27+TONT20000SEPT!C27+TONT20000OCT!C27+TONT20000NOV!C27</f>
        <v>49257.204489546362</v>
      </c>
      <c r="G27" s="6">
        <f>TONT20000NOV!E27</f>
        <v>532317.20448954636</v>
      </c>
      <c r="H27" s="6">
        <f t="shared" si="1"/>
        <v>142317.20448954636</v>
      </c>
      <c r="I27" s="6">
        <f t="shared" si="2"/>
        <v>80000</v>
      </c>
      <c r="J27" s="31">
        <f t="shared" si="3"/>
        <v>62317.204489546362</v>
      </c>
      <c r="K27" s="6">
        <v>30000</v>
      </c>
      <c r="L27" s="6"/>
      <c r="M27" s="6">
        <v>50000</v>
      </c>
      <c r="N27" s="6">
        <f t="shared" si="4"/>
        <v>0</v>
      </c>
      <c r="O27" s="7">
        <f>TONT20000DEC2015!H27+TONT20000JANV!F27+TONT20000FEV!F27+TONT20000MARS!F27+TONT20000AVRIL!F27+TONT20000MAI!F27+TONT20000JUIN!F27+TONT20000JUIL!F27+TONT20000AOUT!F27+TONT20000SEPT!F27+TONT20000OCT!F27+TONT20000NOV!G27</f>
        <v>295000</v>
      </c>
      <c r="P27" s="7">
        <f>TONT20000DEC2015!I27+TONT20000JANV!G27+TONT20000FEV!G27+TONT20000MARS!G27+TONT20000AVRIL!G27+TONT20000MAI!G27+TONT20000JUIN!G27+TONT20000JUIL!G27+TONT20000AOUT!G27+TONT20000SEPT!G27+TONT20000OCT!G27+TONT20000NOV!H27</f>
        <v>91000</v>
      </c>
      <c r="Q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R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S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T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U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V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W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X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Y27" s="7">
        <f>TONT20000DEC2015!R27+TONT20000JANV!P27+TONT20000FEV!P27+TONT20000MARS!P27+TONT20000AVRIL!P27+TONT20000MAI!P27+TONT20000JUIN!P27+TONT20000JUIL!P27+TONT20000AOUT!P27+TONT20000SEPT!P27+TONT20000OCT!P27+TONT20000NOV!Q27</f>
        <v>0</v>
      </c>
      <c r="Z27" s="7">
        <f>TONT20000DEC2015!S27+TONT20000JANV!Q27+TONT20000FEV!Q27+TONT20000MARS!Q27+TONT20000AVRIL!Q27+TONT20000MAI!Q27+TONT20000JUIN!Q27+TONT20000JUIL!Q27+TONT20000AOUT!Q27+TONT20000SEPT!Q27+TONT20000OCT!Q27+TONT20000NOV!R27</f>
        <v>0</v>
      </c>
      <c r="AA27" s="7">
        <f>TONT20000DEC2015!T27+TONT20000JANV!R27+TONT20000FEV!R27+TONT20000MARS!R27+TONT20000AVRIL!R27+TONT20000MAI!R27+TONT20000JUIN!R27+TONT20000JUIL!R27+TONT20000AOUT!R27+TONT20000SEPT!R27+TONT20000OCT!R27+TONT20000NOV!S27</f>
        <v>0</v>
      </c>
    </row>
    <row r="28" spans="1:27" ht="0.75" customHeight="1" x14ac:dyDescent="0.25">
      <c r="A28" s="1" t="s">
        <v>33</v>
      </c>
      <c r="B28" s="1" t="str">
        <f>VLOOKUP(A28,LISTADHERENT!A$5:H$52,2,0)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TONT20000DEC2015!E28+TONT20000JANV!C28+TONT20000FEV!C28+TONT20000MARS!C28+TONT20000AVRIL!C28+TONT20000MAI!C28+TONT20000JUIN!C28+TONT20000JUIL!C28+TONT20000AOUT!C28+TONT20000SEPT!C28+TONT20000OCT!C28+TONT20000NOV!C28</f>
        <v>0</v>
      </c>
      <c r="G28" s="6">
        <f>TONT20000NOV!E28</f>
        <v>0</v>
      </c>
      <c r="H28" s="6">
        <f t="shared" si="1"/>
        <v>0</v>
      </c>
      <c r="I28" s="6">
        <f t="shared" si="2"/>
        <v>0</v>
      </c>
      <c r="J28" s="31">
        <f t="shared" si="3"/>
        <v>0</v>
      </c>
      <c r="K28" s="6"/>
      <c r="L28" s="6"/>
      <c r="M28" s="6"/>
      <c r="N28" s="6"/>
      <c r="O28" s="7">
        <f>TONT20000DEC2015!H28+TONT20000JANV!F28+TONT20000FEV!F28+TONT20000MARS!F28+TONT20000AVRIL!F28+TONT20000MAI!F28+TONT20000JUIN!F28+TONT20000JUIL!F28+TONT20000AOUT!F28+TONT20000SEPT!F28+TONT20000OCT!F28+TONT20000NOV!G28</f>
        <v>0</v>
      </c>
      <c r="P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Q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R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S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T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U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V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W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X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Y28" s="7">
        <f>TONT20000DEC2015!R28+TONT20000JANV!P28+TONT20000FEV!P28+TONT20000MARS!P28+TONT20000AVRIL!P28+TONT20000MAI!P28+TONT20000JUIN!P28+TONT20000JUIL!P28+TONT20000AOUT!P28+TONT20000SEPT!P28+TONT20000OCT!P28+TONT20000NOV!Q28</f>
        <v>0</v>
      </c>
      <c r="Z28" s="7">
        <f>TONT20000DEC2015!S28+TONT20000JANV!Q28+TONT20000FEV!Q28+TONT20000MARS!Q28+TONT20000AVRIL!Q28+TONT20000MAI!Q28+TONT20000JUIN!Q28+TONT20000JUIL!Q28+TONT20000AOUT!Q28+TONT20000SEPT!Q28+TONT20000OCT!Q28+TONT20000NOV!R28</f>
        <v>0</v>
      </c>
      <c r="AA28" s="7">
        <f>TONT20000DEC2015!T28+TONT20000JANV!R28+TONT20000FEV!R28+TONT20000MARS!R28+TONT20000AVRIL!R28+TONT20000MAI!R28+TONT20000JUIN!R28+TONT20000JUIL!R28+TONT20000AOUT!R28+TONT20000SEPT!R28+TONT20000OCT!R28+TONT20000NOV!S28</f>
        <v>0</v>
      </c>
    </row>
    <row r="29" spans="1:27" x14ac:dyDescent="0.25">
      <c r="A29" s="1" t="s">
        <v>34</v>
      </c>
      <c r="B29" s="1" t="str">
        <f>VLOOKUP(A29,LISTADHERENT!A$5:H$52,2,0)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605574</v>
      </c>
      <c r="F29" s="6">
        <f>TONT20000DEC2015!E29+TONT20000JANV!C29+TONT20000FEV!C29+TONT20000MARS!C29+TONT20000AVRIL!C29+TONT20000MAI!C29+TONT20000JUIN!C29+TONT20000JUIL!C29+TONT20000AOUT!C29+TONT20000SEPT!C29+TONT20000OCT!C29+TONT20000NOV!C29</f>
        <v>65425.705480111181</v>
      </c>
      <c r="G29" s="6">
        <f>TONT20000NOV!E29</f>
        <v>670999.7054801113</v>
      </c>
      <c r="H29" s="6">
        <f t="shared" si="1"/>
        <v>280999.70548011118</v>
      </c>
      <c r="I29" s="6">
        <f t="shared" si="2"/>
        <v>80000</v>
      </c>
      <c r="J29" s="31">
        <f t="shared" si="3"/>
        <v>200999.70548011118</v>
      </c>
      <c r="K29" s="6">
        <v>30000</v>
      </c>
      <c r="L29" s="6"/>
      <c r="M29" s="6">
        <v>50000</v>
      </c>
      <c r="N29" s="6">
        <f t="shared" si="4"/>
        <v>0</v>
      </c>
      <c r="O29" s="7">
        <f>TONT20000DEC2015!H29+TONT20000JANV!F29+TONT20000FEV!F29+TONT20000MARS!F29+TONT20000AVRIL!F29+TONT20000MAI!F29+TONT20000JUIN!F29+TONT20000JUIL!F29+TONT20000AOUT!F29+TONT20000SEPT!F29+TONT20000OCT!F29+TONT20000NOV!G29</f>
        <v>240000</v>
      </c>
      <c r="P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Q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R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S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T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U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V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W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X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Y29" s="7">
        <f>TONT20000DEC2015!R29+TONT20000JANV!P29+TONT20000FEV!P29+TONT20000MARS!P29+TONT20000AVRIL!P29+TONT20000MAI!P29+TONT20000JUIN!P29+TONT20000JUIL!P29+TONT20000AOUT!P29+TONT20000SEPT!P29+TONT20000OCT!P29+TONT20000NOV!Q29</f>
        <v>0</v>
      </c>
      <c r="Z29" s="7">
        <f>TONT20000DEC2015!S29+TONT20000JANV!Q29+TONT20000FEV!Q29+TONT20000MARS!Q29+TONT20000AVRIL!Q29+TONT20000MAI!Q29+TONT20000JUIN!Q29+TONT20000JUIL!Q29+TONT20000AOUT!Q29+TONT20000SEPT!Q29+TONT20000OCT!Q29+TONT20000NOV!R29</f>
        <v>0</v>
      </c>
      <c r="AA29" s="7">
        <f>TONT20000DEC2015!T29+TONT20000JANV!R29+TONT20000FEV!R29+TONT20000MARS!R29+TONT20000AVRIL!R29+TONT20000MAI!R29+TONT20000JUIN!R29+TONT20000JUIL!R29+TONT20000AOUT!R29+TONT20000SEPT!R29+TONT20000OCT!R29+TONT20000NOV!S29</f>
        <v>0</v>
      </c>
    </row>
    <row r="30" spans="1:27" x14ac:dyDescent="0.25">
      <c r="A30" s="1" t="s">
        <v>35</v>
      </c>
      <c r="B30" s="1" t="str">
        <f>VLOOKUP(A30,LISTADHERENT!A$5:H$52,2,0)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17782</v>
      </c>
      <c r="F30" s="6">
        <f>TONT20000DEC2015!E30+TONT20000JANV!C30+TONT20000FEV!C30+TONT20000MARS!C30+TONT20000AVRIL!C30+TONT20000MAI!C30+TONT20000JUIN!C30+TONT20000JUIL!C30+TONT20000AOUT!C30+TONT20000SEPT!C30+TONT20000OCT!C30+TONT20000NOV!C30</f>
        <v>2413.8008231081076</v>
      </c>
      <c r="G30" s="6">
        <f>TONT20000NOV!E30</f>
        <v>38413.800823108104</v>
      </c>
      <c r="H30" s="6">
        <f t="shared" si="1"/>
        <v>20195.800823108108</v>
      </c>
      <c r="I30" s="6">
        <f t="shared" si="2"/>
        <v>20196</v>
      </c>
      <c r="J30" s="31">
        <f t="shared" si="3"/>
        <v>-0.19917689189242083</v>
      </c>
      <c r="K30" s="6"/>
      <c r="L30" s="6"/>
      <c r="M30" s="6">
        <f>50000-29804</f>
        <v>20196</v>
      </c>
      <c r="N30" s="6">
        <f t="shared" si="4"/>
        <v>0</v>
      </c>
      <c r="O30" s="7">
        <f>TONT20000DEC2015!H30+TONT20000JANV!F30+TONT20000FEV!F30+TONT20000MARS!F30+TONT20000AVRIL!F30+TONT20000MAI!F30+TONT20000JUIN!F30+TONT20000JUIL!F30+TONT20000AOUT!F30+TONT20000SEPT!F30+TONT20000OCT!F30+TONT20000NOV!G30</f>
        <v>240000</v>
      </c>
      <c r="P30" s="7">
        <f>TONT20000DEC2015!I30+TONT20000JANV!G30+TONT20000FEV!G30+TONT20000MARS!G30+TONT20000AVRIL!G30+TONT20000MAI!G30+TONT20000JUIN!G30+TONT20000JUIL!G30+TONT20000AOUT!G30+TONT20000SEPT!G30+TONT20000OCT!G30+TONT20000NOV!H30-18218</f>
        <v>17782</v>
      </c>
      <c r="Q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R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S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T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U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V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W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X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Y30" s="7">
        <f>TONT20000DEC2015!R30+TONT20000JANV!P30+TONT20000FEV!P30+TONT20000MARS!P30+TONT20000AVRIL!P30+TONT20000MAI!P30+TONT20000JUIN!P30+TONT20000JUIL!P30+TONT20000AOUT!P30+TONT20000SEPT!P30+TONT20000OCT!P30+TONT20000NOV!Q30</f>
        <v>0</v>
      </c>
      <c r="Z30" s="7">
        <f>TONT20000DEC2015!S30+TONT20000JANV!Q30+TONT20000FEV!Q30+TONT20000MARS!Q30+TONT20000AVRIL!Q30+TONT20000MAI!Q30+TONT20000JUIN!Q30+TONT20000JUIL!Q30+TONT20000AOUT!Q30+TONT20000SEPT!Q30+TONT20000OCT!Q30+TONT20000NOV!R30</f>
        <v>0</v>
      </c>
      <c r="AA30" s="7">
        <f>TONT20000DEC2015!T30+TONT20000JANV!R30+TONT20000FEV!R30+TONT20000MARS!R30+TONT20000AVRIL!R30+TONT20000MAI!R30+TONT20000JUIN!R30+TONT20000JUIL!R30+TONT20000AOUT!R30+TONT20000SEPT!R30+TONT20000OCT!R30+TONT20000NOV!S30</f>
        <v>0</v>
      </c>
    </row>
    <row r="31" spans="1:27" x14ac:dyDescent="0.25">
      <c r="A31" s="1" t="s">
        <v>36</v>
      </c>
      <c r="B31" s="1" t="str">
        <f>VLOOKUP(A31,LISTADHERENT!A$5:H$52,2,0)</f>
        <v>NGUIEMEGNI MATHIEU BLAISE</v>
      </c>
      <c r="C31" s="6">
        <v>390000</v>
      </c>
      <c r="D31" s="6">
        <v>0</v>
      </c>
      <c r="E31" s="6">
        <f t="shared" si="0"/>
        <v>947945</v>
      </c>
      <c r="F31" s="6">
        <f>TONT20000DEC2015!E31+TONT20000JANV!C31+TONT20000FEV!C31+TONT20000MARS!C31+TONT20000AVRIL!C31+TONT20000MAI!C31+TONT20000JUIN!C31+TONT20000JUIL!C31+TONT20000AOUT!C31+TONT20000SEPT!C31+TONT20000OCT!C31+TONT20000NOV!C31</f>
        <v>38148.353632404593</v>
      </c>
      <c r="G31" s="6">
        <f>TONT20000NOV!E31</f>
        <v>986093.3536324047</v>
      </c>
      <c r="H31" s="6">
        <f t="shared" si="1"/>
        <v>596093.35363240459</v>
      </c>
      <c r="I31" s="6">
        <f t="shared" si="2"/>
        <v>30000</v>
      </c>
      <c r="J31" s="31">
        <f t="shared" si="3"/>
        <v>566093.35363240459</v>
      </c>
      <c r="K31" s="6">
        <v>30000</v>
      </c>
      <c r="L31" s="6"/>
      <c r="M31" s="6">
        <v>0</v>
      </c>
      <c r="N31" s="6">
        <f t="shared" si="4"/>
        <v>0</v>
      </c>
      <c r="O31" s="7">
        <f>TONT20000DEC2015!H31+TONT20000JANV!F31+TONT20000FEV!F31+TONT20000MARS!F31+TONT20000AVRIL!F31+TONT20000MAI!F31+TONT20000JUIN!F31+TONT20000JUIL!F31+TONT20000AOUT!F31+TONT20000SEPT!F31+TONT20000OCT!F31+TONT20000NOV!G31</f>
        <v>862000</v>
      </c>
      <c r="P31" s="7">
        <f>TONT20000DEC2015!I31+TONT20000JANV!G31+TONT20000FEV!G31+TONT20000MARS!G31+TONT20000AVRIL!G31+TONT20000MAI!G31+TONT20000JUIN!G31+TONT20000JUIL!G31+TONT20000AOUT!G31+TONT20000SEPT!G31+TONT20000OCT!G31+TONT20000NOV!H31</f>
        <v>557945</v>
      </c>
      <c r="Q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R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S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T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U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V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W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X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Y31" s="7">
        <f>TONT20000DEC2015!R31+TONT20000JANV!P31+TONT20000FEV!P31+TONT20000MARS!P31+TONT20000AVRIL!P31+TONT20000MAI!P31+TONT20000JUIN!P31+TONT20000JUIL!P31+TONT20000AOUT!P31+TONT20000SEPT!P31+TONT20000OCT!P31+TONT20000NOV!Q31</f>
        <v>0</v>
      </c>
      <c r="Z31" s="7">
        <f>TONT20000DEC2015!S31+TONT20000JANV!Q31+TONT20000FEV!Q31+TONT20000MARS!Q31+TONT20000AVRIL!Q31+TONT20000MAI!Q31+TONT20000JUIN!Q31+TONT20000JUIL!Q31+TONT20000AOUT!Q31+TONT20000SEPT!Q31+TONT20000OCT!Q31+TONT20000NOV!R31</f>
        <v>50055</v>
      </c>
      <c r="AA31" s="7">
        <f>TONT20000DEC2015!T31+TONT20000JANV!R31+TONT20000FEV!R31+TONT20000MARS!R31+TONT20000AVRIL!R31+TONT20000MAI!R31+TONT20000JUIN!R31+TONT20000JUIL!R31+TONT20000AOUT!R31+TONT20000SEPT!R31+TONT20000OCT!R31+TONT20000NOV!S31</f>
        <v>0</v>
      </c>
    </row>
    <row r="32" spans="1:27" x14ac:dyDescent="0.25">
      <c r="A32" s="1" t="s">
        <v>37</v>
      </c>
      <c r="B32" s="1" t="str">
        <f>VLOOKUP(A32,LISTADHERENT!A$5:H$52,2,0)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444734</v>
      </c>
      <c r="F32" s="6">
        <f>TONT20000DEC2015!E32+TONT20000JANV!C32+TONT20000FEV!C32+TONT20000MARS!C32+TONT20000AVRIL!C32+TONT20000MAI!C32+TONT20000JUIN!C32+TONT20000JUIL!C32+TONT20000AOUT!C32+TONT20000SEPT!C32+TONT20000OCT!C32+TONT20000NOV!C32</f>
        <v>47313.798349872537</v>
      </c>
      <c r="G32" s="6">
        <f>TONT20000NOV!E32</f>
        <v>492047.79834987258</v>
      </c>
      <c r="H32" s="6">
        <f t="shared" si="1"/>
        <v>102047.79834987254</v>
      </c>
      <c r="I32" s="6">
        <f t="shared" si="2"/>
        <v>80000</v>
      </c>
      <c r="J32" s="31">
        <f t="shared" si="3"/>
        <v>22047.798349872537</v>
      </c>
      <c r="K32" s="6">
        <v>30000</v>
      </c>
      <c r="L32" s="6"/>
      <c r="M32" s="6">
        <v>50000</v>
      </c>
      <c r="N32" s="6">
        <f t="shared" si="4"/>
        <v>0</v>
      </c>
      <c r="O32" s="7">
        <f>TONT20000DEC2015!H32+TONT20000JANV!F32+TONT20000FEV!F32+TONT20000MARS!F32+TONT20000AVRIL!F32+TONT20000MAI!F32+TONT20000JUIN!F32+TONT20000JUIL!F32+TONT20000AOUT!F32+TONT20000SEPT!F32+TONT20000OCT!F32+TONT20000NOV!G32</f>
        <v>257000</v>
      </c>
      <c r="P32" s="7">
        <f>TONT20000DEC2015!I32+TONT20000JANV!G32+TONT20000FEV!G32+TONT20000MARS!G32+TONT20000AVRIL!G32+TONT20000MAI!G32+TONT20000JUIN!G32+TONT20000JUIL!G32+TONT20000AOUT!G32+TONT20000SEPT!G32+TONT20000OCT!G32+TONT20000NOV!H32</f>
        <v>53000</v>
      </c>
      <c r="Q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R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S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T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U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V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W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X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Y32" s="7">
        <f>TONT20000DEC2015!R32+TONT20000JANV!P32+TONT20000FEV!P32+TONT20000MARS!P32+TONT20000AVRIL!P32+TONT20000MAI!P32+TONT20000JUIN!P32+TONT20000JUIL!P32+TONT20000AOUT!P32+TONT20000SEPT!P32+TONT20000OCT!P32+TONT20000NOV!Q32</f>
        <v>0</v>
      </c>
      <c r="Z32" s="7">
        <f>TONT20000DEC2015!S32+TONT20000JANV!Q32+TONT20000FEV!Q32+TONT20000MARS!Q32+TONT20000AVRIL!Q32+TONT20000MAI!Q32+TONT20000JUIN!Q32+TONT20000JUIL!Q32+TONT20000AOUT!Q32+TONT20000SEPT!Q32+TONT20000OCT!Q32+TONT20000NOV!R32</f>
        <v>0</v>
      </c>
      <c r="AA32" s="7">
        <f>TONT20000DEC2015!T32+TONT20000JANV!R32+TONT20000FEV!R32+TONT20000MARS!R32+TONT20000AVRIL!R32+TONT20000MAI!R32+TONT20000JUIN!R32+TONT20000JUIL!R32+TONT20000AOUT!R32+TONT20000SEPT!R32+TONT20000OCT!R32+TONT20000NOV!S32</f>
        <v>0</v>
      </c>
    </row>
    <row r="33" spans="1:27" x14ac:dyDescent="0.25">
      <c r="A33" s="1" t="s">
        <v>38</v>
      </c>
      <c r="B33" s="1" t="str">
        <f>VLOOKUP(A33,LISTADHERENT!A$5:H$52,2,0)</f>
        <v>NKAMGANG JUSTIN DEJOLIE</v>
      </c>
      <c r="C33" s="6">
        <v>72000</v>
      </c>
      <c r="D33" s="6">
        <v>0</v>
      </c>
      <c r="E33" s="6">
        <f t="shared" si="0"/>
        <v>107459</v>
      </c>
      <c r="F33" s="6">
        <f>TONT20000DEC2015!E33+TONT20000JANV!C33+TONT20000FEV!C33+TONT20000MARS!C33+TONT20000AVRIL!C33+TONT20000MAI!C33+TONT20000JUIN!C33+TONT20000JUIL!C33+TONT20000AOUT!C33+TONT20000SEPT!C33+TONT20000OCT!C33+TONT20000NOV!C33</f>
        <v>7745.2108475964615</v>
      </c>
      <c r="G33" s="6">
        <f>TONT20000NOV!E33</f>
        <v>153745.21084759649</v>
      </c>
      <c r="H33" s="6">
        <f t="shared" si="1"/>
        <v>43204.210847596463</v>
      </c>
      <c r="I33" s="6">
        <f t="shared" si="2"/>
        <v>43204</v>
      </c>
      <c r="J33" s="31">
        <f t="shared" si="3"/>
        <v>0.21084759646328166</v>
      </c>
      <c r="K33" s="6"/>
      <c r="L33" s="6"/>
      <c r="M33" s="6">
        <f>50000-6796</f>
        <v>43204</v>
      </c>
      <c r="N33" s="6">
        <f t="shared" si="4"/>
        <v>0</v>
      </c>
      <c r="O33" s="7">
        <f>TONT20000DEC2015!H33+TONT20000JANV!F33+TONT20000FEV!F33+TONT20000MARS!F33+TONT20000AVRIL!F33+TONT20000MAI!F33+TONT20000JUIN!F33+TONT20000JUIL!F33+TONT20000AOUT!F33+TONT20000SEPT!F33+TONT20000OCT!F33+TONT20000NOV!G33</f>
        <v>278000</v>
      </c>
      <c r="P33" s="7">
        <f>TONT20000DEC2015!I33+TONT20000JANV!G33+TONT20000FEV!G33+TONT20000MARS!G33+TONT20000AVRIL!G33+TONT20000MAI!G33+TONT20000JUIN!G33+TONT20000JUIL!G33+TONT20000AOUT!G33+TONT20000SEPT!G33+TONT20000OCT!G33+TONT20000NOV!H33-38541</f>
        <v>35459</v>
      </c>
      <c r="Q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R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S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T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U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V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W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X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Y33" s="7">
        <f>TONT20000DEC2015!R33+TONT20000JANV!P33+TONT20000FEV!P33+TONT20000MARS!P33+TONT20000AVRIL!P33+TONT20000MAI!P33+TONT20000JUIN!P33+TONT20000JUIL!P33+TONT20000AOUT!P33+TONT20000SEPT!P33+TONT20000OCT!P33+TONT20000NOV!Q33</f>
        <v>0</v>
      </c>
      <c r="Z33" s="7">
        <f>TONT20000DEC2015!S33+TONT20000JANV!Q33+TONT20000FEV!Q33+TONT20000MARS!Q33+TONT20000AVRIL!Q33+TONT20000MAI!Q33+TONT20000JUIN!Q33+TONT20000JUIL!Q33+TONT20000AOUT!Q33+TONT20000SEPT!Q33+TONT20000OCT!Q33+TONT20000NOV!R33</f>
        <v>0</v>
      </c>
      <c r="AA33" s="7">
        <f>TONT20000DEC2015!T33+TONT20000JANV!R33+TONT20000FEV!R33+TONT20000MARS!R33+TONT20000AVRIL!R33+TONT20000MAI!R33+TONT20000JUIN!R33+TONT20000JUIL!R33+TONT20000AOUT!R33+TONT20000SEPT!R33+TONT20000OCT!R33+TONT20000NOV!S33</f>
        <v>0</v>
      </c>
    </row>
    <row r="34" spans="1:27" x14ac:dyDescent="0.25">
      <c r="A34" s="1" t="s">
        <v>39</v>
      </c>
      <c r="B34" s="1" t="str">
        <f>VLOOKUP(A34,LISTADHERENT!A$5:H$52,2,0)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489739</v>
      </c>
      <c r="F34" s="6">
        <f>TONT20000DEC2015!E34+TONT20000JANV!C34+TONT20000FEV!C34+TONT20000MARS!C34+TONT20000AVRIL!C34+TONT20000MAI!C34+TONT20000JUIN!C34+TONT20000JUIL!C34+TONT20000AOUT!C34+TONT20000SEPT!C34+TONT20000OCT!C34+TONT20000NOV!C34</f>
        <v>49996.101474317649</v>
      </c>
      <c r="G34" s="6">
        <f>TONT20000NOV!E34</f>
        <v>539735.10147431761</v>
      </c>
      <c r="H34" s="6">
        <f t="shared" si="1"/>
        <v>149735.10147431766</v>
      </c>
      <c r="I34" s="6">
        <f t="shared" si="2"/>
        <v>30000</v>
      </c>
      <c r="J34" s="31">
        <f t="shared" si="3"/>
        <v>119735.10147431766</v>
      </c>
      <c r="K34" s="6">
        <v>30000</v>
      </c>
      <c r="L34" s="6"/>
      <c r="M34" s="6">
        <v>0</v>
      </c>
      <c r="N34" s="6">
        <f t="shared" si="4"/>
        <v>0</v>
      </c>
      <c r="O34" s="7">
        <f>TONT20000DEC2015!H34+TONT20000JANV!F34+TONT20000FEV!F34+TONT20000MARS!F34+TONT20000AVRIL!F34+TONT20000MAI!F34+TONT20000JUIN!F34+TONT20000JUIL!F34+TONT20000AOUT!F34+TONT20000SEPT!F34+TONT20000OCT!F34+TONT20000NOV!G34</f>
        <v>345000</v>
      </c>
      <c r="P34" s="7">
        <f>TONT20000DEC2015!I34+TONT20000JANV!G34+TONT20000FEV!G34+TONT20000MARS!G34+TONT20000AVRIL!G34+TONT20000MAI!G34+TONT20000JUIN!G34+TONT20000JUIL!G34+TONT20000AOUT!G34+TONT20000SEPT!G34+TONT20000OCT!G34+TONT20000NOV!H34</f>
        <v>91000</v>
      </c>
      <c r="Q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R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S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T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U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V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W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X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Y34" s="7">
        <f>TONT20000DEC2015!R34+TONT20000JANV!P34+TONT20000FEV!P34+TONT20000MARS!P34+TONT20000AVRIL!P34+TONT20000MAI!P34+TONT20000JUIN!P34+TONT20000JUIL!P34+TONT20000AOUT!P34+TONT20000SEPT!P34+TONT20000OCT!P34+TONT20000NOV!Q34</f>
        <v>0</v>
      </c>
      <c r="Z34" s="7">
        <f>TONT20000DEC2015!S34+TONT20000JANV!Q34+TONT20000FEV!Q34+TONT20000MARS!Q34+TONT20000AVRIL!Q34+TONT20000MAI!Q34+TONT20000JUIN!Q34+TONT20000JUIL!Q34+TONT20000AOUT!Q34+TONT20000SEPT!Q34+TONT20000OCT!Q34+TONT20000NOV!R34</f>
        <v>0</v>
      </c>
      <c r="AA34" s="7">
        <f>TONT20000DEC2015!T34+TONT20000JANV!R34+TONT20000FEV!R34+TONT20000MARS!R34+TONT20000AVRIL!R34+TONT20000MAI!R34+TONT20000JUIN!R34+TONT20000JUIL!R34+TONT20000AOUT!R34+TONT20000SEPT!R34+TONT20000OCT!R34+TONT20000NOV!S34</f>
        <v>0</v>
      </c>
    </row>
    <row r="35" spans="1:27" s="20" customFormat="1" x14ac:dyDescent="0.25">
      <c r="A35" s="18" t="s">
        <v>40</v>
      </c>
      <c r="B35" s="18" t="str">
        <f>VLOOKUP(A35,LISTADHERENT!A$5:H$52,2,0)</f>
        <v>NKEPSEU HENANG RENE</v>
      </c>
      <c r="C35" s="28">
        <f>VLOOKUP(A35,FONDSDECAISSE!A$5:C$52,3,0)</f>
        <v>390000</v>
      </c>
      <c r="D35" s="28">
        <v>7983</v>
      </c>
      <c r="E35" s="28">
        <f t="shared" si="0"/>
        <v>424983</v>
      </c>
      <c r="F35" s="28">
        <f>TONT20000DEC2015!E35+TONT20000JANV!C35+TONT20000FEV!C35+TONT20000MARS!C35+TONT20000AVRIL!C35+TONT20000MAI!C35+TONT20000JUIN!C35+TONT20000JUIL!C35+TONT20000AOUT!C35+TONT20000SEPT!C35+TONT20000OCT!C35+TONT20000NOV!C35</f>
        <v>46231.512560370051</v>
      </c>
      <c r="G35" s="28">
        <f>TONT20000NOV!E35</f>
        <v>471214.51256036997</v>
      </c>
      <c r="H35" s="28">
        <f t="shared" si="1"/>
        <v>81214.512560370058</v>
      </c>
      <c r="I35" s="28">
        <f t="shared" si="2"/>
        <v>42000</v>
      </c>
      <c r="J35" s="38">
        <f t="shared" si="3"/>
        <v>39214.512560370058</v>
      </c>
      <c r="K35" s="28">
        <v>30000</v>
      </c>
      <c r="L35" s="28"/>
      <c r="M35" s="28"/>
      <c r="N35" s="28">
        <f t="shared" si="4"/>
        <v>12000</v>
      </c>
      <c r="O35" s="19">
        <f>TONT20000DEC2015!H35+TONT20000JANV!F35+TONT20000FEV!F35+TONT20000MARS!F35+TONT20000AVRIL!F35+TONT20000MAI!F35+TONT20000JUIN!F35+TONT20000JUIL!F35+TONT20000AOUT!F35+TONT20000SEPT!F35+TONT20000OCT!F35+TONT20000NOV!G35</f>
        <v>180000</v>
      </c>
      <c r="P35" s="19">
        <f>TONT20000DEC2015!I35+TONT20000JANV!G35+TONT20000FEV!G35+TONT20000MARS!G35+TONT20000AVRIL!G35+TONT20000MAI!G35+TONT20000JUIN!G35+TONT20000JUIL!G35+TONT20000AOUT!G35+TONT20000SEPT!G35+TONT20000OCT!G35+TONT20000NOV!H35</f>
        <v>27000</v>
      </c>
      <c r="Q35" s="19">
        <f>TONT20000DEC2015!J35+TONT20000JANV!H35+TONT20000FEV!H35+TONT20000MARS!H35+TONT20000AVRIL!H35+TONT20000MAI!H35+TONT20000JUIN!H35+TONT20000JUIL!H35+TONT20000AOUT!H35+TONT20000SEPT!H35+TONT20000OCT!H35+TONT20000NOV!I35</f>
        <v>4500</v>
      </c>
      <c r="R35" s="19">
        <f>TONT20000DEC2015!K35+TONT20000JANV!I35+TONT20000FEV!I35+TONT20000MARS!I35+TONT20000AVRIL!I35+TONT20000MAI!I35+TONT20000JUIN!I35+TONT20000JUIL!I35+TONT20000AOUT!I35+TONT20000SEPT!I35+TONT20000OCT!I35+TONT20000NOV!J35</f>
        <v>9000</v>
      </c>
      <c r="S35" s="19">
        <f>TONT20000DEC2015!L35+TONT20000JANV!J35+TONT20000FEV!J35+TONT20000MARS!J35+TONT20000AVRIL!J35+TONT20000MAI!J35+TONT20000JUIN!J35+TONT20000JUIL!J35+TONT20000AOUT!J35+TONT20000SEPT!J35+TONT20000OCT!J35+TONT20000NOV!K35</f>
        <v>22500</v>
      </c>
      <c r="T35" s="19">
        <f>TONT20000DEC2015!M35+TONT20000JANV!K35+TONT20000FEV!K35+TONT20000MARS!K35+TONT20000AVRIL!K35+TONT20000MAI!K35+TONT20000JUIN!K35+TONT20000JUIL!K35+TONT20000AOUT!K35+TONT20000SEPT!K35+TONT20000OCT!K35+TONT20000NOV!L35</f>
        <v>0</v>
      </c>
      <c r="U35" s="19">
        <f>TONT20000DEC2015!N35+TONT20000JANV!L35+TONT20000FEV!L35+TONT20000MARS!L35+TONT20000AVRIL!L35+TONT20000MAI!L35+TONT20000JUIN!L35+TONT20000JUIL!L35+TONT20000AOUT!L35+TONT20000SEPT!L35+TONT20000OCT!L35+TONT20000NOV!M35</f>
        <v>117000</v>
      </c>
      <c r="V35" s="19">
        <f>TONT20000DEC2015!O35+TONT20000JANV!M35+TONT20000FEV!M35+TONT20000MARS!M35+TONT20000AVRIL!M35+TONT20000MAI!M35+TONT20000JUIN!M35+TONT20000JUIL!M35+TONT20000AOUT!M35+TONT20000SEPT!M35+TONT20000OCT!M35+TONT20000NOV!N35</f>
        <v>0</v>
      </c>
      <c r="W35" s="19">
        <f>TONT20000DEC2015!P35+TONT20000JANV!N35+TONT20000FEV!N35+TONT20000MARS!N35+TONT20000AVRIL!N35+TONT20000MAI!N35+TONT20000JUIN!N35+TONT20000JUIL!N35+TONT20000AOUT!N35+TONT20000SEPT!N35+TONT20000OCT!N35+TONT20000NOV!O35</f>
        <v>0</v>
      </c>
      <c r="X35" s="19">
        <f>TONT20000DEC2015!Q35+TONT20000JANV!O35+TONT20000FEV!O35+TONT20000MARS!O35+TONT20000AVRIL!O35+TONT20000MAI!O35+TONT20000JUIN!O35+TONT20000JUIL!O35+TONT20000AOUT!O35+TONT20000SEPT!O35+TONT20000OCT!O35+TONT20000NOV!P35</f>
        <v>0</v>
      </c>
      <c r="Y35" s="19">
        <f>TONT20000DEC2015!R35+TONT20000JANV!P35+TONT20000FEV!P35+TONT20000MARS!P35+TONT20000AVRIL!P35+TONT20000MAI!P35+TONT20000JUIN!P35+TONT20000JUIL!P35+TONT20000AOUT!P35+TONT20000SEPT!P35+TONT20000OCT!P35+TONT20000NOV!Q35</f>
        <v>0</v>
      </c>
      <c r="Z35" s="19">
        <f>TONT20000DEC2015!S35+TONT20000JANV!Q35+TONT20000FEV!Q35+TONT20000MARS!Q35+TONT20000AVRIL!Q35+TONT20000MAI!Q35+TONT20000JUIN!Q35+TONT20000JUIL!Q35+TONT20000AOUT!Q35+TONT20000SEPT!Q35+TONT20000OCT!Q35+TONT20000NOV!R35</f>
        <v>0</v>
      </c>
      <c r="AA35" s="19">
        <f>TONT20000DEC2015!T35+TONT20000JANV!R35+TONT20000FEV!R35+TONT20000MARS!R35+TONT20000AVRIL!R35+TONT20000MAI!R35+TONT20000JUIN!R35+TONT20000JUIL!R35+TONT20000AOUT!R35+TONT20000SEPT!R35+TONT20000OCT!R35+TONT20000NOV!S35</f>
        <v>0</v>
      </c>
    </row>
    <row r="36" spans="1:27" x14ac:dyDescent="0.25">
      <c r="A36" s="1" t="s">
        <v>41</v>
      </c>
      <c r="B36" s="1" t="str">
        <f>VLOOKUP(A36,LISTADHERENT!A$5:H$52,2,0)</f>
        <v>NTEPDIE TUEMAC MZ</v>
      </c>
      <c r="C36" s="6">
        <f>VLOOKUP(A36,FONDSDECAISSE!A$5:C$52,3,0)</f>
        <v>0</v>
      </c>
      <c r="D36" s="6">
        <v>0</v>
      </c>
      <c r="E36" s="6">
        <f t="shared" si="0"/>
        <v>15000</v>
      </c>
      <c r="F36" s="6">
        <f>TONT20000DEC2015!E36+TONT20000JANV!C36+TONT20000FEV!C36+TONT20000MARS!C36+TONT20000AVRIL!C36+TONT20000MAI!C36+TONT20000JUIN!C36+TONT20000JUIL!C36+TONT20000AOUT!C36+TONT20000SEPT!C36+TONT20000OCT!C36+TONT20000NOV!C36</f>
        <v>857.2299254102652</v>
      </c>
      <c r="G36" s="6">
        <f>TONT20000NOV!E36</f>
        <v>15857.229925410265</v>
      </c>
      <c r="H36" s="6">
        <f t="shared" si="1"/>
        <v>15857.229925410265</v>
      </c>
      <c r="I36" s="6">
        <f t="shared" si="2"/>
        <v>28000</v>
      </c>
      <c r="J36" s="31">
        <f t="shared" si="3"/>
        <v>-12142.770074589735</v>
      </c>
      <c r="K36" s="6"/>
      <c r="L36" s="6"/>
      <c r="M36" s="6"/>
      <c r="N36" s="6">
        <f t="shared" si="4"/>
        <v>28000</v>
      </c>
      <c r="O36" s="7">
        <f>TONT20000DEC2015!H36+TONT20000JANV!F36+TONT20000FEV!F36+TONT20000MARS!F36+TONT20000AVRIL!F36+TONT20000MAI!F36+TONT20000JUIN!F36+TONT20000JUIL!F36+TONT20000AOUT!F36+TONT20000SEPT!F36+TONT20000OCT!F36+TONT20000NOV!G36</f>
        <v>100000</v>
      </c>
      <c r="P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Q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R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S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T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U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V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W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X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Y36" s="7">
        <f>TONT20000DEC2015!R36+TONT20000JANV!P36+TONT20000FEV!P36+TONT20000MARS!P36+TONT20000AVRIL!P36+TONT20000MAI!P36+TONT20000JUIN!P36+TONT20000JUIL!P36+TONT20000AOUT!P36+TONT20000SEPT!P36+TONT20000OCT!P36+TONT20000NOV!Q36</f>
        <v>0</v>
      </c>
      <c r="Z36" s="7">
        <f>TONT20000DEC2015!S36+TONT20000JANV!Q36+TONT20000FEV!Q36+TONT20000MARS!Q36+TONT20000AVRIL!Q36+TONT20000MAI!Q36+TONT20000JUIN!Q36+TONT20000JUIL!Q36+TONT20000AOUT!Q36+TONT20000SEPT!Q36+TONT20000OCT!Q36+TONT20000NOV!R36</f>
        <v>0</v>
      </c>
      <c r="AA36" s="7">
        <f>TONT20000DEC2015!T36+TONT20000JANV!R36+TONT20000FEV!R36+TONT20000MARS!R36+TONT20000AVRIL!R36+TONT20000MAI!R36+TONT20000JUIN!R36+TONT20000JUIL!R36+TONT20000AOUT!R36+TONT20000SEPT!R36+TONT20000OCT!R36+TONT20000NOV!S36</f>
        <v>0</v>
      </c>
    </row>
    <row r="37" spans="1:27" s="20" customFormat="1" x14ac:dyDescent="0.25">
      <c r="A37" s="18" t="s">
        <v>42</v>
      </c>
      <c r="B37" s="18" t="str">
        <f>VLOOKUP(A37,LISTADHERENT!A$5:H$52,2,0)</f>
        <v>NTOMBOU ADOLPHE</v>
      </c>
      <c r="C37" s="28">
        <f>VLOOKUP(A37,FONDSDECAISSE!A$5:C$52,3,0)</f>
        <v>0</v>
      </c>
      <c r="D37" s="28">
        <v>0</v>
      </c>
      <c r="E37" s="28">
        <f t="shared" si="0"/>
        <v>27000</v>
      </c>
      <c r="F37" s="28">
        <f>TONT20000DEC2015!E37+TONT20000JANV!C37+TONT20000FEV!C37+TONT20000MARS!C37+TONT20000AVRIL!C37+TONT20000MAI!C37+TONT20000JUIN!C37+TONT20000JUIL!C37+TONT20000AOUT!C37+TONT20000SEPT!C37+TONT20000OCT!C37+TONT20000NOV!C37</f>
        <v>2202.7000599608891</v>
      </c>
      <c r="G37" s="28">
        <f>TONT20000NOV!E37</f>
        <v>29202.700059960887</v>
      </c>
      <c r="H37" s="6">
        <f t="shared" si="1"/>
        <v>29202.700059960887</v>
      </c>
      <c r="I37" s="6">
        <f t="shared" si="2"/>
        <v>12000</v>
      </c>
      <c r="J37" s="31">
        <f t="shared" si="3"/>
        <v>17202.700059960887</v>
      </c>
      <c r="K37" s="28"/>
      <c r="L37" s="28"/>
      <c r="M37" s="28"/>
      <c r="N37" s="28">
        <f t="shared" si="4"/>
        <v>12000</v>
      </c>
      <c r="O37" s="19">
        <f>TONT20000DEC2015!H37+TONT20000JANV!F37+TONT20000FEV!F37+TONT20000MARS!F37+TONT20000AVRIL!F37+TONT20000MAI!F37+TONT20000JUIN!F37+TONT20000JUIL!F37+TONT20000AOUT!F37+TONT20000SEPT!F37+TONT20000OCT!F37+TONT20000NOV!G37</f>
        <v>180000</v>
      </c>
      <c r="P37" s="19">
        <f>TONT20000DEC2015!I37+TONT20000JANV!G37+TONT20000FEV!G37+TONT20000MARS!G37+TONT20000AVRIL!G37+TONT20000MAI!G37+TONT20000JUIN!G37+TONT20000JUIL!G37+TONT20000AOUT!G37+TONT20000SEPT!G37+TONT20000OCT!G37+TONT20000NOV!H37</f>
        <v>27000</v>
      </c>
      <c r="Q37" s="19">
        <f>TONT20000DEC2015!J37+TONT20000JANV!H37+TONT20000FEV!H37+TONT20000MARS!H37+TONT20000AVRIL!H37+TONT20000MAI!H37+TONT20000JUIN!H37+TONT20000JUIL!H37+TONT20000AOUT!H37+TONT20000SEPT!H37+TONT20000OCT!H37+TONT20000NOV!I37</f>
        <v>4500</v>
      </c>
      <c r="R37" s="19">
        <f>TONT20000DEC2015!K37+TONT20000JANV!I37+TONT20000FEV!I37+TONT20000MARS!I37+TONT20000AVRIL!I37+TONT20000MAI!I37+TONT20000JUIN!I37+TONT20000JUIL!I37+TONT20000AOUT!I37+TONT20000SEPT!I37+TONT20000OCT!I37+TONT20000NOV!J37</f>
        <v>9000</v>
      </c>
      <c r="S37" s="19">
        <f>TONT20000DEC2015!L37+TONT20000JANV!J37+TONT20000FEV!J37+TONT20000MARS!J37+TONT20000AVRIL!J37+TONT20000MAI!J37+TONT20000JUIN!J37+TONT20000JUIL!J37+TONT20000AOUT!J37+TONT20000SEPT!J37+TONT20000OCT!J37+TONT20000NOV!K37</f>
        <v>22500</v>
      </c>
      <c r="T37" s="19">
        <f>TONT20000DEC2015!M37+TONT20000JANV!K37+TONT20000FEV!K37+TONT20000MARS!K37+TONT20000AVRIL!K37+TONT20000MAI!K37+TONT20000JUIN!K37+TONT20000JUIL!K37+TONT20000AOUT!K37+TONT20000SEPT!K37+TONT20000OCT!K37+TONT20000NOV!L37</f>
        <v>0</v>
      </c>
      <c r="U37" s="19">
        <f>TONT20000DEC2015!N37+TONT20000JANV!L37+TONT20000FEV!L37+TONT20000MARS!L37+TONT20000AVRIL!L37+TONT20000MAI!L37+TONT20000JUIN!L37+TONT20000JUIL!L37+TONT20000AOUT!L37+TONT20000SEPT!L37+TONT20000OCT!L37+TONT20000NOV!M37</f>
        <v>117000</v>
      </c>
      <c r="V37" s="19">
        <f>TONT20000DEC2015!O37+TONT20000JANV!M37+TONT20000FEV!M37+TONT20000MARS!M37+TONT20000AVRIL!M37+TONT20000MAI!M37+TONT20000JUIN!M37+TONT20000JUIL!M37+TONT20000AOUT!M37+TONT20000SEPT!M37+TONT20000OCT!M37+TONT20000NOV!N37</f>
        <v>0</v>
      </c>
      <c r="W37" s="19">
        <f>TONT20000DEC2015!P37+TONT20000JANV!N37+TONT20000FEV!N37+TONT20000MARS!N37+TONT20000AVRIL!N37+TONT20000MAI!N37+TONT20000JUIN!N37+TONT20000JUIL!N37+TONT20000AOUT!N37+TONT20000SEPT!N37+TONT20000OCT!N37+TONT20000NOV!O37</f>
        <v>0</v>
      </c>
      <c r="X37" s="19">
        <f>TONT20000DEC2015!Q37+TONT20000JANV!O37+TONT20000FEV!O37+TONT20000MARS!O37+TONT20000AVRIL!O37+TONT20000MAI!O37+TONT20000JUIN!O37+TONT20000JUIL!O37+TONT20000AOUT!O37+TONT20000SEPT!O37+TONT20000OCT!O37+TONT20000NOV!P37</f>
        <v>0</v>
      </c>
      <c r="Y37" s="19">
        <f>TONT20000DEC2015!R37+TONT20000JANV!P37+TONT20000FEV!P37+TONT20000MARS!P37+TONT20000AVRIL!P37+TONT20000MAI!P37+TONT20000JUIN!P37+TONT20000JUIL!P37+TONT20000AOUT!P37+TONT20000SEPT!P37+TONT20000OCT!P37+TONT20000NOV!Q37</f>
        <v>0</v>
      </c>
      <c r="Z37" s="19">
        <f>TONT20000DEC2015!S37+TONT20000JANV!Q37+TONT20000FEV!Q37+TONT20000MARS!Q37+TONT20000AVRIL!Q37+TONT20000MAI!Q37+TONT20000JUIN!Q37+TONT20000JUIL!Q37+TONT20000AOUT!Q37+TONT20000SEPT!Q37+TONT20000OCT!Q37+TONT20000NOV!R37</f>
        <v>0</v>
      </c>
      <c r="AA37" s="19">
        <f>TONT20000DEC2015!T37+TONT20000JANV!R37+TONT20000FEV!R37+TONT20000MARS!R37+TONT20000AVRIL!R37+TONT20000MAI!R37+TONT20000JUIN!R37+TONT20000JUIL!R37+TONT20000AOUT!R37+TONT20000SEPT!R37+TONT20000OCT!R37+TONT20000NOV!S37</f>
        <v>0</v>
      </c>
    </row>
    <row r="38" spans="1:27" x14ac:dyDescent="0.25">
      <c r="A38" s="1" t="s">
        <v>43</v>
      </c>
      <c r="B38" s="1" t="str">
        <f>VLOOKUP(A38,LISTADHERENT!A$5:H$52,2,0)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426140</v>
      </c>
      <c r="F38" s="6">
        <f>TONT20000DEC2015!E38+TONT20000JANV!C38+TONT20000FEV!C38+TONT20000MARS!C38+TONT20000AVRIL!C38+TONT20000MAI!C38+TONT20000JUIN!C38+TONT20000JUIL!C38+TONT20000AOUT!C38+TONT20000SEPT!C38+TONT20000OCT!C38+TONT20000NOV!C38</f>
        <v>45574.943155593734</v>
      </c>
      <c r="G38" s="6">
        <f>TONT20000NOV!E38</f>
        <v>471714.94315559359</v>
      </c>
      <c r="H38" s="6">
        <f t="shared" si="1"/>
        <v>81714.943155593734</v>
      </c>
      <c r="I38" s="6">
        <f t="shared" si="2"/>
        <v>80000</v>
      </c>
      <c r="J38" s="31">
        <f t="shared" si="3"/>
        <v>1714.9431555937335</v>
      </c>
      <c r="K38" s="6">
        <v>30000</v>
      </c>
      <c r="L38" s="6"/>
      <c r="M38" s="6">
        <v>50000</v>
      </c>
      <c r="N38" s="6">
        <f t="shared" si="4"/>
        <v>0</v>
      </c>
      <c r="O38" s="7">
        <f>TONT20000DEC2015!H38+TONT20000JANV!F38+TONT20000FEV!F38+TONT20000MARS!F38+TONT20000AVRIL!F38+TONT20000MAI!F38+TONT20000JUIN!F38+TONT20000JUIL!F38+TONT20000AOUT!F38+TONT20000SEPT!F38+TONT20000OCT!F38+TONT20000NOV!G38</f>
        <v>240000</v>
      </c>
      <c r="P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Q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R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S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T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U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V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W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X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Y38" s="7">
        <f>TONT20000DEC2015!R38+TONT20000JANV!P38+TONT20000FEV!P38+TONT20000MARS!P38+TONT20000AVRIL!P38+TONT20000MAI!P38+TONT20000JUIN!P38+TONT20000JUIL!P38+TONT20000AOUT!P38+TONT20000SEPT!P38+TONT20000OCT!P38+TONT20000NOV!Q38</f>
        <v>0</v>
      </c>
      <c r="Z38" s="7">
        <f>TONT20000DEC2015!S38+TONT20000JANV!Q38+TONT20000FEV!Q38+TONT20000MARS!Q38+TONT20000AVRIL!Q38+TONT20000MAI!Q38+TONT20000JUIN!Q38+TONT20000JUIL!Q38+TONT20000AOUT!Q38+TONT20000SEPT!Q38+TONT20000OCT!Q38+TONT20000NOV!R38</f>
        <v>0</v>
      </c>
      <c r="AA38" s="7">
        <f>TONT20000DEC2015!T38+TONT20000JANV!R38+TONT20000FEV!R38+TONT20000MARS!R38+TONT20000AVRIL!R38+TONT20000MAI!R38+TONT20000JUIN!R38+TONT20000JUIL!R38+TONT20000AOUT!R38+TONT20000SEPT!R38+TONT20000OCT!R38+TONT20000NOV!S38</f>
        <v>0</v>
      </c>
    </row>
    <row r="39" spans="1:27" x14ac:dyDescent="0.25">
      <c r="A39" s="1" t="s">
        <v>44</v>
      </c>
      <c r="B39" s="1" t="str">
        <f>VLOOKUP(A39,LISTADHERENT!A$5:H$52,2,0)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428632</v>
      </c>
      <c r="F39" s="6">
        <f>TONT20000DEC2015!E39+TONT20000JANV!C39+TONT20000FEV!C39+TONT20000MARS!C39+TONT20000AVRIL!C39+TONT20000MAI!C39+TONT20000JUIN!C39+TONT20000JUIL!C39+TONT20000AOUT!C39+TONT20000SEPT!C39+TONT20000OCT!C39+TONT20000NOV!C39</f>
        <v>45850.632822617255</v>
      </c>
      <c r="G39" s="6">
        <f>TONT20000NOV!E39</f>
        <v>474482.63282261725</v>
      </c>
      <c r="H39" s="6">
        <f t="shared" si="1"/>
        <v>84482.632822617248</v>
      </c>
      <c r="I39" s="6">
        <f t="shared" si="2"/>
        <v>80000</v>
      </c>
      <c r="J39" s="31">
        <f t="shared" si="3"/>
        <v>4482.6328226172482</v>
      </c>
      <c r="K39" s="6">
        <v>30000</v>
      </c>
      <c r="L39" s="6"/>
      <c r="M39" s="6">
        <v>50000</v>
      </c>
      <c r="N39" s="6">
        <f t="shared" si="4"/>
        <v>0</v>
      </c>
      <c r="O39" s="7">
        <f>TONT20000DEC2015!H39+TONT20000JANV!F39+TONT20000FEV!F39+TONT20000MARS!F39+TONT20000AVRIL!F39+TONT20000MAI!F39+TONT20000JUIN!F39+TONT20000JUIL!F39+TONT20000AOUT!F39+TONT20000SEPT!F39+TONT20000OCT!F39+TONT20000NOV!G39</f>
        <v>240000</v>
      </c>
      <c r="P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Q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R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S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T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U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V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W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X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Y39" s="7">
        <f>TONT20000DEC2015!R39+TONT20000JANV!P39+TONT20000FEV!P39+TONT20000MARS!P39+TONT20000AVRIL!P39+TONT20000MAI!P39+TONT20000JUIN!P39+TONT20000JUIL!P39+TONT20000AOUT!P39+TONT20000SEPT!P39+TONT20000OCT!P39+TONT20000NOV!Q39</f>
        <v>0</v>
      </c>
      <c r="Z39" s="7">
        <f>TONT20000DEC2015!S39+TONT20000JANV!Q39+TONT20000FEV!Q39+TONT20000MARS!Q39+TONT20000AVRIL!Q39+TONT20000MAI!Q39+TONT20000JUIN!Q39+TONT20000JUIL!Q39+TONT20000AOUT!Q39+TONT20000SEPT!Q39+TONT20000OCT!Q39+TONT20000NOV!R39</f>
        <v>0</v>
      </c>
      <c r="AA39" s="7">
        <f>TONT20000DEC2015!T39+TONT20000JANV!R39+TONT20000FEV!R39+TONT20000MARS!R39+TONT20000AVRIL!R39+TONT20000MAI!R39+TONT20000JUIN!R39+TONT20000JUIL!R39+TONT20000AOUT!R39+TONT20000SEPT!R39+TONT20000OCT!R39+TONT20000NOV!S39</f>
        <v>0</v>
      </c>
    </row>
    <row r="40" spans="1:27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>
        <v>0</v>
      </c>
      <c r="E40" s="6">
        <f t="shared" si="0"/>
        <v>398873</v>
      </c>
      <c r="F40" s="6">
        <f>TONT20000DEC2015!E40+TONT20000JANV!C40+TONT20000FEV!C40+TONT20000MARS!C40+TONT20000AVRIL!C40+TONT20000MAI!C40+TONT20000JUIN!C40+TONT20000JUIL!C40+TONT20000AOUT!C40+TONT20000SEPT!C40+TONT20000OCT!C40+TONT20000NOV!C40</f>
        <v>15133.120359509419</v>
      </c>
      <c r="G40" s="6">
        <f>TONT20000NOV!E40</f>
        <v>441133.12035950943</v>
      </c>
      <c r="H40" s="6">
        <f t="shared" si="1"/>
        <v>24006.120359509419</v>
      </c>
      <c r="I40" s="6">
        <f t="shared" si="2"/>
        <v>24006</v>
      </c>
      <c r="J40" s="31">
        <f t="shared" si="3"/>
        <v>0.1203595094193588</v>
      </c>
      <c r="K40" s="6"/>
      <c r="L40" s="6"/>
      <c r="M40" s="6">
        <f>50000-25994</f>
        <v>24006</v>
      </c>
      <c r="N40" s="6">
        <f t="shared" si="4"/>
        <v>0</v>
      </c>
      <c r="O40" s="7">
        <f>TONT20000DEC2015!H40+TONT20000JANV!F40+TONT20000FEV!F40+TONT20000MARS!F40+TONT20000AVRIL!F40+TONT20000MAI!F40+TONT20000JUIN!F40+TONT20000JUIL!F40+TONT20000AOUT!F40+TONT20000SEPT!F40+TONT20000OCT!F40+TONT20000NOV!G40</f>
        <v>240000</v>
      </c>
      <c r="P40" s="7">
        <f>TONT20000DEC2015!I40+TONT20000JANV!G40+TONT20000FEV!G40+TONT20000MARS!G40+TONT20000AVRIL!G40+TONT20000MAI!G40+TONT20000JUIN!G40+TONT20000JUIL!G40+TONT20000AOUT!G40+TONT20000SEPT!G40+TONT20000OCT!G40+TONT20000NOV!H40-27127</f>
        <v>8873</v>
      </c>
      <c r="Q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R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S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T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U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V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W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X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Y40" s="7">
        <f>TONT20000DEC2015!R40+TONT20000JANV!P40+TONT20000FEV!P40+TONT20000MARS!P40+TONT20000AVRIL!P40+TONT20000MAI!P40+TONT20000JUIN!P40+TONT20000JUIL!P40+TONT20000AOUT!P40+TONT20000SEPT!P40+TONT20000OCT!P40+TONT20000NOV!Q40</f>
        <v>0</v>
      </c>
      <c r="Z40" s="7">
        <f>TONT20000DEC2015!S40+TONT20000JANV!Q40+TONT20000FEV!Q40+TONT20000MARS!Q40+TONT20000AVRIL!Q40+TONT20000MAI!Q40+TONT20000JUIN!Q40+TONT20000JUIL!Q40+TONT20000AOUT!Q40+TONT20000SEPT!Q40+TONT20000OCT!Q40+TONT20000NOV!R40</f>
        <v>0</v>
      </c>
      <c r="AA40" s="7">
        <f>TONT20000DEC2015!T40+TONT20000JANV!R40+TONT20000FEV!R40+TONT20000MARS!R40+TONT20000AVRIL!R40+TONT20000MAI!R40+TONT20000JUIN!R40+TONT20000JUIL!R40+TONT20000AOUT!R40+TONT20000SEPT!R40+TONT20000OCT!R40+TONT20000NOV!S40</f>
        <v>0</v>
      </c>
    </row>
    <row r="41" spans="1:27" x14ac:dyDescent="0.25">
      <c r="A41" s="1" t="s">
        <v>46</v>
      </c>
      <c r="B41" s="1" t="str">
        <f>VLOOKUP(A41,LISTADHERENT!A$5:H$52,2,0)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426982</v>
      </c>
      <c r="F41" s="6">
        <f>TONT20000DEC2015!E41+TONT20000JANV!C41+TONT20000FEV!C41+TONT20000MARS!C41+TONT20000AVRIL!C41+TONT20000MAI!C41+TONT20000JUIN!C41+TONT20000JUIL!C41+TONT20000AOUT!C41+TONT20000SEPT!C41+TONT20000OCT!C41+TONT20000NOV!C41</f>
        <v>45668.093516602494</v>
      </c>
      <c r="G41" s="6">
        <f>TONT20000NOV!E41</f>
        <v>472650.09351660247</v>
      </c>
      <c r="H41" s="6">
        <f t="shared" si="1"/>
        <v>82650.093516602501</v>
      </c>
      <c r="I41" s="6">
        <f t="shared" si="2"/>
        <v>80000</v>
      </c>
      <c r="J41" s="31">
        <f t="shared" si="3"/>
        <v>2650.093516602501</v>
      </c>
      <c r="K41" s="6">
        <v>30000</v>
      </c>
      <c r="L41" s="6"/>
      <c r="M41" s="6">
        <v>50000</v>
      </c>
      <c r="N41" s="6">
        <f t="shared" si="4"/>
        <v>0</v>
      </c>
      <c r="O41" s="7">
        <f>TONT20000DEC2015!H41+TONT20000JANV!F41+TONT20000FEV!F41+TONT20000MARS!F41+TONT20000AVRIL!F41+TONT20000MAI!F41+TONT20000JUIN!F41+TONT20000JUIL!F41+TONT20000AOUT!F41+TONT20000SEPT!F41+TONT20000OCT!F41+TONT20000NOV!G41</f>
        <v>240000</v>
      </c>
      <c r="P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Q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R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S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T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U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V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W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X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Y41" s="7">
        <f>TONT20000DEC2015!R41+TONT20000JANV!P41+TONT20000FEV!P41+TONT20000MARS!P41+TONT20000AVRIL!P41+TONT20000MAI!P41+TONT20000JUIN!P41+TONT20000JUIL!P41+TONT20000AOUT!P41+TONT20000SEPT!P41+TONT20000OCT!P41+TONT20000NOV!Q41</f>
        <v>0</v>
      </c>
      <c r="Z41" s="7">
        <f>TONT20000DEC2015!S41+TONT20000JANV!Q41+TONT20000FEV!Q41+TONT20000MARS!Q41+TONT20000AVRIL!Q41+TONT20000MAI!Q41+TONT20000JUIN!Q41+TONT20000JUIL!Q41+TONT20000AOUT!Q41+TONT20000SEPT!Q41+TONT20000OCT!Q41+TONT20000NOV!R41</f>
        <v>0</v>
      </c>
      <c r="AA41" s="7">
        <f>TONT20000DEC2015!T41+TONT20000JANV!R41+TONT20000FEV!R41+TONT20000MARS!R41+TONT20000AVRIL!R41+TONT20000MAI!R41+TONT20000JUIN!R41+TONT20000JUIL!R41+TONT20000AOUT!R41+TONT20000SEPT!R41+TONT20000OCT!R41+TONT20000NOV!S41</f>
        <v>0</v>
      </c>
    </row>
    <row r="42" spans="1:27" x14ac:dyDescent="0.25">
      <c r="A42" s="1" t="s">
        <v>47</v>
      </c>
      <c r="B42" s="1" t="str">
        <f>VLOOKUP(A42,LISTADHERENT!A$5:H$52,2,0)</f>
        <v>SIME MATHIEU</v>
      </c>
      <c r="C42" s="6">
        <f>VLOOKUP(A42,FONDSDECAISSE!A$5:C$52,3,0)</f>
        <v>390000</v>
      </c>
      <c r="D42" s="6">
        <v>636</v>
      </c>
      <c r="E42" s="6">
        <f t="shared" si="0"/>
        <v>426636</v>
      </c>
      <c r="F42" s="6">
        <f>TONT20000DEC2015!E42+TONT20000JANV!C42+TONT20000FEV!C42+TONT20000MARS!C42+TONT20000AVRIL!C42+TONT20000MAI!C42+TONT20000JUIN!C42+TONT20000JUIL!C42+TONT20000AOUT!C42+TONT20000SEPT!C42+TONT20000OCT!C42+TONT20000NOV!C42</f>
        <v>45629.815577280613</v>
      </c>
      <c r="G42" s="6">
        <f>TONT20000NOV!E42</f>
        <v>472265.81557728071</v>
      </c>
      <c r="H42" s="6">
        <f t="shared" si="1"/>
        <v>82265.81557728062</v>
      </c>
      <c r="I42" s="6">
        <f t="shared" si="2"/>
        <v>80000</v>
      </c>
      <c r="J42" s="31">
        <f t="shared" si="3"/>
        <v>2265.8155772806203</v>
      </c>
      <c r="K42" s="6">
        <v>30000</v>
      </c>
      <c r="L42" s="6"/>
      <c r="M42" s="6">
        <v>50000</v>
      </c>
      <c r="N42" s="6">
        <f t="shared" si="4"/>
        <v>0</v>
      </c>
      <c r="O42" s="7">
        <f>TONT20000DEC2015!H42+TONT20000JANV!F42+TONT20000FEV!F42+TONT20000MARS!F42+TONT20000AVRIL!F42+TONT20000MAI!F42+TONT20000JUIN!F42+TONT20000JUIL!F42+TONT20000AOUT!F42+TONT20000SEPT!F42+TONT20000OCT!F42+TONT20000NOV!G42</f>
        <v>240000</v>
      </c>
      <c r="P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Q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R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S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T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U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V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W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X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Y42" s="7">
        <f>TONT20000DEC2015!R42+TONT20000JANV!P42+TONT20000FEV!P42+TONT20000MARS!P42+TONT20000AVRIL!P42+TONT20000MAI!P42+TONT20000JUIN!P42+TONT20000JUIL!P42+TONT20000AOUT!P42+TONT20000SEPT!P42+TONT20000OCT!P42+TONT20000NOV!Q42</f>
        <v>0</v>
      </c>
      <c r="Z42" s="7">
        <f>TONT20000DEC2015!S42+TONT20000JANV!Q42+TONT20000FEV!Q42+TONT20000MARS!Q42+TONT20000AVRIL!Q42+TONT20000MAI!Q42+TONT20000JUIN!Q42+TONT20000JUIL!Q42+TONT20000AOUT!Q42+TONT20000SEPT!Q42+TONT20000OCT!Q42+TONT20000NOV!R42</f>
        <v>0</v>
      </c>
      <c r="AA42" s="7">
        <f>TONT20000DEC2015!T42+TONT20000JANV!R42+TONT20000FEV!R42+TONT20000MARS!R42+TONT20000AVRIL!R42+TONT20000MAI!R42+TONT20000JUIN!R42+TONT20000JUIL!R42+TONT20000AOUT!R42+TONT20000SEPT!R42+TONT20000OCT!R42+TONT20000NOV!S42</f>
        <v>0</v>
      </c>
    </row>
    <row r="43" spans="1:27" s="11" customFormat="1" x14ac:dyDescent="0.25">
      <c r="A43" s="29" t="s">
        <v>48</v>
      </c>
      <c r="B43" s="29" t="str">
        <f>VLOOKUP(A43,LISTADHERENT!A$5:H$52,2,0)</f>
        <v>SIME PIERRE</v>
      </c>
      <c r="C43" s="30">
        <f>VLOOKUP(A43,FONDSDECAISSE!A$5:C$52,3,0)</f>
        <v>390000</v>
      </c>
      <c r="D43" s="30">
        <v>146079</v>
      </c>
      <c r="E43" s="30">
        <f t="shared" si="0"/>
        <v>1147306</v>
      </c>
      <c r="F43" s="30">
        <f>TONT20000DEC2015!E43+TONT20000JANV!C43+TONT20000FEV!C43+TONT20000MARS!C43+TONT20000AVRIL!C43+TONT20000MAI!C43+TONT20000JUIN!C43+TONT20000JUIL!C43+TONT20000AOUT!C43+TONT20000SEPT!C43+TONT20000OCT!C43+TONT20000NOV!C43</f>
        <v>115833.51968106396</v>
      </c>
      <c r="G43" s="30">
        <f>TONT20000NOV!E43</f>
        <v>1263139.5196810639</v>
      </c>
      <c r="H43" s="6">
        <f t="shared" si="1"/>
        <v>873139.51968106395</v>
      </c>
      <c r="I43" s="6">
        <f t="shared" si="2"/>
        <v>80000</v>
      </c>
      <c r="J43" s="31">
        <f t="shared" si="3"/>
        <v>793139.51968106395</v>
      </c>
      <c r="K43" s="6">
        <v>30000</v>
      </c>
      <c r="L43" s="30"/>
      <c r="M43" s="30">
        <v>50000</v>
      </c>
      <c r="N43" s="30">
        <f t="shared" si="4"/>
        <v>0</v>
      </c>
      <c r="O43" s="10">
        <f>TONT20000DEC2015!H43+TONT20000JANV!F43+TONT20000FEV!F43+TONT20000MARS!F43+TONT20000AVRIL!F43+TONT20000MAI!F43+TONT20000JUIN!F43+TONT20000JUIL!F43+TONT20000AOUT!F43+TONT20000SEPT!F43+TONT20000OCT!F43+TONT20000NOV!G43</f>
        <v>1130000</v>
      </c>
      <c r="P43" s="10">
        <f>TONT20000DEC2015!I43+TONT20000JANV!G43+TONT20000FEV!G43+TONT20000MARS!G43+TONT20000AVRIL!G43+TONT20000MAI!G43+TONT20000JUIN!G43+TONT20000JUIL!G43+TONT20000AOUT!G43+TONT20000SEPT!G43+TONT20000OCT!G43+TONT20000NOV!H43-854773+550000</f>
        <v>611227</v>
      </c>
      <c r="Q43" s="10">
        <f>TONT20000DEC2015!J43+TONT20000JANV!H43+TONT20000FEV!H43+TONT20000MARS!H43+TONT20000AVRIL!H43+TONT20000MAI!H43+TONT20000JUIN!H43+TONT20000JUIL!H43+TONT20000AOUT!H43+TONT20000SEPT!H43+TONT20000OCT!H43+TONT20000NOV!I43</f>
        <v>6000</v>
      </c>
      <c r="R43" s="10">
        <f>TONT20000DEC2015!K43+TONT20000JANV!I43+TONT20000FEV!I43+TONT20000MARS!I43+TONT20000AVRIL!I43+TONT20000MAI!I43+TONT20000JUIN!I43+TONT20000JUIL!I43+TONT20000AOUT!I43+TONT20000SEPT!I43+TONT20000OCT!I43+TONT20000NOV!J43</f>
        <v>12000</v>
      </c>
      <c r="S43" s="10">
        <f>TONT20000DEC2015!L43+TONT20000JANV!J43+TONT20000FEV!J43+TONT20000MARS!J43+TONT20000AVRIL!J43+TONT20000MAI!J43+TONT20000JUIN!J43+TONT20000JUIL!J43+TONT20000AOUT!J43+TONT20000SEPT!J43+TONT20000OCT!J43+TONT20000NOV!K43</f>
        <v>30000</v>
      </c>
      <c r="T43" s="10">
        <f>TONT20000DEC2015!M43+TONT20000JANV!K43+TONT20000FEV!K43+TONT20000MARS!K43+TONT20000AVRIL!K43+TONT20000MAI!K43+TONT20000JUIN!K43+TONT20000JUIL!K43+TONT20000AOUT!K43+TONT20000SEPT!K43+TONT20000OCT!K43+TONT20000NOV!L43</f>
        <v>10000</v>
      </c>
      <c r="U43" s="10">
        <f>TONT20000DEC2015!N43+TONT20000JANV!L43+TONT20000FEV!L43+TONT20000MARS!L43+TONT20000AVRIL!L43+TONT20000MAI!L43+TONT20000JUIN!L43+TONT20000JUIL!L43+TONT20000AOUT!L43+TONT20000SEPT!L43+TONT20000OCT!L43+TONT20000NOV!M43</f>
        <v>156000</v>
      </c>
      <c r="V43" s="10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W43" s="10">
        <f>TONT20000DEC2015!P43+TONT20000JANV!N43+TONT20000FEV!N43+TONT20000MARS!N43+TONT20000AVRIL!N43+TONT20000MAI!N43+TONT20000JUIN!N43+TONT20000JUIL!N43+TONT20000AOUT!N43+TONT20000SEPT!N43+TONT20000OCT!N43+TONT20000NOV!O43</f>
        <v>84600</v>
      </c>
      <c r="X43" s="10">
        <f>TONT20000DEC2015!Q43+TONT20000JANV!O43+TONT20000FEV!O43+TONT20000MARS!O43+TONT20000AVRIL!O43+TONT20000MAI!O43+TONT20000JUIN!O43+TONT20000JUIL!O43+TONT20000AOUT!O43+TONT20000SEPT!O43+TONT20000OCT!O43+TONT20000NOV!P43</f>
        <v>540000</v>
      </c>
      <c r="Y43" s="10">
        <f>TONT20000DEC2015!R43+TONT20000JANV!P43+TONT20000FEV!P43+TONT20000MARS!P43+TONT20000AVRIL!P43+TONT20000MAI!P43+TONT20000JUIN!P43+TONT20000JUIL!P43+TONT20000AOUT!P43+TONT20000SEPT!P43+TONT20000OCT!P43+TONT20000NOV!Q43</f>
        <v>0</v>
      </c>
      <c r="Z43" s="10">
        <f>TONT20000DEC2015!S43+TONT20000JANV!Q43+TONT20000FEV!Q43+TONT20000MARS!Q43+TONT20000AVRIL!Q43+TONT20000MAI!Q43+TONT20000JUIN!Q43+TONT20000JUIL!Q43+TONT20000AOUT!Q43+TONT20000SEPT!Q43+TONT20000OCT!Q43+TONT20000NOV!R43</f>
        <v>0</v>
      </c>
      <c r="AA43" s="10">
        <f>TONT20000DEC2015!T43+TONT20000JANV!R43+TONT20000FEV!R43+TONT20000MARS!R43+TONT20000AVRIL!R43+TONT20000MAI!R43+TONT20000JUIN!R43+TONT20000JUIL!R43+TONT20000AOUT!R43+TONT20000SEPT!R43+TONT20000OCT!R43+TONT20000NOV!S43</f>
        <v>0</v>
      </c>
    </row>
    <row r="44" spans="1:27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>
        <v>0</v>
      </c>
      <c r="E44" s="6">
        <f t="shared" si="0"/>
        <v>426000</v>
      </c>
      <c r="F44" s="6">
        <f>TONT20000DEC2015!E44+TONT20000JANV!C44+TONT20000FEV!C44+TONT20000MARS!C44+TONT20000AVRIL!C44+TONT20000MAI!C44+TONT20000JUIN!C44+TONT20000JUIL!C44+TONT20000AOUT!C44+TONT20000SEPT!C44+TONT20000OCT!C44+TONT20000NOV!C44</f>
        <v>15133.120359509419</v>
      </c>
      <c r="G44" s="6">
        <f>TONT20000NOV!E44</f>
        <v>441133.12035950943</v>
      </c>
      <c r="H44" s="6">
        <f t="shared" si="1"/>
        <v>51133.120359509419</v>
      </c>
      <c r="I44" s="6">
        <f t="shared" si="2"/>
        <v>50000</v>
      </c>
      <c r="J44" s="31">
        <f t="shared" si="3"/>
        <v>1133.1203595094194</v>
      </c>
      <c r="K44" s="6"/>
      <c r="L44" s="6"/>
      <c r="M44" s="6">
        <v>50000</v>
      </c>
      <c r="N44" s="6">
        <f t="shared" si="4"/>
        <v>0</v>
      </c>
      <c r="O44" s="7">
        <f>TONT20000DEC2015!H44+TONT20000JANV!F44+TONT20000FEV!F44+TONT20000MARS!F44+TONT20000AVRIL!F44+TONT20000MAI!F44+TONT20000JUIN!F44+TONT20000JUIL!F44+TONT20000AOUT!F44+TONT20000SEPT!F44+TONT20000OCT!F44+TONT20000NOV!G44</f>
        <v>240000</v>
      </c>
      <c r="P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Q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R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S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T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U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V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W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X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Y44" s="7">
        <f>TONT20000DEC2015!R44+TONT20000JANV!P44+TONT20000FEV!P44+TONT20000MARS!P44+TONT20000AVRIL!P44+TONT20000MAI!P44+TONT20000JUIN!P44+TONT20000JUIL!P44+TONT20000AOUT!P44+TONT20000SEPT!P44+TONT20000OCT!P44+TONT20000NOV!Q44</f>
        <v>0</v>
      </c>
      <c r="Z44" s="7">
        <f>TONT20000DEC2015!S44+TONT20000JANV!Q44+TONT20000FEV!Q44+TONT20000MARS!Q44+TONT20000AVRIL!Q44+TONT20000MAI!Q44+TONT20000JUIN!Q44+TONT20000JUIL!Q44+TONT20000AOUT!Q44+TONT20000SEPT!Q44+TONT20000OCT!Q44+TONT20000NOV!R44</f>
        <v>0</v>
      </c>
      <c r="AA44" s="7">
        <f>TONT20000DEC2015!T44+TONT20000JANV!R44+TONT20000FEV!R44+TONT20000MARS!R44+TONT20000AVRIL!R44+TONT20000MAI!R44+TONT20000JUIN!R44+TONT20000JUIL!R44+TONT20000AOUT!R44+TONT20000SEPT!R44+TONT20000OCT!R44+TONT20000NOV!S44</f>
        <v>0</v>
      </c>
    </row>
    <row r="45" spans="1:27" x14ac:dyDescent="0.25">
      <c r="A45" s="1" t="s">
        <v>50</v>
      </c>
      <c r="B45" s="1" t="str">
        <f>VLOOKUP(A45,LISTADHERENT!A$5:H$52,2,0)</f>
        <v>TCHOUAMOU JEAN PAUL</v>
      </c>
      <c r="C45" s="6">
        <f>VLOOKUP(A45,FONDSDECAISSE!A$5:C$52,3,0)</f>
        <v>0</v>
      </c>
      <c r="D45" s="6">
        <v>0</v>
      </c>
      <c r="E45" s="6">
        <f t="shared" si="0"/>
        <v>12323</v>
      </c>
      <c r="F45" s="6">
        <f>TONT20000DEC2015!E45+TONT20000JANV!C45+TONT20000FEV!C45+TONT20000MARS!C45+TONT20000AVRIL!C45+TONT20000MAI!C45+TONT20000JUIN!C45+TONT20000JUIL!C45+TONT20000AOUT!C45+TONT20000SEPT!C45+TONT20000OCT!C45+TONT20000NOV!C45</f>
        <v>2413.8008231081076</v>
      </c>
      <c r="G45" s="6">
        <f>TONT20000NOV!E45</f>
        <v>38413.800823108104</v>
      </c>
      <c r="H45" s="6">
        <f t="shared" si="1"/>
        <v>14736.800823108108</v>
      </c>
      <c r="I45" s="6">
        <f t="shared" si="2"/>
        <v>14737</v>
      </c>
      <c r="J45" s="31">
        <f t="shared" si="3"/>
        <v>-0.19917689189242083</v>
      </c>
      <c r="K45" s="6"/>
      <c r="L45" s="6"/>
      <c r="M45" s="6">
        <f>50000-35263</f>
        <v>14737</v>
      </c>
      <c r="N45" s="6">
        <f t="shared" si="4"/>
        <v>0</v>
      </c>
      <c r="O45" s="7">
        <f>TONT20000DEC2015!H45+TONT20000JANV!F45+TONT20000FEV!F45+TONT20000MARS!F45+TONT20000AVRIL!F45+TONT20000MAI!F45+TONT20000JUIN!F45+TONT20000JUIL!F45+TONT20000AOUT!F45+TONT20000SEPT!F45+TONT20000OCT!F45+TONT20000NOV!G45</f>
        <v>290000</v>
      </c>
      <c r="P45" s="7">
        <f>TONT20000DEC2015!I45+TONT20000JANV!G45+TONT20000FEV!G45+TONT20000MARS!G45+TONT20000AVRIL!G45+TONT20000MAI!G45+TONT20000JUIN!G45+TONT20000JUIL!G45+TONT20000AOUT!G45+TONT20000SEPT!G45+TONT20000OCT!G45+TONT20000NOV!H45-23677</f>
        <v>12323</v>
      </c>
      <c r="Q45" s="7">
        <f>TONT20000DEC2015!J45+TONT20000JANV!H45+TONT20000FEV!H45+TONT20000MARS!H45+TONT20000AVRIL!H45+TONT20000MAI!H45+TONT20000JUIN!H45+TONT20000JUIL!H45+TONT20000AOUT!H45+TONT20000SEPT!H45+TONT20000OCT!H45+TONT20000NOV!I45</f>
        <v>6000</v>
      </c>
      <c r="R45" s="7">
        <f>TONT20000DEC2015!K45+TONT20000JANV!I45+TONT20000FEV!I45+TONT20000MARS!I45+TONT20000AVRIL!I45+TONT20000MAI!I45+TONT20000JUIN!I45+TONT20000JUIL!I45+TONT20000AOUT!I45+TONT20000SEPT!I45+TONT20000OCT!I45+TONT20000NOV!J45</f>
        <v>12000</v>
      </c>
      <c r="S45" s="7">
        <f>TONT20000DEC2015!L45+TONT20000JANV!J45+TONT20000FEV!J45+TONT20000MARS!J45+TONT20000AVRIL!J45+TONT20000MAI!J45+TONT20000JUIN!J45+TONT20000JUIL!J45+TONT20000AOUT!J45+TONT20000SEPT!J45+TONT20000OCT!J45+TONT20000NOV!K45</f>
        <v>30000</v>
      </c>
      <c r="T45" s="7">
        <f>TONT20000DEC2015!M45+TONT20000JANV!K45+TONT20000FEV!K45+TONT20000MARS!K45+TONT20000AVRIL!K45+TONT20000MAI!K45+TONT20000JUIN!K45+TONT20000JUIL!K45+TONT20000AOUT!K45+TONT20000SEPT!K45+TONT20000OCT!K45+TONT20000NOV!L45</f>
        <v>50000</v>
      </c>
      <c r="U45" s="7">
        <f>TONT20000DEC2015!N45+TONT20000JANV!L45+TONT20000FEV!L45+TONT20000MARS!L45+TONT20000AVRIL!L45+TONT20000MAI!L45+TONT20000JUIN!L45+TONT20000JUIL!L45+TONT20000AOUT!L45+TONT20000SEPT!L45+TONT20000OCT!L45+TONT20000NOV!M45</f>
        <v>156000</v>
      </c>
      <c r="V45" s="7">
        <f>TONT20000DEC2015!O45+TONT20000JANV!M45+TONT20000FEV!M45+TONT20000MARS!M45+TONT20000AVRIL!M45+TONT20000MAI!M45+TONT20000JUIN!M45+TONT20000JUIL!M45+TONT20000AOUT!M45+TONT20000SEPT!M45+TONT20000OCT!M45+TONT20000NOV!N45</f>
        <v>0</v>
      </c>
      <c r="W45" s="7">
        <f>TONT20000DEC2015!P45+TONT20000JANV!N45+TONT20000FEV!N45+TONT20000MARS!N45+TONT20000AVRIL!N45+TONT20000MAI!N45+TONT20000JUIN!N45+TONT20000JUIL!N45+TONT20000AOUT!N45+TONT20000SEPT!N45+TONT20000OCT!N45+TONT20000NOV!O45</f>
        <v>0</v>
      </c>
      <c r="X45" s="7">
        <f>TONT20000DEC2015!Q45+TONT20000JANV!O45+TONT20000FEV!O45+TONT20000MARS!O45+TONT20000AVRIL!O45+TONT20000MAI!O45+TONT20000JUIN!O45+TONT20000JUIL!O45+TONT20000AOUT!O45+TONT20000SEPT!O45+TONT20000OCT!O45+TONT20000NOV!P45</f>
        <v>0</v>
      </c>
      <c r="Y45" s="7">
        <f>TONT20000DEC2015!R45+TONT20000JANV!P45+TONT20000FEV!P45+TONT20000MARS!P45+TONT20000AVRIL!P45+TONT20000MAI!P45+TONT20000JUIN!P45+TONT20000JUIL!P45+TONT20000AOUT!P45+TONT20000SEPT!P45+TONT20000OCT!P45+TONT20000NOV!Q45</f>
        <v>0</v>
      </c>
      <c r="Z45" s="7">
        <f>TONT20000DEC2015!S45+TONT20000JANV!Q45+TONT20000FEV!Q45+TONT20000MARS!Q45+TONT20000AVRIL!Q45+TONT20000MAI!Q45+TONT20000JUIN!Q45+TONT20000JUIL!Q45+TONT20000AOUT!Q45+TONT20000SEPT!Q45+TONT20000OCT!Q45+TONT20000NOV!R45</f>
        <v>0</v>
      </c>
      <c r="AA45" s="7">
        <f>TONT20000DEC2015!T45+TONT20000JANV!R45+TONT20000FEV!R45+TONT20000MARS!R45+TONT20000AVRIL!R45+TONT20000MAI!R45+TONT20000JUIN!R45+TONT20000JUIL!R45+TONT20000AOUT!R45+TONT20000SEPT!R45+TONT20000OCT!R45+TONT20000NOV!S45</f>
        <v>0</v>
      </c>
    </row>
    <row r="46" spans="1:27" x14ac:dyDescent="0.25">
      <c r="A46" s="1" t="s">
        <v>51</v>
      </c>
      <c r="B46" s="1" t="str">
        <f>VLOOKUP(A46,LISTADHERENT!A$5:H$52,2,0)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432437</v>
      </c>
      <c r="F46" s="6">
        <f>TONT20000DEC2015!E46+TONT20000JANV!C46+TONT20000FEV!C46+TONT20000MARS!C46+TONT20000AVRIL!C46+TONT20000MAI!C46+TONT20000JUIN!C46+TONT20000JUIL!C46+TONT20000AOUT!C46+TONT20000SEPT!C46+TONT20000OCT!C46+TONT20000NOV!C46</f>
        <v>46271.579525275563</v>
      </c>
      <c r="G46" s="6">
        <f>TONT20000NOV!E46</f>
        <v>478708.57952527562</v>
      </c>
      <c r="H46" s="6">
        <f t="shared" si="1"/>
        <v>88708.579525275563</v>
      </c>
      <c r="I46" s="6">
        <f t="shared" si="2"/>
        <v>80000</v>
      </c>
      <c r="J46" s="31">
        <f t="shared" si="3"/>
        <v>8708.5795252755634</v>
      </c>
      <c r="K46" s="6">
        <v>30000</v>
      </c>
      <c r="L46" s="6"/>
      <c r="M46" s="6">
        <v>50000</v>
      </c>
      <c r="N46" s="6">
        <f t="shared" si="4"/>
        <v>0</v>
      </c>
      <c r="O46" s="7">
        <f>TONT20000DEC2015!H46+TONT20000JANV!F46+TONT20000FEV!F46+TONT20000MARS!F46+TONT20000AVRIL!F46+TONT20000MAI!F46+TONT20000JUIN!F46+TONT20000JUIL!F46+TONT20000AOUT!F46+TONT20000SEPT!F46+TONT20000OCT!F46+TONT20000NOV!G46</f>
        <v>243000</v>
      </c>
      <c r="P46" s="7">
        <f>TONT20000DEC2015!I46+TONT20000JANV!G46+TONT20000FEV!G46+TONT20000MARS!G46+TONT20000AVRIL!G46+TONT20000MAI!G46+TONT20000JUIN!G46+TONT20000JUIL!G46+TONT20000AOUT!G46+TONT20000SEPT!G46+TONT20000OCT!G46+TONT20000NOV!H46</f>
        <v>39000</v>
      </c>
      <c r="Q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R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S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T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U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V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W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X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Y46" s="7">
        <f>TONT20000DEC2015!R46+TONT20000JANV!P46+TONT20000FEV!P46+TONT20000MARS!P46+TONT20000AVRIL!P46+TONT20000MAI!P46+TONT20000JUIN!P46+TONT20000JUIL!P46+TONT20000AOUT!P46+TONT20000SEPT!P46+TONT20000OCT!P46+TONT20000NOV!Q46</f>
        <v>94825</v>
      </c>
      <c r="Z46" s="7">
        <f>TONT20000DEC2015!S46+TONT20000JANV!Q46+TONT20000FEV!Q46+TONT20000MARS!Q46+TONT20000AVRIL!Q46+TONT20000MAI!Q46+TONT20000JUIN!Q46+TONT20000JUIL!Q46+TONT20000AOUT!Q46+TONT20000SEPT!Q46+TONT20000OCT!Q46+TONT20000NOV!R46</f>
        <v>0</v>
      </c>
      <c r="AA46" s="7">
        <f>TONT20000DEC2015!T46+TONT20000JANV!R46+TONT20000FEV!R46+TONT20000MARS!R46+TONT20000AVRIL!R46+TONT20000MAI!R46+TONT20000JUIN!R46+TONT20000JUIL!R46+TONT20000AOUT!R46+TONT20000SEPT!R46+TONT20000OCT!R46+TONT20000NOV!S46</f>
        <v>0</v>
      </c>
    </row>
    <row r="47" spans="1:27" x14ac:dyDescent="0.25">
      <c r="A47" s="1" t="s">
        <v>52</v>
      </c>
      <c r="B47" s="1" t="str">
        <f>VLOOKUP(A47,LISTADHERENT!A$5:H$52,2,0)</f>
        <v>TCHOUANTE FRANCOIS</v>
      </c>
      <c r="C47" s="6">
        <v>325719</v>
      </c>
      <c r="D47" s="6">
        <v>4925</v>
      </c>
      <c r="E47" s="6">
        <f t="shared" si="0"/>
        <v>390644</v>
      </c>
      <c r="F47" s="6">
        <f>TONT20000DEC2015!E47+TONT20000JANV!C47+TONT20000FEV!C47+TONT20000MARS!C47+TONT20000AVRIL!C47+TONT20000MAI!C47+TONT20000JUIN!C47+TONT20000JUIL!C47+TONT20000AOUT!C47+TONT20000SEPT!C47+TONT20000OCT!C47+TONT20000NOV!C47</f>
        <v>35843.529972326905</v>
      </c>
      <c r="G47" s="6">
        <f>TONT20000NOV!E47</f>
        <v>426487.52997232694</v>
      </c>
      <c r="H47" s="6">
        <f t="shared" si="1"/>
        <v>100768.52997232691</v>
      </c>
      <c r="I47" s="6">
        <f t="shared" si="2"/>
        <v>80000</v>
      </c>
      <c r="J47" s="31">
        <f t="shared" si="3"/>
        <v>20768.529972326913</v>
      </c>
      <c r="K47" s="6">
        <v>30000</v>
      </c>
      <c r="L47" s="6"/>
      <c r="M47" s="6">
        <v>50000</v>
      </c>
      <c r="N47" s="6">
        <f t="shared" si="4"/>
        <v>0</v>
      </c>
      <c r="O47" s="7">
        <f>TONT20000DEC2015!H47+TONT20000JANV!F47+TONT20000FEV!F47+TONT20000MARS!F47+TONT20000AVRIL!F47+TONT20000MAI!F47+TONT20000JUIN!F47+TONT20000JUIL!F47+TONT20000AOUT!F47+TONT20000SEPT!F47+TONT20000OCT!F47+TONT20000NOV!G47</f>
        <v>264000</v>
      </c>
      <c r="P47" s="7">
        <f>TONT20000DEC2015!I47+TONT20000JANV!G47+TONT20000FEV!G47+TONT20000MARS!G47+TONT20000AVRIL!G47+TONT20000MAI!G47+TONT20000JUIN!G47+TONT20000JUIL!G47+TONT20000AOUT!G47+TONT20000SEPT!G47+TONT20000OCT!G47+TONT20000NOV!H47</f>
        <v>60000</v>
      </c>
      <c r="Q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R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S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T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U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V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W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X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Y47" s="7">
        <f>TONT20000DEC2015!R47+TONT20000JANV!P47+TONT20000FEV!P47+TONT20000MARS!P47+TONT20000AVRIL!P47+TONT20000MAI!P47+TONT20000JUIN!P47+TONT20000JUIL!P47+TONT20000AOUT!P47+TONT20000SEPT!P47+TONT20000OCT!P47+TONT20000NOV!Q47</f>
        <v>0</v>
      </c>
      <c r="Z47" s="7">
        <f>TONT20000DEC2015!S47+TONT20000JANV!Q47+TONT20000FEV!Q47+TONT20000MARS!Q47+TONT20000AVRIL!Q47+TONT20000MAI!Q47+TONT20000JUIN!Q47+TONT20000JUIL!Q47+TONT20000AOUT!Q47+TONT20000SEPT!Q47+TONT20000OCT!Q47+TONT20000NOV!R47</f>
        <v>0</v>
      </c>
      <c r="AA47" s="7">
        <f>TONT20000DEC2015!T47+TONT20000JANV!R47+TONT20000FEV!R47+TONT20000MARS!R47+TONT20000AVRIL!R47+TONT20000MAI!R47+TONT20000JUIN!R47+TONT20000JUIL!R47+TONT20000AOUT!R47+TONT20000SEPT!R47+TONT20000OCT!R47+TONT20000NOV!S47</f>
        <v>0</v>
      </c>
    </row>
    <row r="48" spans="1:27" x14ac:dyDescent="0.25">
      <c r="A48" s="1" t="s">
        <v>53</v>
      </c>
      <c r="B48" s="1" t="str">
        <f>VLOOKUP(A48,LISTADHERENT!A$5:H$52,2,0)</f>
        <v>TCHOUTOU NANA CLAUDE</v>
      </c>
      <c r="C48" s="6">
        <f>VLOOKUP(A48,FONDSDECAISSE!A$5:C$52,3,0)</f>
        <v>0</v>
      </c>
      <c r="D48" s="6">
        <v>0</v>
      </c>
      <c r="E48" s="6">
        <f t="shared" si="0"/>
        <v>14126</v>
      </c>
      <c r="F48" s="6">
        <f>TONT20000DEC2015!E48+TONT20000JANV!C48+TONT20000FEV!C48+TONT20000MARS!C48+TONT20000AVRIL!C48+TONT20000MAI!C48+TONT20000JUIN!C48+TONT20000JUIL!C48+TONT20000AOUT!C48+TONT20000SEPT!C48+TONT20000OCT!C48+TONT20000NOV!C48</f>
        <v>1378.2927711448449</v>
      </c>
      <c r="G48" s="6">
        <f>TONT20000NOV!E48</f>
        <v>25378.292771144846</v>
      </c>
      <c r="H48" s="6">
        <f t="shared" si="1"/>
        <v>15504.292771144845</v>
      </c>
      <c r="I48" s="6">
        <f t="shared" si="2"/>
        <v>16000</v>
      </c>
      <c r="J48" s="31">
        <f t="shared" si="3"/>
        <v>-495.70722885515534</v>
      </c>
      <c r="K48" s="6"/>
      <c r="L48" s="6"/>
      <c r="M48" s="6"/>
      <c r="N48" s="6">
        <f t="shared" si="4"/>
        <v>16000</v>
      </c>
      <c r="O48" s="7">
        <f>TONT20000DEC2015!H48+TONT20000JANV!F48+TONT20000FEV!F48+TONT20000MARS!F48+TONT20000AVRIL!F48+TONT20000MAI!F48+TONT20000JUIN!F48+TONT20000JUIL!F48+TONT20000AOUT!F48+TONT20000SEPT!F48+TONT20000OCT!F48+TONT20000NOV!G48</f>
        <v>160000</v>
      </c>
      <c r="P48" s="7">
        <f>TONT20000DEC2015!I48+TONT20000JANV!G48+TONT20000FEV!G48+TONT20000MARS!G48+TONT20000AVRIL!G48+TONT20000MAI!G48+TONT20000JUIN!G48+TONT20000JUIL!G48+TONT20000AOUT!G48+TONT20000SEPT!G48+TONT20000OCT!G48+TONT20000NOV!H48-9874</f>
        <v>14126</v>
      </c>
      <c r="Q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R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S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T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U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V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W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X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Y48" s="7">
        <f>TONT20000DEC2015!R48+TONT20000JANV!P48+TONT20000FEV!P48+TONT20000MARS!P48+TONT20000AVRIL!P48+TONT20000MAI!P48+TONT20000JUIN!P48+TONT20000JUIL!P48+TONT20000AOUT!P48+TONT20000SEPT!P48+TONT20000OCT!P48+TONT20000NOV!Q48</f>
        <v>0</v>
      </c>
      <c r="Z48" s="7">
        <f>TONT20000DEC2015!S48+TONT20000JANV!Q48+TONT20000FEV!Q48+TONT20000MARS!Q48+TONT20000AVRIL!Q48+TONT20000MAI!Q48+TONT20000JUIN!Q48+TONT20000JUIL!Q48+TONT20000AOUT!Q48+TONT20000SEPT!Q48+TONT20000OCT!Q48+TONT20000NOV!R48</f>
        <v>0</v>
      </c>
      <c r="AA48" s="7">
        <f>TONT20000DEC2015!T48+TONT20000JANV!R48+TONT20000FEV!R48+TONT20000MARS!R48+TONT20000AVRIL!R48+TONT20000MAI!R48+TONT20000JUIN!R48+TONT20000JUIL!R48+TONT20000AOUT!R48+TONT20000SEPT!R48+TONT20000OCT!R48+TONT20000NOV!S48</f>
        <v>0</v>
      </c>
    </row>
    <row r="49" spans="1:27" x14ac:dyDescent="0.25">
      <c r="A49" s="1" t="s">
        <v>54</v>
      </c>
      <c r="B49" s="1" t="str">
        <f>VLOOKUP(A49,LISTADHERENT!A$5:H$52,2,0)</f>
        <v>TIEYAM ERNEST</v>
      </c>
      <c r="C49" s="6">
        <f>VLOOKUP(A49,FONDSDECAISSE!A$5:C$52,3,0)</f>
        <v>390000</v>
      </c>
      <c r="D49" s="6">
        <v>804</v>
      </c>
      <c r="E49" s="6">
        <f t="shared" si="0"/>
        <v>426804</v>
      </c>
      <c r="F49" s="6">
        <f>TONT20000DEC2015!E49+TONT20000JANV!C49+TONT20000FEV!C49+TONT20000MARS!C49+TONT20000AVRIL!C49+TONT20000MAI!C49+TONT20000JUIN!C49+TONT20000JUIL!C49+TONT20000AOUT!C49+TONT20000SEPT!C49+TONT20000OCT!C49+TONT20000NOV!C49</f>
        <v>45532.230440409854</v>
      </c>
      <c r="G49" s="6">
        <f>TONT20000NOV!E49</f>
        <v>472336.2304404098</v>
      </c>
      <c r="H49" s="6">
        <f t="shared" si="1"/>
        <v>82336.230440409854</v>
      </c>
      <c r="I49" s="6">
        <f t="shared" si="2"/>
        <v>80000</v>
      </c>
      <c r="J49" s="31">
        <f t="shared" si="3"/>
        <v>2336.2304404098541</v>
      </c>
      <c r="K49" s="6">
        <v>30000</v>
      </c>
      <c r="L49" s="6"/>
      <c r="M49" s="6">
        <v>50000</v>
      </c>
      <c r="N49" s="6">
        <f t="shared" si="4"/>
        <v>0</v>
      </c>
      <c r="O49" s="7">
        <f>TONT20000DEC2015!H49+TONT20000JANV!F49+TONT20000FEV!F49+TONT20000MARS!F49+TONT20000AVRIL!F49+TONT20000MAI!F49+TONT20000JUIN!F49+TONT20000JUIL!F49+TONT20000AOUT!F49+TONT20000SEPT!F49+TONT20000OCT!F49+TONT20000NOV!G49</f>
        <v>240000</v>
      </c>
      <c r="P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Q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R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S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T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U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V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W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X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Y49" s="7">
        <f>TONT20000DEC2015!R49+TONT20000JANV!P49+TONT20000FEV!P49+TONT20000MARS!P49+TONT20000AVRIL!P49+TONT20000MAI!P49+TONT20000JUIN!P49+TONT20000JUIL!P49+TONT20000AOUT!P49+TONT20000SEPT!P49+TONT20000OCT!P49+TONT20000NOV!Q49</f>
        <v>0</v>
      </c>
      <c r="Z49" s="7">
        <f>TONT20000DEC2015!S49+TONT20000JANV!Q49+TONT20000FEV!Q49+TONT20000MARS!Q49+TONT20000AVRIL!Q49+TONT20000MAI!Q49+TONT20000JUIN!Q49+TONT20000JUIL!Q49+TONT20000AOUT!Q49+TONT20000SEPT!Q49+TONT20000OCT!Q49+TONT20000NOV!R49</f>
        <v>0</v>
      </c>
      <c r="AA49" s="7">
        <f>TONT20000DEC2015!T49+TONT20000JANV!R49+TONT20000FEV!R49+TONT20000MARS!R49+TONT20000AVRIL!R49+TONT20000MAI!R49+TONT20000JUIN!R49+TONT20000JUIL!R49+TONT20000AOUT!R49+TONT20000SEPT!R49+TONT20000OCT!R49+TONT20000NOV!S49</f>
        <v>0</v>
      </c>
    </row>
    <row r="50" spans="1:27" x14ac:dyDescent="0.25">
      <c r="A50" s="1" t="s">
        <v>55</v>
      </c>
      <c r="B50" s="1" t="str">
        <f>VLOOKUP(A50,LISTADHERENT!A$5:H$52,2,0)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443636</v>
      </c>
      <c r="F50" s="6">
        <f>TONT20000DEC2015!E50+TONT20000JANV!C50+TONT20000FEV!C50+TONT20000MARS!C50+TONT20000AVRIL!C50+TONT20000MAI!C50+TONT20000JUIN!C50+TONT20000JUIL!C50+TONT20000AOUT!C50+TONT20000SEPT!C50+TONT20000OCT!C50+TONT20000NOV!C50</f>
        <v>47510.52357864489</v>
      </c>
      <c r="G50" s="6">
        <f>TONT20000NOV!E50</f>
        <v>491146.52357864485</v>
      </c>
      <c r="H50" s="6">
        <f t="shared" si="1"/>
        <v>101146.52357864489</v>
      </c>
      <c r="I50" s="6">
        <f t="shared" si="2"/>
        <v>80000</v>
      </c>
      <c r="J50" s="31">
        <f t="shared" si="3"/>
        <v>21146.52357864489</v>
      </c>
      <c r="K50" s="6">
        <v>30000</v>
      </c>
      <c r="L50" s="6"/>
      <c r="M50" s="6">
        <v>50000</v>
      </c>
      <c r="N50" s="6">
        <f t="shared" si="4"/>
        <v>0</v>
      </c>
      <c r="O50" s="7">
        <f>TONT20000DEC2015!H50+TONT20000JANV!F50+TONT20000FEV!F50+TONT20000MARS!F50+TONT20000AVRIL!F50+TONT20000MAI!F50+TONT20000JUIN!F50+TONT20000JUIL!F50+TONT20000AOUT!F50+TONT20000SEPT!F50+TONT20000OCT!F50+TONT20000NOV!G50</f>
        <v>240000</v>
      </c>
      <c r="P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Q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R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S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T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U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V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W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X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Y50" s="7">
        <f>TONT20000DEC2015!R50+TONT20000JANV!P50+TONT20000FEV!P50+TONT20000MARS!P50+TONT20000AVRIL!P50+TONT20000MAI!P50+TONT20000JUIN!P50+TONT20000JUIL!P50+TONT20000AOUT!P50+TONT20000SEPT!P50+TONT20000OCT!P50+TONT20000NOV!Q50</f>
        <v>0</v>
      </c>
      <c r="Z50" s="7">
        <f>TONT20000DEC2015!S50+TONT20000JANV!Q50+TONT20000FEV!Q50+TONT20000MARS!Q50+TONT20000AVRIL!Q50+TONT20000MAI!Q50+TONT20000JUIN!Q50+TONT20000JUIL!Q50+TONT20000AOUT!Q50+TONT20000SEPT!Q50+TONT20000OCT!Q50+TONT20000NOV!R50</f>
        <v>0</v>
      </c>
      <c r="AA50" s="7">
        <f>TONT20000DEC2015!T50+TONT20000JANV!R50+TONT20000FEV!R50+TONT20000MARS!R50+TONT20000AVRIL!R50+TONT20000MAI!R50+TONT20000JUIN!R50+TONT20000JUIL!R50+TONT20000AOUT!R50+TONT20000SEPT!R50+TONT20000OCT!R50+TONT20000NOV!S50</f>
        <v>0</v>
      </c>
    </row>
    <row r="51" spans="1:27" x14ac:dyDescent="0.25">
      <c r="A51" s="1" t="s">
        <v>66</v>
      </c>
      <c r="B51" s="1" t="str">
        <f>VLOOKUP(A51,LISTADHERENT!A$5:H$52,2,0)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847237</v>
      </c>
      <c r="F51" s="6">
        <f>TONT20000DEC2015!E51+TONT20000JANV!C51+TONT20000FEV!C51+TONT20000MARS!C51+TONT20000AVRIL!C51+TONT20000MAI!C51+TONT20000JUIN!C51+TONT20000JUIL!C51+TONT20000AOUT!C51+TONT20000SEPT!C51+TONT20000OCT!C51+TONT20000NOV!C51</f>
        <v>92160.854758563713</v>
      </c>
      <c r="G51" s="6">
        <f>TONT20000NOV!E51</f>
        <v>939397.8547585638</v>
      </c>
      <c r="H51" s="6">
        <f t="shared" si="1"/>
        <v>549397.85475856368</v>
      </c>
      <c r="I51" s="6">
        <f t="shared" si="2"/>
        <v>80000</v>
      </c>
      <c r="J51" s="31">
        <f t="shared" si="3"/>
        <v>469397.85475856368</v>
      </c>
      <c r="K51" s="6">
        <v>30000</v>
      </c>
      <c r="L51" s="6"/>
      <c r="M51" s="6">
        <v>50000</v>
      </c>
      <c r="N51" s="6">
        <f t="shared" si="4"/>
        <v>0</v>
      </c>
      <c r="O51" s="7">
        <f>TONT20000DEC2015!H51+TONT20000JANV!F51+TONT20000FEV!F51+TONT20000MARS!F51+TONT20000AVRIL!F51+TONT20000MAI!F51+TONT20000JUIN!F51+TONT20000JUIL!F51+TONT20000AOUT!F51+TONT20000SEPT!F51+TONT20000OCT!F51+TONT20000NOV!G51</f>
        <v>240000</v>
      </c>
      <c r="P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Q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R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S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T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U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V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W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X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Y51" s="7">
        <f>TONT20000DEC2015!R51+TONT20000JANV!P51+TONT20000FEV!P51+TONT20000MARS!P51+TONT20000AVRIL!P51+TONT20000MAI!P51+TONT20000JUIN!P51+TONT20000JUIL!P51+TONT20000AOUT!P51+TONT20000SEPT!P51+TONT20000OCT!P51+TONT20000NOV!Q51</f>
        <v>0</v>
      </c>
      <c r="Z51" s="7">
        <f>TONT20000DEC2015!S51+TONT20000JANV!Q51+TONT20000FEV!Q51+TONT20000MARS!Q51+TONT20000AVRIL!Q51+TONT20000MAI!Q51+TONT20000JUIN!Q51+TONT20000JUIL!Q51+TONT20000AOUT!Q51+TONT20000SEPT!Q51+TONT20000OCT!Q51+TONT20000NOV!R51</f>
        <v>0</v>
      </c>
      <c r="AA51" s="7">
        <f>TONT20000DEC2015!T51+TONT20000JANV!R51+TONT20000FEV!R51+TONT20000MARS!R51+TONT20000AVRIL!R51+TONT20000MAI!R51+TONT20000JUIN!R51+TONT20000JUIL!R51+TONT20000AOUT!R51+TONT20000SEPT!R51+TONT20000OCT!R51+TONT20000NOV!S51</f>
        <v>0</v>
      </c>
    </row>
    <row r="52" spans="1:27" x14ac:dyDescent="0.25">
      <c r="A52" s="1" t="s">
        <v>178</v>
      </c>
      <c r="B52" s="1" t="str">
        <f>VLOOKUP(A52,LISTADHERENT!A$5:H$52,2,0)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1429279</v>
      </c>
      <c r="F52" s="6">
        <f>TONT20000DEC2015!E52+TONT20000JANV!C52+TONT20000FEV!C52+TONT20000MARS!C52+TONT20000AVRIL!C52+TONT20000MAI!C52+TONT20000JUIN!C52+TONT20000JUIL!C52+TONT20000AOUT!C52+TONT20000SEPT!C52+TONT20000OCT!C52+TONT20000NOV!C52</f>
        <v>156552.09278974382</v>
      </c>
      <c r="G52" s="6">
        <f>TONT20000NOV!E52</f>
        <v>1585831.0927897436</v>
      </c>
      <c r="H52" s="6">
        <f t="shared" si="1"/>
        <v>1195831.0927897438</v>
      </c>
      <c r="I52" s="6">
        <f t="shared" si="2"/>
        <v>80000</v>
      </c>
      <c r="J52" s="31">
        <f t="shared" si="3"/>
        <v>1115831.0927897438</v>
      </c>
      <c r="K52" s="6">
        <v>30000</v>
      </c>
      <c r="L52" s="6"/>
      <c r="M52" s="6">
        <v>50000</v>
      </c>
      <c r="N52" s="6">
        <f t="shared" si="4"/>
        <v>0</v>
      </c>
      <c r="O52" s="7">
        <f>TONT20000DEC2015!H52+TONT20000JANV!F52+TONT20000FEV!F52+TONT20000MARS!F52+TONT20000AVRIL!F52+TONT20000MAI!F52+TONT20000JUIN!F52+TONT20000JUIL!F52+TONT20000AOUT!F52+TONT20000SEPT!F52+TONT20000OCT!F52+TONT20000NOV!G52</f>
        <v>240000</v>
      </c>
      <c r="P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Q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R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S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T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U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V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W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X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Y52" s="7">
        <f>TONT20000DEC2015!R52+TONT20000JANV!P52+TONT20000FEV!P52+TONT20000MARS!P52+TONT20000AVRIL!P52+TONT20000MAI!P52+TONT20000JUIN!P52+TONT20000JUIL!P52+TONT20000AOUT!P52+TONT20000SEPT!P52+TONT20000OCT!P52+TONT20000NOV!Q52</f>
        <v>0</v>
      </c>
      <c r="Z52" s="7">
        <f>TONT20000DEC2015!S52+TONT20000JANV!Q52+TONT20000FEV!Q52+TONT20000MARS!Q52+TONT20000AVRIL!Q52+TONT20000MAI!Q52+TONT20000JUIN!Q52+TONT20000JUIL!Q52+TONT20000AOUT!Q52+TONT20000SEPT!Q52+TONT20000OCT!Q52+TONT20000NOV!R52</f>
        <v>0</v>
      </c>
      <c r="AA52" s="7">
        <f>TONT20000DEC2015!T52+TONT20000JANV!R52+TONT20000FEV!R52+TONT20000MARS!R52+TONT20000AVRIL!R52+TONT20000MAI!R52+TONT20000JUIN!R52+TONT20000JUIL!R52+TONT20000AOUT!R52+TONT20000SEPT!R52+TONT20000OCT!R52+TONT20000NOV!S52</f>
        <v>0</v>
      </c>
    </row>
    <row r="53" spans="1:27" x14ac:dyDescent="0.25">
      <c r="A53" s="1"/>
      <c r="B53" s="1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x14ac:dyDescent="0.25">
      <c r="A54" s="8" t="s">
        <v>56</v>
      </c>
      <c r="B54" s="8"/>
      <c r="C54" s="9">
        <f t="shared" ref="C54:AA54" si="5">SUM(C5:C53)</f>
        <v>14487719</v>
      </c>
      <c r="D54" s="9">
        <f t="shared" si="5"/>
        <v>4617209</v>
      </c>
      <c r="E54" s="9">
        <f t="shared" si="5"/>
        <v>22946528</v>
      </c>
      <c r="F54" s="9">
        <f t="shared" si="5"/>
        <v>2282100.0000000009</v>
      </c>
      <c r="G54" s="9">
        <f t="shared" si="5"/>
        <v>25335054.999999996</v>
      </c>
      <c r="H54" s="9">
        <f t="shared" si="5"/>
        <v>10740909</v>
      </c>
      <c r="I54" s="9">
        <f t="shared" si="5"/>
        <v>2850396</v>
      </c>
      <c r="J54" s="9">
        <f t="shared" si="5"/>
        <v>7890512.9999999991</v>
      </c>
      <c r="K54" s="9">
        <f t="shared" si="5"/>
        <v>1050000</v>
      </c>
      <c r="L54" s="9">
        <f t="shared" si="5"/>
        <v>0</v>
      </c>
      <c r="M54" s="9">
        <f t="shared" si="5"/>
        <v>1716396</v>
      </c>
      <c r="N54" s="9">
        <f t="shared" si="5"/>
        <v>84000</v>
      </c>
      <c r="O54" s="9">
        <f t="shared" si="5"/>
        <v>13447560</v>
      </c>
      <c r="P54" s="9">
        <f t="shared" si="5"/>
        <v>3841600</v>
      </c>
      <c r="Q54" s="9">
        <f t="shared" si="5"/>
        <v>260000</v>
      </c>
      <c r="R54" s="9">
        <f t="shared" si="5"/>
        <v>520000</v>
      </c>
      <c r="S54" s="9">
        <f t="shared" si="5"/>
        <v>1300000</v>
      </c>
      <c r="T54" s="9">
        <f t="shared" si="5"/>
        <v>235000</v>
      </c>
      <c r="U54" s="9">
        <f t="shared" si="5"/>
        <v>6760000</v>
      </c>
      <c r="V54" s="9">
        <f t="shared" si="5"/>
        <v>25710000</v>
      </c>
      <c r="W54" s="9">
        <f t="shared" si="5"/>
        <v>2282100</v>
      </c>
      <c r="X54" s="9">
        <f t="shared" si="5"/>
        <v>6900000</v>
      </c>
      <c r="Y54" s="9">
        <f t="shared" si="5"/>
        <v>94825</v>
      </c>
      <c r="Z54" s="9">
        <f t="shared" si="5"/>
        <v>98495</v>
      </c>
      <c r="AA54" s="9">
        <f t="shared" si="5"/>
        <v>0</v>
      </c>
    </row>
    <row r="55" spans="1:27" s="33" customFormat="1" ht="18" x14ac:dyDescent="0.25">
      <c r="A55" s="32" t="s">
        <v>213</v>
      </c>
      <c r="C55" s="34"/>
      <c r="J55" s="35">
        <f>J5+J6+J7+J8+J9+J10+J11+J12+J13+J14+J15+J16+J18+J20+J21+J22+J23+J24+J25+J26+J27+J29+J31+J32+J34+J35+J37+J38+J39+J41+J42+J43+J46+J47+J49+J50+J51+J52+J44</f>
        <v>7906482.797005075</v>
      </c>
      <c r="O55" s="34"/>
      <c r="Q55" s="36"/>
      <c r="R55" s="34"/>
      <c r="S55" s="34"/>
      <c r="T55" s="34"/>
      <c r="Z55" s="35"/>
      <c r="AA55" s="34"/>
    </row>
    <row r="56" spans="1:27" ht="18" x14ac:dyDescent="0.25">
      <c r="J56" s="37">
        <f>J17+J19+J28+J30+J33+J36+J40+J45+J48</f>
        <v>-15969.797005076616</v>
      </c>
    </row>
    <row r="57" spans="1:27" ht="18" x14ac:dyDescent="0.25">
      <c r="B57" s="9" t="s">
        <v>193</v>
      </c>
      <c r="G57" s="9">
        <f>E58+E59+E60</f>
        <v>10740909</v>
      </c>
      <c r="H57" s="9"/>
      <c r="I57" s="9"/>
    </row>
    <row r="58" spans="1:27" ht="15.75" x14ac:dyDescent="0.25">
      <c r="D58" s="27" t="s">
        <v>183</v>
      </c>
      <c r="E58" s="26">
        <f>D54</f>
        <v>4617209</v>
      </c>
    </row>
    <row r="59" spans="1:27" ht="15.75" x14ac:dyDescent="0.25">
      <c r="D59" s="27" t="s">
        <v>195</v>
      </c>
      <c r="E59" s="26">
        <f>+F54</f>
        <v>2282100.0000000009</v>
      </c>
    </row>
    <row r="60" spans="1:27" ht="15.75" x14ac:dyDescent="0.25">
      <c r="D60" s="27" t="s">
        <v>218</v>
      </c>
      <c r="E60" s="26">
        <f>P54</f>
        <v>3841600</v>
      </c>
    </row>
    <row r="61" spans="1:27" ht="15.75" x14ac:dyDescent="0.25">
      <c r="D61" s="27"/>
      <c r="E61" s="26"/>
    </row>
    <row r="62" spans="1:27" ht="18" x14ac:dyDescent="0.25">
      <c r="B62" s="9" t="s">
        <v>193</v>
      </c>
      <c r="F62" s="9">
        <f>J55</f>
        <v>7906482.797005075</v>
      </c>
    </row>
    <row r="63" spans="1:27" ht="18" x14ac:dyDescent="0.25">
      <c r="B63" s="9" t="s">
        <v>210</v>
      </c>
      <c r="F63" s="9">
        <f>M54</f>
        <v>1716396</v>
      </c>
    </row>
    <row r="64" spans="1:27" ht="18" x14ac:dyDescent="0.25">
      <c r="B64" s="9" t="s">
        <v>212</v>
      </c>
      <c r="F64" s="9">
        <f>K54</f>
        <v>1050000</v>
      </c>
    </row>
    <row r="65" spans="2:9" ht="18" x14ac:dyDescent="0.25">
      <c r="B65" s="9" t="s">
        <v>196</v>
      </c>
      <c r="F65" s="9">
        <f>N54</f>
        <v>84000</v>
      </c>
    </row>
    <row r="66" spans="2:9" ht="18" x14ac:dyDescent="0.25">
      <c r="B66" s="9" t="s">
        <v>184</v>
      </c>
      <c r="F66" s="9">
        <f>L54</f>
        <v>0</v>
      </c>
    </row>
    <row r="68" spans="2:9" ht="18" x14ac:dyDescent="0.25">
      <c r="B68" s="9" t="s">
        <v>56</v>
      </c>
      <c r="G68" s="9">
        <f>F62+F63+F64+F65+F66</f>
        <v>10756878.797005076</v>
      </c>
      <c r="H68" s="9"/>
      <c r="I68" s="9"/>
    </row>
    <row r="70" spans="2:9" ht="18" x14ac:dyDescent="0.25">
      <c r="B70" s="9" t="s">
        <v>214</v>
      </c>
      <c r="G70" s="37">
        <f>G57-G68</f>
        <v>-15969.797005075961</v>
      </c>
      <c r="H70" s="37"/>
      <c r="I70" s="37"/>
    </row>
  </sheetData>
  <autoFilter ref="A4:AB50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workbookViewId="0">
      <pane xSplit="2" ySplit="4" topLeftCell="D5" activePane="bottomRight" state="frozen"/>
      <selection pane="topRight" activeCell="C1" sqref="C1"/>
      <selection pane="bottomLeft" activeCell="A6" sqref="A6"/>
      <selection pane="bottomRight" activeCell="F37" sqref="F3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2" bestFit="1" customWidth="1"/>
    <col min="4" max="4" width="15.28515625" customWidth="1"/>
    <col min="5" max="5" width="16.85546875" bestFit="1" customWidth="1"/>
    <col min="6" max="6" width="17" bestFit="1" customWidth="1"/>
    <col min="7" max="9" width="17.140625" customWidth="1"/>
    <col min="10" max="11" width="17.28515625" customWidth="1"/>
    <col min="12" max="12" width="13.140625" customWidth="1"/>
    <col min="13" max="13" width="16.28515625" customWidth="1"/>
    <col min="14" max="14" width="13.140625" customWidth="1"/>
    <col min="15" max="15" width="17" style="2" bestFit="1" customWidth="1"/>
    <col min="16" max="16" width="15.140625" bestFit="1" customWidth="1"/>
    <col min="17" max="17" width="17.7109375" style="4" bestFit="1" customWidth="1"/>
    <col min="18" max="18" width="15.7109375" style="2" customWidth="1"/>
    <col min="19" max="19" width="15.140625" style="2" bestFit="1" customWidth="1"/>
    <col min="20" max="20" width="18.28515625" style="2" bestFit="1" customWidth="1"/>
    <col min="21" max="26" width="18.140625" customWidth="1"/>
    <col min="27" max="27" width="21.42578125" style="2" bestFit="1" customWidth="1"/>
    <col min="28" max="28" width="19" bestFit="1" customWidth="1"/>
  </cols>
  <sheetData>
    <row r="1" spans="1:28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8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ht="60" customHeight="1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190</v>
      </c>
      <c r="F4" s="5" t="s">
        <v>186</v>
      </c>
      <c r="G4" s="5" t="s">
        <v>191</v>
      </c>
      <c r="H4" s="5" t="s">
        <v>215</v>
      </c>
      <c r="I4" s="5" t="s">
        <v>216</v>
      </c>
      <c r="J4" s="5" t="s">
        <v>217</v>
      </c>
      <c r="K4" s="5" t="s">
        <v>212</v>
      </c>
      <c r="L4" s="5" t="s">
        <v>184</v>
      </c>
      <c r="M4" s="5" t="s">
        <v>209</v>
      </c>
      <c r="N4" s="5" t="s">
        <v>192</v>
      </c>
      <c r="O4" s="5" t="s">
        <v>65</v>
      </c>
      <c r="P4" s="5" t="s">
        <v>57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62</v>
      </c>
      <c r="V4" s="5" t="s">
        <v>63</v>
      </c>
      <c r="W4" s="5" t="s">
        <v>64</v>
      </c>
      <c r="X4" s="5" t="s">
        <v>8</v>
      </c>
      <c r="Y4" s="5" t="s">
        <v>182</v>
      </c>
      <c r="Z4" s="5" t="s">
        <v>181</v>
      </c>
      <c r="AA4" s="6" t="s">
        <v>9</v>
      </c>
      <c r="AB4" s="1" t="s">
        <v>10</v>
      </c>
    </row>
    <row r="5" spans="1:28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C5+D5+P5</f>
        <v>318145</v>
      </c>
      <c r="F5" s="6">
        <f>INT(TONT20000DEC2015!E5+TONT20000JANV!C5+TONT20000FEV!C5+TONT20000MARS!C5+TONT20000AVRIL!C5+TONT20000MAI!C5+TONT20000JUIN!C5+TONT20000JUIL!C5+TONT20000AOUT!C5+TONT20000SEPT!C5+TONT20000OCT!C5+TONT20000NOV!C5)</f>
        <v>35196</v>
      </c>
      <c r="G5" s="6">
        <f>TONT20000NOV!E5</f>
        <v>353341.3439467079</v>
      </c>
      <c r="H5" s="6">
        <f t="shared" ref="H5:H52" si="1">D5+F5+P5</f>
        <v>353341</v>
      </c>
      <c r="I5" s="6">
        <f>K5+L5+M5+N5</f>
        <v>0</v>
      </c>
      <c r="J5" s="6">
        <f>H5-I5</f>
        <v>353341</v>
      </c>
      <c r="K5" s="6">
        <v>0</v>
      </c>
      <c r="L5" s="6">
        <v>0</v>
      </c>
      <c r="M5" s="6">
        <v>0</v>
      </c>
      <c r="N5" s="6">
        <v>0</v>
      </c>
      <c r="O5" s="7">
        <f>TONT20000DEC2015!H5+TONT20000JANV!F5+TONT20000FEV!F5+TONT20000MARS!F5+TONT20000AVRIL!F5+TONT20000MAI!F5+TONT20000JUIN!F5+TONT20000JUIL!F5+TONT20000AOUT!F5+TONT20000SEPT!F5+TONT20000OCT!F5+TONT20000NOV!G5</f>
        <v>0</v>
      </c>
      <c r="P5" s="7">
        <f>TONT20000DEC2015!I5+TONT20000JANV!G5+TONT20000FEV!G5+TONT20000MARS!G5+TONT20000AVRIL!G5+TONT20000MAI!G5+TONT20000JUIN!G5+TONT20000JUIL!G5+TONT20000AOUT!G5+TONT20000SEPT!G5+TONT20000OCT!G5+TONT20000NOV!H5</f>
        <v>0</v>
      </c>
      <c r="Q5" s="7">
        <f>TONT20000DEC2015!J5+TONT20000JANV!H5+TONT20000FEV!H5+TONT20000MARS!H5+TONT20000AVRIL!H5+TONT20000MAI!H5+TONT20000JUIN!H5+TONT20000JUIL!H5+TONT20000AOUT!H5+TONT20000SEPT!H5+TONT20000OCT!H5+TONT20000NOV!I5</f>
        <v>0</v>
      </c>
      <c r="R5" s="7">
        <f>TONT20000DEC2015!K5+TONT20000JANV!I5+TONT20000FEV!I5+TONT20000MARS!I5+TONT20000AVRIL!I5+TONT20000MAI!I5+TONT20000JUIN!I5+TONT20000JUIL!I5+TONT20000AOUT!I5+TONT20000SEPT!I5+TONT20000OCT!I5+TONT20000NOV!J5</f>
        <v>0</v>
      </c>
      <c r="S5" s="7">
        <f>TONT20000DEC2015!L5+TONT20000JANV!J5+TONT20000FEV!J5+TONT20000MARS!J5+TONT20000AVRIL!J5+TONT20000MAI!J5+TONT20000JUIN!J5+TONT20000JUIL!J5+TONT20000AOUT!J5+TONT20000SEPT!J5+TONT20000OCT!J5+TONT20000NOV!K5</f>
        <v>0</v>
      </c>
      <c r="T5" s="7">
        <f>TONT20000DEC2015!M5+TONT20000JANV!K5+TONT20000FEV!K5+TONT20000MARS!K5+TONT20000AVRIL!K5+TONT20000MAI!K5+TONT20000JUIN!K5+TONT20000JUIL!K5+TONT20000AOUT!K5+TONT20000SEPT!K5+TONT20000OCT!K5+TONT20000NOV!L5</f>
        <v>0</v>
      </c>
      <c r="U5" s="7">
        <f>TONT20000DEC2015!N5+TONT20000JANV!L5+TONT20000FEV!L5+TONT20000MARS!L5+TONT20000AVRIL!L5+TONT20000MAI!L5+TONT20000JUIN!L5+TONT20000JUIL!L5+TONT20000AOUT!L5+TONT20000SEPT!L5+TONT20000OCT!L5+TONT20000NOV!M5</f>
        <v>0</v>
      </c>
      <c r="V5" s="7">
        <f>TONT20000DEC2015!O5+TONT20000JANV!M5+TONT20000FEV!M5+TONT20000MARS!M5+TONT20000AVRIL!M5+TONT20000MAI!M5+TONT20000JUIN!M5+TONT20000JUIL!M5+TONT20000AOUT!M5+TONT20000SEPT!M5+TONT20000OCT!M5+TONT20000NOV!N5</f>
        <v>0</v>
      </c>
      <c r="W5" s="7">
        <f>TONT20000DEC2015!P5+TONT20000JANV!N5+TONT20000FEV!N5+TONT20000MARS!N5+TONT20000AVRIL!N5+TONT20000MAI!N5+TONT20000JUIN!N5+TONT20000JUIL!N5+TONT20000AOUT!N5+TONT20000SEPT!N5+TONT20000OCT!N5+TONT20000NOV!O5</f>
        <v>0</v>
      </c>
      <c r="X5" s="7">
        <f>TONT20000DEC2015!Q5+TONT20000JANV!O5+TONT20000FEV!O5+TONT20000MARS!O5+TONT20000AVRIL!O5+TONT20000MAI!O5+TONT20000JUIN!O5+TONT20000JUIL!O5+TONT20000AOUT!O5+TONT20000SEPT!O5+TONT20000OCT!O5+TONT20000NOV!P5</f>
        <v>0</v>
      </c>
      <c r="Y5" s="7">
        <f>TONT20000DEC2015!R5+TONT20000JANV!P5+TONT20000FEV!P5+TONT20000MARS!P5+TONT20000AVRIL!P5+TONT20000MAI!P5+TONT20000JUIN!P5+TONT20000JUIL!P5+TONT20000AOUT!P5+TONT20000SEPT!P5+TONT20000OCT!P5+TONT20000NOV!Q5</f>
        <v>0</v>
      </c>
      <c r="Z5" s="7">
        <f>TONT20000DEC2015!S5+TONT20000JANV!Q5+TONT20000FEV!Q5+TONT20000MARS!Q5+TONT20000AVRIL!Q5+TONT20000MAI!Q5+TONT20000JUIN!Q5+TONT20000JUIL!Q5+TONT20000AOUT!Q5+TONT20000SEPT!Q5+TONT20000OCT!Q5+TONT20000NOV!R5</f>
        <v>0</v>
      </c>
      <c r="AA5" s="7">
        <f>TONT20000DEC2015!T5+TONT20000JANV!R5+TONT20000FEV!R5+TONT20000MARS!R5+TONT20000AVRIL!R5+TONT20000MAI!R5+TONT20000JUIN!R5+TONT20000JUIL!R5+TONT20000AOUT!R5+TONT20000SEPT!R5+TONT20000OCT!R5+TONT20000NOV!S5</f>
        <v>0</v>
      </c>
    </row>
    <row r="6" spans="1:28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453536</v>
      </c>
      <c r="F6" s="6">
        <f>INT(TONT20000DEC2015!E6+TONT20000JANV!C6+TONT20000FEV!C6+TONT20000MARS!C6+TONT20000AVRIL!C6+TONT20000MAI!C6+TONT20000JUIN!C6+TONT20000JUIL!C6+TONT20000AOUT!C6+TONT20000SEPT!C6+TONT20000OCT!C6+TONT20000NOV!C6)</f>
        <v>49022</v>
      </c>
      <c r="G6" s="6">
        <f>TONT20000NOV!E6</f>
        <v>502558.69414347096</v>
      </c>
      <c r="H6" s="6">
        <f>D6+F6+P6</f>
        <v>112558</v>
      </c>
      <c r="I6" s="6">
        <f t="shared" ref="I6:I52" si="2">K6+L6+M6+N6</f>
        <v>63000</v>
      </c>
      <c r="J6" s="6">
        <f t="shared" ref="J6:J52" si="3">H6-I6</f>
        <v>49558</v>
      </c>
      <c r="K6" s="6">
        <v>30000</v>
      </c>
      <c r="L6" s="6"/>
      <c r="M6" s="6">
        <v>25000</v>
      </c>
      <c r="N6" s="6">
        <f>48000-(Q6+R6+S6)</f>
        <v>8000</v>
      </c>
      <c r="O6" s="7">
        <f>TONT20000DEC2015!H6+TONT20000JANV!F6+TONT20000FEV!F6+TONT20000MARS!F6+TONT20000AVRIL!F6+TONT20000MAI!F6+TONT20000JUIN!F6+TONT20000JUIL!F6+TONT20000AOUT!F6+TONT20000SEPT!F6+TONT20000OCT!F6+TONT20000NOV!G6</f>
        <v>225000</v>
      </c>
      <c r="P6" s="7">
        <f>TONT20000DEC2015!I6+TONT20000JANV!G6+TONT20000FEV!G6+TONT20000MARS!G6+TONT20000AVRIL!G6+TONT20000MAI!G6+TONT20000JUIN!G6+TONT20000JUIL!G6+TONT20000AOUT!G6+TONT20000SEPT!G6+TONT20000OCT!G6+TONT20000NOV!H6</f>
        <v>30000</v>
      </c>
      <c r="Q6" s="7">
        <f>TONT20000DEC2015!J6+TONT20000JANV!H6+TONT20000FEV!H6+TONT20000MARS!H6+TONT20000AVRIL!H6+TONT20000MAI!H6+TONT20000JUIN!H6+TONT20000JUIL!H6+TONT20000AOUT!H6+TONT20000SEPT!H6+TONT20000OCT!H6+TONT20000NOV!I6</f>
        <v>5000</v>
      </c>
      <c r="R6" s="7">
        <f>TONT20000DEC2015!K6+TONT20000JANV!I6+TONT20000FEV!I6+TONT20000MARS!I6+TONT20000AVRIL!I6+TONT20000MAI!I6+TONT20000JUIN!I6+TONT20000JUIL!I6+TONT20000AOUT!I6+TONT20000SEPT!I6+TONT20000OCT!I6+TONT20000NOV!J6</f>
        <v>10000</v>
      </c>
      <c r="S6" s="7">
        <f>TONT20000DEC2015!L6+TONT20000JANV!J6+TONT20000FEV!J6+TONT20000MARS!J6+TONT20000AVRIL!J6+TONT20000MAI!J6+TONT20000JUIN!J6+TONT20000JUIL!J6+TONT20000AOUT!J6+TONT20000SEPT!J6+TONT20000OCT!J6+TONT20000NOV!K6</f>
        <v>25000</v>
      </c>
      <c r="T6" s="7">
        <f>TONT20000DEC2015!M6+TONT20000JANV!K6+TONT20000FEV!K6+TONT20000MARS!K6+TONT20000AVRIL!K6+TONT20000MAI!K6+TONT20000JUIN!K6+TONT20000JUIL!K6+TONT20000AOUT!K6+TONT20000SEPT!K6+TONT20000OCT!K6+TONT20000NOV!L6</f>
        <v>25000</v>
      </c>
      <c r="U6" s="7">
        <f>TONT20000DEC2015!N6+TONT20000JANV!L6+TONT20000FEV!L6+TONT20000MARS!L6+TONT20000AVRIL!L6+TONT20000MAI!L6+TONT20000JUIN!L6+TONT20000JUIL!L6+TONT20000AOUT!L6+TONT20000SEPT!L6+TONT20000OCT!L6+TONT20000NOV!M6</f>
        <v>130000</v>
      </c>
      <c r="V6" s="7">
        <f>TONT20000DEC2015!O6+TONT20000JANV!M6+TONT20000FEV!M6+TONT20000MARS!M6+TONT20000AVRIL!M6+TONT20000MAI!M6+TONT20000JUIN!M6+TONT20000JUIL!M6+TONT20000AOUT!M6+TONT20000SEPT!M6+TONT20000OCT!M6+TONT20000NOV!N6</f>
        <v>500000</v>
      </c>
      <c r="W6" s="7">
        <f>TONT20000DEC2015!P6+TONT20000JANV!N6+TONT20000FEV!N6+TONT20000MARS!N6+TONT20000AVRIL!N6+TONT20000MAI!N6+TONT20000JUIN!N6+TONT20000JUIL!N6+TONT20000AOUT!N6+TONT20000SEPT!N6+TONT20000OCT!N6+TONT20000NOV!O6</f>
        <v>15000</v>
      </c>
      <c r="X6" s="7">
        <f>TONT20000DEC2015!Q6+TONT20000JANV!O6+TONT20000FEV!O6+TONT20000MARS!O6+TONT20000AVRIL!O6+TONT20000MAI!O6+TONT20000JUIN!O6+TONT20000JUIL!O6+TONT20000AOUT!O6+TONT20000SEPT!O6+TONT20000OCT!O6+TONT20000NOV!P6</f>
        <v>0</v>
      </c>
      <c r="Y6" s="7">
        <f>TONT20000DEC2015!R6+TONT20000JANV!P6+TONT20000FEV!P6+TONT20000MARS!P6+TONT20000AVRIL!P6+TONT20000MAI!P6+TONT20000JUIN!P6+TONT20000JUIL!P6+TONT20000AOUT!P6+TONT20000SEPT!P6+TONT20000OCT!P6+TONT20000NOV!Q6</f>
        <v>0</v>
      </c>
      <c r="Z6" s="7">
        <f>TONT20000DEC2015!S6+TONT20000JANV!Q6+TONT20000FEV!Q6+TONT20000MARS!Q6+TONT20000AVRIL!Q6+TONT20000MAI!Q6+TONT20000JUIN!Q6+TONT20000JUIL!Q6+TONT20000AOUT!Q6+TONT20000SEPT!Q6+TONT20000OCT!Q6+TONT20000NOV!R6</f>
        <v>0</v>
      </c>
      <c r="AA6" s="7">
        <f>TONT20000DEC2015!T6+TONT20000JANV!R6+TONT20000FEV!R6+TONT20000MARS!R6+TONT20000AVRIL!R6+TONT20000MAI!R6+TONT20000JUIN!R6+TONT20000JUIL!R6+TONT20000AOUT!R6+TONT20000SEPT!R6+TONT20000OCT!R6+TONT20000NOV!S6</f>
        <v>0</v>
      </c>
    </row>
    <row r="7" spans="1:28" x14ac:dyDescent="0.25">
      <c r="A7" s="1" t="s">
        <v>12</v>
      </c>
      <c r="B7" s="1" t="str">
        <f>VLOOKUP(A7,LISTADHERENT!A$5:H$52,2,0)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427704</v>
      </c>
      <c r="F7" s="6">
        <f>INT(TONT20000DEC2015!E7+TONT20000JANV!C7+TONT20000FEV!C7+TONT20000MARS!C7+TONT20000AVRIL!C7+TONT20000MAI!C7+TONT20000JUIN!C7+TONT20000JUIL!C7+TONT20000AOUT!C7+TONT20000SEPT!C7+TONT20000OCT!C7+TONT20000NOV!C7)</f>
        <v>45747</v>
      </c>
      <c r="G7" s="6">
        <f>TONT20000NOV!E7</f>
        <v>473451.96829171921</v>
      </c>
      <c r="H7" s="6">
        <f t="shared" si="1"/>
        <v>83451</v>
      </c>
      <c r="I7" s="6">
        <f t="shared" si="2"/>
        <v>80000</v>
      </c>
      <c r="J7" s="6">
        <f t="shared" si="3"/>
        <v>3451</v>
      </c>
      <c r="K7" s="6">
        <v>30000</v>
      </c>
      <c r="L7" s="6"/>
      <c r="M7" s="6">
        <v>50000</v>
      </c>
      <c r="N7" s="6">
        <f t="shared" ref="N7:N52" si="4">48000-(Q7+R7+S7)</f>
        <v>0</v>
      </c>
      <c r="O7" s="7">
        <f>TONT20000DEC2015!H7+TONT20000JANV!F7+TONT20000FEV!F7+TONT20000MARS!F7+TONT20000AVRIL!F7+TONT20000MAI!F7+TONT20000JUIN!F7+TONT20000JUIL!F7+TONT20000AOUT!F7+TONT20000SEPT!F7+TONT20000OCT!F7+TONT20000NOV!G7</f>
        <v>240000</v>
      </c>
      <c r="P7" s="7">
        <f>TONT20000DEC2015!I7+TONT20000JANV!G7+TONT20000FEV!G7+TONT20000MARS!G7+TONT20000AVRIL!G7+TONT20000MAI!G7+TONT20000JUIN!G7+TONT20000JUIL!G7+TONT20000AOUT!G7+TONT20000SEPT!G7+TONT20000OCT!G7+TONT20000NOV!H7</f>
        <v>36000</v>
      </c>
      <c r="Q7" s="7">
        <f>TONT20000DEC2015!J7+TONT20000JANV!H7+TONT20000FEV!H7+TONT20000MARS!H7+TONT20000AVRIL!H7+TONT20000MAI!H7+TONT20000JUIN!H7+TONT20000JUIL!H7+TONT20000AOUT!H7+TONT20000SEPT!H7+TONT20000OCT!H7+TONT20000NOV!I7</f>
        <v>6000</v>
      </c>
      <c r="R7" s="7">
        <f>TONT20000DEC2015!K7+TONT20000JANV!I7+TONT20000FEV!I7+TONT20000MARS!I7+TONT20000AVRIL!I7+TONT20000MAI!I7+TONT20000JUIN!I7+TONT20000JUIL!I7+TONT20000AOUT!I7+TONT20000SEPT!I7+TONT20000OCT!I7+TONT20000NOV!J7</f>
        <v>12000</v>
      </c>
      <c r="S7" s="7">
        <f>TONT20000DEC2015!L7+TONT20000JANV!J7+TONT20000FEV!J7+TONT20000MARS!J7+TONT20000AVRIL!J7+TONT20000MAI!J7+TONT20000JUIN!J7+TONT20000JUIL!J7+TONT20000AOUT!J7+TONT20000SEPT!J7+TONT20000OCT!J7+TONT20000NOV!K7</f>
        <v>30000</v>
      </c>
      <c r="T7" s="7">
        <f>TONT20000DEC2015!M7+TONT20000JANV!K7+TONT20000FEV!K7+TONT20000MARS!K7+TONT20000AVRIL!K7+TONT20000MAI!K7+TONT20000JUIN!K7+TONT20000JUIL!K7+TONT20000AOUT!K7+TONT20000SEPT!K7+TONT20000OCT!K7+TONT20000NOV!L7</f>
        <v>0</v>
      </c>
      <c r="U7" s="7">
        <f>TONT20000DEC2015!N7+TONT20000JANV!L7+TONT20000FEV!L7+TONT20000MARS!L7+TONT20000AVRIL!L7+TONT20000MAI!L7+TONT20000JUIN!L7+TONT20000JUIL!L7+TONT20000AOUT!L7+TONT20000SEPT!L7+TONT20000OCT!L7+TONT20000NOV!M7</f>
        <v>156000</v>
      </c>
      <c r="V7" s="7">
        <f>TONT20000DEC2015!O7+TONT20000JANV!M7+TONT20000FEV!M7+TONT20000MARS!M7+TONT20000AVRIL!M7+TONT20000MAI!M7+TONT20000JUIN!M7+TONT20000JUIL!M7+TONT20000AOUT!M7+TONT20000SEPT!M7+TONT20000OCT!M7+TONT20000NOV!N7</f>
        <v>1700000</v>
      </c>
      <c r="W7" s="7">
        <f>TONT20000DEC2015!P7+TONT20000JANV!N7+TONT20000FEV!N7+TONT20000MARS!N7+TONT20000AVRIL!N7+TONT20000MAI!N7+TONT20000JUIN!N7+TONT20000JUIL!N7+TONT20000AOUT!N7+TONT20000SEPT!N7+TONT20000OCT!N7+TONT20000NOV!O7</f>
        <v>124000</v>
      </c>
      <c r="X7" s="7">
        <f>TONT20000DEC2015!Q7+TONT20000JANV!O7+TONT20000FEV!O7+TONT20000MARS!O7+TONT20000AVRIL!O7+TONT20000MAI!O7+TONT20000JUIN!O7+TONT20000JUIL!O7+TONT20000AOUT!O7+TONT20000SEPT!O7+TONT20000OCT!O7+TONT20000NOV!P7</f>
        <v>1000000</v>
      </c>
      <c r="Y7" s="7">
        <f>TONT20000DEC2015!R7+TONT20000JANV!P7+TONT20000FEV!P7+TONT20000MARS!P7+TONT20000AVRIL!P7+TONT20000MAI!P7+TONT20000JUIN!P7+TONT20000JUIL!P7+TONT20000AOUT!P7+TONT20000SEPT!P7+TONT20000OCT!P7+TONT20000NOV!Q7</f>
        <v>0</v>
      </c>
      <c r="Z7" s="7">
        <f>TONT20000DEC2015!S7+TONT20000JANV!Q7+TONT20000FEV!Q7+TONT20000MARS!Q7+TONT20000AVRIL!Q7+TONT20000MAI!Q7+TONT20000JUIN!Q7+TONT20000JUIL!Q7+TONT20000AOUT!Q7+TONT20000SEPT!Q7+TONT20000OCT!Q7+TONT20000NOV!R7</f>
        <v>0</v>
      </c>
      <c r="AA7" s="7">
        <f>TONT20000DEC2015!T7+TONT20000JANV!R7+TONT20000FEV!R7+TONT20000MARS!R7+TONT20000AVRIL!R7+TONT20000MAI!R7+TONT20000JUIN!R7+TONT20000JUIL!R7+TONT20000AOUT!R7+TONT20000SEPT!R7+TONT20000OCT!R7+TONT20000NOV!S7</f>
        <v>0</v>
      </c>
    </row>
    <row r="8" spans="1:28" x14ac:dyDescent="0.25">
      <c r="A8" s="1" t="s">
        <v>13</v>
      </c>
      <c r="B8" s="1" t="str">
        <f>VLOOKUP(A8,LISTADHERENT!A$5:H$52,2,0)</f>
        <v>CHINGUE FABRICE</v>
      </c>
      <c r="C8" s="6">
        <f>VLOOKUP(A8,FONDSDECAISSE!A$5:C$52,3,0)</f>
        <v>390000</v>
      </c>
      <c r="D8" s="6">
        <v>1842</v>
      </c>
      <c r="E8" s="6">
        <f t="shared" si="0"/>
        <v>427842</v>
      </c>
      <c r="F8" s="6">
        <f>INT(TONT20000DEC2015!E8+TONT20000JANV!C8+TONT20000FEV!C8+TONT20000MARS!C8+TONT20000AVRIL!C8+TONT20000MAI!C8+TONT20000JUIN!C8+TONT20000JUIL!C8+TONT20000AOUT!C8+TONT20000SEPT!C8+TONT20000OCT!C8+TONT20000NOV!C8)</f>
        <v>45763</v>
      </c>
      <c r="G8" s="6">
        <f>TONT20000NOV!E8</f>
        <v>473605.23521549511</v>
      </c>
      <c r="H8" s="6">
        <f t="shared" si="1"/>
        <v>83605</v>
      </c>
      <c r="I8" s="6">
        <f t="shared" si="2"/>
        <v>80000</v>
      </c>
      <c r="J8" s="6">
        <f t="shared" si="3"/>
        <v>3605</v>
      </c>
      <c r="K8" s="6">
        <v>30000</v>
      </c>
      <c r="L8" s="6"/>
      <c r="M8" s="6">
        <v>50000</v>
      </c>
      <c r="N8" s="6">
        <f t="shared" si="4"/>
        <v>0</v>
      </c>
      <c r="O8" s="7">
        <f>TONT20000DEC2015!H8+TONT20000JANV!F8+TONT20000FEV!F8+TONT20000MARS!F8+TONT20000AVRIL!F8+TONT20000MAI!F8+TONT20000JUIN!F8+TONT20000JUIL!F8+TONT20000AOUT!F8+TONT20000SEPT!F8+TONT20000OCT!F8+TONT20000NOV!G8</f>
        <v>240000</v>
      </c>
      <c r="P8" s="7">
        <f>TONT20000DEC2015!I8+TONT20000JANV!G8+TONT20000FEV!G8+TONT20000MARS!G8+TONT20000AVRIL!G8+TONT20000MAI!G8+TONT20000JUIN!G8+TONT20000JUIL!G8+TONT20000AOUT!G8+TONT20000SEPT!G8+TONT20000OCT!G8+TONT20000NOV!H8</f>
        <v>36000</v>
      </c>
      <c r="Q8" s="7">
        <f>TONT20000DEC2015!J8+TONT20000JANV!H8+TONT20000FEV!H8+TONT20000MARS!H8+TONT20000AVRIL!H8+TONT20000MAI!H8+TONT20000JUIN!H8+TONT20000JUIL!H8+TONT20000AOUT!H8+TONT20000SEPT!H8+TONT20000OCT!H8+TONT20000NOV!I8</f>
        <v>6000</v>
      </c>
      <c r="R8" s="7">
        <f>TONT20000DEC2015!K8+TONT20000JANV!I8+TONT20000FEV!I8+TONT20000MARS!I8+TONT20000AVRIL!I8+TONT20000MAI!I8+TONT20000JUIN!I8+TONT20000JUIL!I8+TONT20000AOUT!I8+TONT20000SEPT!I8+TONT20000OCT!I8+TONT20000NOV!J8</f>
        <v>12000</v>
      </c>
      <c r="S8" s="7">
        <f>TONT20000DEC2015!L8+TONT20000JANV!J8+TONT20000FEV!J8+TONT20000MARS!J8+TONT20000AVRIL!J8+TONT20000MAI!J8+TONT20000JUIN!J8+TONT20000JUIL!J8+TONT20000AOUT!J8+TONT20000SEPT!J8+TONT20000OCT!J8+TONT20000NOV!K8</f>
        <v>30000</v>
      </c>
      <c r="T8" s="7">
        <f>TONT20000DEC2015!M8+TONT20000JANV!K8+TONT20000FEV!K8+TONT20000MARS!K8+TONT20000AVRIL!K8+TONT20000MAI!K8+TONT20000JUIN!K8+TONT20000JUIL!K8+TONT20000AOUT!K8+TONT20000SEPT!K8+TONT20000OCT!K8+TONT20000NOV!L8</f>
        <v>0</v>
      </c>
      <c r="U8" s="7">
        <f>TONT20000DEC2015!N8+TONT20000JANV!L8+TONT20000FEV!L8+TONT20000MARS!L8+TONT20000AVRIL!L8+TONT20000MAI!L8+TONT20000JUIN!L8+TONT20000JUIL!L8+TONT20000AOUT!L8+TONT20000SEPT!L8+TONT20000OCT!L8+TONT20000NOV!M8</f>
        <v>156000</v>
      </c>
      <c r="V8" s="7">
        <f>TONT20000DEC2015!O8+TONT20000JANV!M8+TONT20000FEV!M8+TONT20000MARS!M8+TONT20000AVRIL!M8+TONT20000MAI!M8+TONT20000JUIN!M8+TONT20000JUIL!M8+TONT20000AOUT!M8+TONT20000SEPT!M8+TONT20000OCT!M8+TONT20000NOV!N8</f>
        <v>2000000</v>
      </c>
      <c r="W8" s="7">
        <f>TONT20000DEC2015!P8+TONT20000JANV!N8+TONT20000FEV!N8+TONT20000MARS!N8+TONT20000AVRIL!N8+TONT20000MAI!N8+TONT20000JUIN!N8+TONT20000JUIL!N8+TONT20000AOUT!N8+TONT20000SEPT!N8+TONT20000OCT!N8+TONT20000NOV!O8</f>
        <v>180000</v>
      </c>
      <c r="X8" s="7">
        <f>TONT20000DEC2015!Q8+TONT20000JANV!O8+TONT20000FEV!O8+TONT20000MARS!O8+TONT20000AVRIL!O8+TONT20000MAI!O8+TONT20000JUIN!O8+TONT20000JUIL!O8+TONT20000AOUT!O8+TONT20000SEPT!O8+TONT20000OCT!O8+TONT20000NOV!P8</f>
        <v>1000000</v>
      </c>
      <c r="Y8" s="7">
        <f>TONT20000DEC2015!R8+TONT20000JANV!P8+TONT20000FEV!P8+TONT20000MARS!P8+TONT20000AVRIL!P8+TONT20000MAI!P8+TONT20000JUIN!P8+TONT20000JUIL!P8+TONT20000AOUT!P8+TONT20000SEPT!P8+TONT20000OCT!P8+TONT20000NOV!Q8</f>
        <v>0</v>
      </c>
      <c r="Z8" s="7">
        <f>TONT20000DEC2015!S8+TONT20000JANV!Q8+TONT20000FEV!Q8+TONT20000MARS!Q8+TONT20000AVRIL!Q8+TONT20000MAI!Q8+TONT20000JUIN!Q8+TONT20000JUIL!Q8+TONT20000AOUT!Q8+TONT20000SEPT!Q8+TONT20000OCT!Q8+TONT20000NOV!R8</f>
        <v>0</v>
      </c>
      <c r="AA8" s="7">
        <f>TONT20000DEC2015!T8+TONT20000JANV!R8+TONT20000FEV!R8+TONT20000MARS!R8+TONT20000AVRIL!R8+TONT20000MAI!R8+TONT20000JUIN!R8+TONT20000JUIL!R8+TONT20000AOUT!R8+TONT20000SEPT!R8+TONT20000OCT!R8+TONT20000NOV!S8</f>
        <v>0</v>
      </c>
    </row>
    <row r="9" spans="1:28" x14ac:dyDescent="0.25">
      <c r="A9" s="1" t="s">
        <v>14</v>
      </c>
      <c r="B9" s="1" t="str">
        <f>VLOOKUP(A9,LISTADHERENT!A$5:H$52,2,0)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441156</v>
      </c>
      <c r="F9" s="6">
        <f>INT(TONT20000DEC2015!E9+TONT20000JANV!C9+TONT20000FEV!C9+TONT20000MARS!C9+TONT20000AVRIL!C9+TONT20000MAI!C9+TONT20000JUIN!C9+TONT20000JUIL!C9+TONT20000AOUT!C9+TONT20000SEPT!C9+TONT20000OCT!C9+TONT20000NOV!C9)</f>
        <v>46605</v>
      </c>
      <c r="G9" s="6">
        <f>TONT20000NOV!E9</f>
        <v>487761.8858119474</v>
      </c>
      <c r="H9" s="6">
        <f t="shared" si="1"/>
        <v>97761</v>
      </c>
      <c r="I9" s="6">
        <f t="shared" si="2"/>
        <v>80000</v>
      </c>
      <c r="J9" s="6">
        <f t="shared" si="3"/>
        <v>17761</v>
      </c>
      <c r="K9" s="6">
        <v>30000</v>
      </c>
      <c r="L9" s="6"/>
      <c r="M9" s="6">
        <v>50000</v>
      </c>
      <c r="N9" s="6">
        <f t="shared" si="4"/>
        <v>0</v>
      </c>
      <c r="O9" s="7">
        <f>TONT20000DEC2015!H9+TONT20000JANV!F9+TONT20000FEV!F9+TONT20000MARS!F9+TONT20000AVRIL!F9+TONT20000MAI!F9+TONT20000JUIN!F9+TONT20000JUIL!F9+TONT20000AOUT!F9+TONT20000SEPT!F9+TONT20000OCT!F9+TONT20000NOV!G9</f>
        <v>247000</v>
      </c>
      <c r="P9" s="7">
        <f>TONT20000DEC2015!I9+TONT20000JANV!G9+TONT20000FEV!G9+TONT20000MARS!G9+TONT20000AVRIL!G9+TONT20000MAI!G9+TONT20000JUIN!G9+TONT20000JUIL!G9+TONT20000AOUT!G9+TONT20000SEPT!G9+TONT20000OCT!G9+TONT20000NOV!H9</f>
        <v>43000</v>
      </c>
      <c r="Q9" s="7">
        <f>TONT20000DEC2015!J9+TONT20000JANV!H9+TONT20000FEV!H9+TONT20000MARS!H9+TONT20000AVRIL!H9+TONT20000MAI!H9+TONT20000JUIN!H9+TONT20000JUIL!H9+TONT20000AOUT!H9+TONT20000SEPT!H9+TONT20000OCT!H9+TONT20000NOV!I9</f>
        <v>6000</v>
      </c>
      <c r="R9" s="7">
        <f>TONT20000DEC2015!K9+TONT20000JANV!I9+TONT20000FEV!I9+TONT20000MARS!I9+TONT20000AVRIL!I9+TONT20000MAI!I9+TONT20000JUIN!I9+TONT20000JUIL!I9+TONT20000AOUT!I9+TONT20000SEPT!I9+TONT20000OCT!I9+TONT20000NOV!J9</f>
        <v>12000</v>
      </c>
      <c r="S9" s="7">
        <f>TONT20000DEC2015!L9+TONT20000JANV!J9+TONT20000FEV!J9+TONT20000MARS!J9+TONT20000AVRIL!J9+TONT20000MAI!J9+TONT20000JUIN!J9+TONT20000JUIL!J9+TONT20000AOUT!J9+TONT20000SEPT!J9+TONT20000OCT!J9+TONT20000NOV!K9</f>
        <v>30000</v>
      </c>
      <c r="T9" s="7">
        <f>TONT20000DEC2015!M9+TONT20000JANV!K9+TONT20000FEV!K9+TONT20000MARS!K9+TONT20000AVRIL!K9+TONT20000MAI!K9+TONT20000JUIN!K9+TONT20000JUIL!K9+TONT20000AOUT!K9+TONT20000SEPT!K9+TONT20000OCT!K9+TONT20000NOV!L9</f>
        <v>0</v>
      </c>
      <c r="U9" s="7">
        <f>TONT20000DEC2015!N9+TONT20000JANV!L9+TONT20000FEV!L9+TONT20000MARS!L9+TONT20000AVRIL!L9+TONT20000MAI!L9+TONT20000JUIN!L9+TONT20000JUIL!L9+TONT20000AOUT!L9+TONT20000SEPT!L9+TONT20000OCT!L9+TONT20000NOV!M9</f>
        <v>156000</v>
      </c>
      <c r="V9" s="7">
        <f>TONT20000DEC2015!O9+TONT20000JANV!M9+TONT20000FEV!M9+TONT20000MARS!M9+TONT20000AVRIL!M9+TONT20000MAI!M9+TONT20000JUIN!M9+TONT20000JUIL!M9+TONT20000AOUT!M9+TONT20000SEPT!M9+TONT20000OCT!M9+TONT20000NOV!N9</f>
        <v>200000</v>
      </c>
      <c r="W9" s="7">
        <f>TONT20000DEC2015!P9+TONT20000JANV!N9+TONT20000FEV!N9+TONT20000MARS!N9+TONT20000AVRIL!N9+TONT20000MAI!N9+TONT20000JUIN!N9+TONT20000JUIL!N9+TONT20000AOUT!N9+TONT20000SEPT!N9+TONT20000OCT!N9+TONT20000NOV!O9</f>
        <v>6000</v>
      </c>
      <c r="X9" s="7">
        <f>TONT20000DEC2015!Q9+TONT20000JANV!O9+TONT20000FEV!O9+TONT20000MARS!O9+TONT20000AVRIL!O9+TONT20000MAI!O9+TONT20000JUIN!O9+TONT20000JUIL!O9+TONT20000AOUT!O9+TONT20000SEPT!O9+TONT20000OCT!O9+TONT20000NOV!P9</f>
        <v>0</v>
      </c>
      <c r="Y9" s="7">
        <f>TONT20000DEC2015!R9+TONT20000JANV!P9+TONT20000FEV!P9+TONT20000MARS!P9+TONT20000AVRIL!P9+TONT20000MAI!P9+TONT20000JUIN!P9+TONT20000JUIL!P9+TONT20000AOUT!P9+TONT20000SEPT!P9+TONT20000OCT!P9+TONT20000NOV!Q9</f>
        <v>0</v>
      </c>
      <c r="Z9" s="7">
        <f>TONT20000DEC2015!S9+TONT20000JANV!Q9+TONT20000FEV!Q9+TONT20000MARS!Q9+TONT20000AVRIL!Q9+TONT20000MAI!Q9+TONT20000JUIN!Q9+TONT20000JUIL!Q9+TONT20000AOUT!Q9+TONT20000SEPT!Q9+TONT20000OCT!Q9+TONT20000NOV!R9</f>
        <v>0</v>
      </c>
      <c r="AA9" s="7">
        <f>TONT20000DEC2015!T9+TONT20000JANV!R9+TONT20000FEV!R9+TONT20000MARS!R9+TONT20000AVRIL!R9+TONT20000MAI!R9+TONT20000JUIN!R9+TONT20000JUIL!R9+TONT20000AOUT!R9+TONT20000SEPT!R9+TONT20000OCT!R9+TONT20000NOV!S9</f>
        <v>0</v>
      </c>
    </row>
    <row r="10" spans="1:28" x14ac:dyDescent="0.25">
      <c r="A10" s="1" t="s">
        <v>15</v>
      </c>
      <c r="B10" s="1" t="str">
        <f>VLOOKUP(A10,LISTADHERENT!A$5:H$52,2,0)</f>
        <v>DJOUKWE GUY</v>
      </c>
      <c r="C10" s="6">
        <f>VLOOKUP(A10,FONDSDECAISSE!A$5:C$52,3,0)</f>
        <v>390000</v>
      </c>
      <c r="D10" s="6">
        <v>5905</v>
      </c>
      <c r="E10" s="6">
        <f t="shared" si="0"/>
        <v>471905</v>
      </c>
      <c r="F10" s="6">
        <f>INT(TONT20000DEC2015!E10+TONT20000JANV!C10+TONT20000FEV!C10+TONT20000MARS!C10+TONT20000AVRIL!C10+TONT20000MAI!C10+TONT20000JUIN!C10+TONT20000JUIL!C10+TONT20000AOUT!C10+TONT20000SEPT!C10+TONT20000OCT!C10+TONT20000NOV!C10)</f>
        <v>49359</v>
      </c>
      <c r="G10" s="6">
        <f>TONT20000NOV!E10</f>
        <v>521264.8626097308</v>
      </c>
      <c r="H10" s="6">
        <f t="shared" si="1"/>
        <v>131264</v>
      </c>
      <c r="I10" s="6">
        <f t="shared" si="2"/>
        <v>80000</v>
      </c>
      <c r="J10" s="6">
        <f t="shared" si="3"/>
        <v>51264</v>
      </c>
      <c r="K10" s="6">
        <v>30000</v>
      </c>
      <c r="L10" s="6"/>
      <c r="M10" s="6">
        <v>50000</v>
      </c>
      <c r="N10" s="6">
        <f t="shared" si="4"/>
        <v>0</v>
      </c>
      <c r="O10" s="7">
        <f>TONT20000DEC2015!H10+TONT20000JANV!F10+TONT20000FEV!F10+TONT20000MARS!F10+TONT20000AVRIL!F10+TONT20000MAI!F10+TONT20000JUIN!F10+TONT20000JUIL!F10+TONT20000AOUT!F10+TONT20000SEPT!F10+TONT20000OCT!F10+TONT20000NOV!G10</f>
        <v>280000</v>
      </c>
      <c r="P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Q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R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S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T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U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V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W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X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Y10" s="7">
        <f>TONT20000DEC2015!R10+TONT20000JANV!P10+TONT20000FEV!P10+TONT20000MARS!P10+TONT20000AVRIL!P10+TONT20000MAI!P10+TONT20000JUIN!P10+TONT20000JUIL!P10+TONT20000AOUT!P10+TONT20000SEPT!P10+TONT20000OCT!P10+TONT20000NOV!Q10</f>
        <v>0</v>
      </c>
      <c r="Z10" s="7">
        <f>TONT20000DEC2015!S10+TONT20000JANV!Q10+TONT20000FEV!Q10+TONT20000MARS!Q10+TONT20000AVRIL!Q10+TONT20000MAI!Q10+TONT20000JUIN!Q10+TONT20000JUIL!Q10+TONT20000AOUT!Q10+TONT20000SEPT!Q10+TONT20000OCT!Q10+TONT20000NOV!R10</f>
        <v>0</v>
      </c>
      <c r="AA10" s="7">
        <f>TONT20000DEC2015!T10+TONT20000JANV!R10+TONT20000FEV!R10+TONT20000MARS!R10+TONT20000AVRIL!R10+TONT20000MAI!R10+TONT20000JUIN!R10+TONT20000JUIL!R10+TONT20000AOUT!R10+TONT20000SEPT!R10+TONT20000OCT!R10+TONT20000NOV!S10</f>
        <v>0</v>
      </c>
    </row>
    <row r="11" spans="1:28" s="20" customFormat="1" x14ac:dyDescent="0.25">
      <c r="A11" s="18" t="s">
        <v>16</v>
      </c>
      <c r="B11" s="18" t="str">
        <f>VLOOKUP(A11,LISTADHERENT!A$5:H$52,2,0)</f>
        <v>DJOSSEU JOSUE</v>
      </c>
      <c r="C11" s="28"/>
      <c r="D11" s="28"/>
      <c r="E11" s="28"/>
      <c r="F11" s="6"/>
      <c r="G11" s="28"/>
      <c r="H11" s="28"/>
      <c r="I11" s="28"/>
      <c r="J11" s="28"/>
      <c r="K11" s="28"/>
      <c r="L11" s="28"/>
      <c r="M11" s="28"/>
      <c r="N11" s="28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8" x14ac:dyDescent="0.25">
      <c r="A12" s="1" t="s">
        <v>17</v>
      </c>
      <c r="B12" s="1" t="str">
        <f>VLOOKUP(A12,LISTADHERENT!A$5:H$52,2,0)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2001294</v>
      </c>
      <c r="F12" s="6">
        <f>INT(TONT20000DEC2015!E12+TONT20000JANV!C12+TONT20000FEV!C12+TONT20000MARS!C12+TONT20000AVRIL!C12+TONT20000MAI!C12+TONT20000JUIN!C12+TONT20000JUIL!C12+TONT20000AOUT!C12+TONT20000SEPT!C12+TONT20000OCT!C12+TONT20000NOV!C12)</f>
        <v>194776</v>
      </c>
      <c r="G12" s="6">
        <f>TONT20000NOV!E12</f>
        <v>2126365.4553205236</v>
      </c>
      <c r="H12" s="6">
        <f t="shared" si="1"/>
        <v>1806070</v>
      </c>
      <c r="I12" s="6">
        <f t="shared" si="2"/>
        <v>80000</v>
      </c>
      <c r="J12" s="6">
        <f t="shared" si="3"/>
        <v>1726070</v>
      </c>
      <c r="K12" s="6">
        <v>30000</v>
      </c>
      <c r="L12" s="6"/>
      <c r="M12" s="6">
        <v>50000</v>
      </c>
      <c r="N12" s="6">
        <f t="shared" si="4"/>
        <v>0</v>
      </c>
      <c r="O12" s="7">
        <f>TONT20000DEC2015!H12+TONT20000JANV!F12+TONT20000FEV!F12+TONT20000MARS!F12+TONT20000AVRIL!F12+TONT20000MAI!F12+TONT20000JUIN!F12+TONT20000JUIL!F12+TONT20000AOUT!F12+TONT20000SEPT!F12+TONT20000OCT!F12+TONT20000NOV!G12</f>
        <v>760000</v>
      </c>
      <c r="P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Q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R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S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T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U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V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W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X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Y12" s="7">
        <f>TONT20000DEC2015!R12+TONT20000JANV!P12+TONT20000FEV!P12+TONT20000MARS!P12+TONT20000AVRIL!P12+TONT20000MAI!P12+TONT20000JUIN!P12+TONT20000JUIL!P12+TONT20000AOUT!P12+TONT20000SEPT!P12+TONT20000OCT!P12+TONT20000NOV!Q12</f>
        <v>0</v>
      </c>
      <c r="Z12" s="7">
        <f>TONT20000DEC2015!S12+TONT20000JANV!Q12+TONT20000FEV!Q12+TONT20000MARS!Q12+TONT20000AVRIL!Q12+TONT20000MAI!Q12+TONT20000JUIN!Q12+TONT20000JUIL!Q12+TONT20000AOUT!Q12+TONT20000SEPT!Q12+TONT20000OCT!Q12+TONT20000NOV!R12</f>
        <v>0</v>
      </c>
      <c r="AA12" s="7">
        <f>TONT20000DEC2015!T12+TONT20000JANV!R12+TONT20000FEV!R12+TONT20000MARS!R12+TONT20000AVRIL!R12+TONT20000MAI!R12+TONT20000JUIN!R12+TONT20000JUIL!R12+TONT20000AOUT!R12+TONT20000SEPT!R12+TONT20000OCT!R12+TONT20000NOV!S12</f>
        <v>0</v>
      </c>
    </row>
    <row r="13" spans="1:28" x14ac:dyDescent="0.25">
      <c r="A13" s="1" t="s">
        <v>18</v>
      </c>
      <c r="B13" s="1" t="str">
        <f>VLOOKUP(A13,LISTADHERENT!A$5:H$52,2,0)</f>
        <v>DJUOMBESSY ANTOINE</v>
      </c>
      <c r="C13" s="6">
        <v>390000</v>
      </c>
      <c r="D13" s="6">
        <v>0</v>
      </c>
      <c r="E13" s="6">
        <f t="shared" si="0"/>
        <v>457560</v>
      </c>
      <c r="F13" s="6">
        <f>INT(TONT20000DEC2015!E13+TONT20000JANV!C13+TONT20000FEV!C13+TONT20000MARS!C13+TONT20000AVRIL!C13+TONT20000MAI!C13+TONT20000JUIN!C13+TONT20000JUIL!C13+TONT20000AOUT!C13+TONT20000SEPT!C13+TONT20000OCT!C13+TONT20000NOV!C13)</f>
        <v>41212</v>
      </c>
      <c r="G13" s="6">
        <f>TONT20000NOV!E13</f>
        <v>498772.65576056467</v>
      </c>
      <c r="H13" s="6">
        <f t="shared" si="1"/>
        <v>108772</v>
      </c>
      <c r="I13" s="6">
        <f t="shared" si="2"/>
        <v>80000</v>
      </c>
      <c r="J13" s="6">
        <f t="shared" si="3"/>
        <v>28772</v>
      </c>
      <c r="K13" s="6">
        <v>30000</v>
      </c>
      <c r="L13" s="6"/>
      <c r="M13" s="6">
        <v>50000</v>
      </c>
      <c r="N13" s="6">
        <f t="shared" si="4"/>
        <v>0</v>
      </c>
      <c r="O13" s="7">
        <f>TONT20000DEC2015!H13+TONT20000JANV!F13+TONT20000FEV!F13+TONT20000MARS!F13+TONT20000AVRIL!F13+TONT20000MAI!F13+TONT20000JUIN!F13+TONT20000JUIL!F13+TONT20000AOUT!F13+TONT20000SEPT!F13+TONT20000OCT!F13+TONT20000NOV!G13</f>
        <v>271560</v>
      </c>
      <c r="P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Q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R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S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T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U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V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W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X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Y13" s="7">
        <f>TONT20000DEC2015!R13+TONT20000JANV!P13+TONT20000FEV!P13+TONT20000MARS!P13+TONT20000AVRIL!P13+TONT20000MAI!P13+TONT20000JUIN!P13+TONT20000JUIL!P13+TONT20000AOUT!P13+TONT20000SEPT!P13+TONT20000OCT!P13+TONT20000NOV!Q13</f>
        <v>0</v>
      </c>
      <c r="Z13" s="7">
        <f>TONT20000DEC2015!S13+TONT20000JANV!Q13+TONT20000FEV!Q13+TONT20000MARS!Q13+TONT20000AVRIL!Q13+TONT20000MAI!Q13+TONT20000JUIN!Q13+TONT20000JUIL!Q13+TONT20000AOUT!Q13+TONT20000SEPT!Q13+TONT20000OCT!Q13+TONT20000NOV!R13</f>
        <v>48440</v>
      </c>
      <c r="AA13" s="7">
        <f>TONT20000DEC2015!T13+TONT20000JANV!R13+TONT20000FEV!R13+TONT20000MARS!R13+TONT20000AVRIL!R13+TONT20000MAI!R13+TONT20000JUIN!R13+TONT20000JUIL!R13+TONT20000AOUT!R13+TONT20000SEPT!R13+TONT20000OCT!R13+TONT20000NOV!S13</f>
        <v>0</v>
      </c>
    </row>
    <row r="14" spans="1:28" x14ac:dyDescent="0.25">
      <c r="A14" s="1" t="s">
        <v>19</v>
      </c>
      <c r="B14" s="1" t="str">
        <f>VLOOKUP(A14,LISTADHERENT!A$5:H$52,2,0)</f>
        <v>DONHOU DAVID</v>
      </c>
      <c r="C14" s="6">
        <f>VLOOKUP(A14,FONDSDECAISSE!A$5:C$52,3,0)</f>
        <v>390000</v>
      </c>
      <c r="D14" s="6">
        <v>44734</v>
      </c>
      <c r="E14" s="6">
        <f t="shared" si="0"/>
        <v>470734</v>
      </c>
      <c r="F14" s="6">
        <f>INT(TONT20000DEC2015!E14+TONT20000JANV!C14+TONT20000FEV!C14+TONT20000MARS!C14+TONT20000AVRIL!C14+TONT20000MAI!C14+TONT20000JUIN!C14+TONT20000JUIL!C14+TONT20000AOUT!C14+TONT20000SEPT!C14+TONT20000OCT!C14+TONT20000NOV!C14)</f>
        <v>50508</v>
      </c>
      <c r="G14" s="6">
        <f>TONT20000NOV!E14</f>
        <v>521242.3721328195</v>
      </c>
      <c r="H14" s="6">
        <f t="shared" si="1"/>
        <v>131242</v>
      </c>
      <c r="I14" s="6">
        <f t="shared" si="2"/>
        <v>80000</v>
      </c>
      <c r="J14" s="6">
        <f t="shared" si="3"/>
        <v>51242</v>
      </c>
      <c r="K14" s="6">
        <v>30000</v>
      </c>
      <c r="L14" s="6"/>
      <c r="M14" s="6">
        <v>50000</v>
      </c>
      <c r="N14" s="6">
        <f t="shared" si="4"/>
        <v>0</v>
      </c>
      <c r="O14" s="7">
        <f>TONT20000DEC2015!H14+TONT20000JANV!F14+TONT20000FEV!F14+TONT20000MARS!F14+TONT20000AVRIL!F14+TONT20000MAI!F14+TONT20000JUIN!F14+TONT20000JUIL!F14+TONT20000AOUT!F14+TONT20000SEPT!F14+TONT20000OCT!F14+TONT20000NOV!G14</f>
        <v>240000</v>
      </c>
      <c r="P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Q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R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S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T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U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V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W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X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Y14" s="7">
        <f>TONT20000DEC2015!R14+TONT20000JANV!P14+TONT20000FEV!P14+TONT20000MARS!P14+TONT20000AVRIL!P14+TONT20000MAI!P14+TONT20000JUIN!P14+TONT20000JUIL!P14+TONT20000AOUT!P14+TONT20000SEPT!P14+TONT20000OCT!P14+TONT20000NOV!Q14</f>
        <v>0</v>
      </c>
      <c r="Z14" s="7">
        <f>TONT20000DEC2015!S14+TONT20000JANV!Q14+TONT20000FEV!Q14+TONT20000MARS!Q14+TONT20000AVRIL!Q14+TONT20000MAI!Q14+TONT20000JUIN!Q14+TONT20000JUIL!Q14+TONT20000AOUT!Q14+TONT20000SEPT!Q14+TONT20000OCT!Q14+TONT20000NOV!R14</f>
        <v>0</v>
      </c>
      <c r="AA14" s="7">
        <f>TONT20000DEC2015!T14+TONT20000JANV!R14+TONT20000FEV!R14+TONT20000MARS!R14+TONT20000AVRIL!R14+TONT20000MAI!R14+TONT20000JUIN!R14+TONT20000JUIL!R14+TONT20000AOUT!R14+TONT20000SEPT!R14+TONT20000OCT!R14+TONT20000NOV!S14</f>
        <v>0</v>
      </c>
      <c r="AB14" s="2"/>
    </row>
    <row r="15" spans="1:28" x14ac:dyDescent="0.25">
      <c r="A15" s="1" t="s">
        <v>20</v>
      </c>
      <c r="B15" s="1" t="str">
        <f>VLOOKUP(A15,LISTADHERENT!A$5:H$52,2,0)</f>
        <v>FOTSO THOMAS</v>
      </c>
      <c r="C15" s="6">
        <f>VLOOKUP(A15,FONDSDECAISSE!A$5:C$52,3,0)</f>
        <v>390000</v>
      </c>
      <c r="D15" s="6">
        <v>3318</v>
      </c>
      <c r="E15" s="6">
        <f t="shared" si="0"/>
        <v>429318</v>
      </c>
      <c r="F15" s="6">
        <f>INT(TONT20000DEC2015!E15+TONT20000JANV!C15+TONT20000FEV!C15+TONT20000MARS!C15+TONT20000AVRIL!C15+TONT20000MAI!C15+TONT20000JUIN!C15+TONT20000JUIL!C15+TONT20000AOUT!C15+TONT20000SEPT!C15+TONT20000OCT!C15+TONT20000NOV!C15)</f>
        <v>45926</v>
      </c>
      <c r="G15" s="6">
        <f>TONT20000NOV!E15</f>
        <v>475244.52492196643</v>
      </c>
      <c r="H15" s="6">
        <f t="shared" si="1"/>
        <v>85244</v>
      </c>
      <c r="I15" s="6">
        <f t="shared" si="2"/>
        <v>80000</v>
      </c>
      <c r="J15" s="6">
        <f t="shared" si="3"/>
        <v>5244</v>
      </c>
      <c r="K15" s="6">
        <v>30000</v>
      </c>
      <c r="L15" s="6"/>
      <c r="M15" s="6">
        <v>50000</v>
      </c>
      <c r="N15" s="6">
        <f t="shared" si="4"/>
        <v>0</v>
      </c>
      <c r="O15" s="7">
        <f>TONT20000DEC2015!H15+TONT20000JANV!F15+TONT20000FEV!F15+TONT20000MARS!F15+TONT20000AVRIL!F15+TONT20000MAI!F15+TONT20000JUIN!F15+TONT20000JUIL!F15+TONT20000AOUT!F15+TONT20000SEPT!F15+TONT20000OCT!F15+TONT20000NOV!G15</f>
        <v>240000</v>
      </c>
      <c r="P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Q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R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S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T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U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V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W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X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Y15" s="7">
        <f>TONT20000DEC2015!R15+TONT20000JANV!P15+TONT20000FEV!P15+TONT20000MARS!P15+TONT20000AVRIL!P15+TONT20000MAI!P15+TONT20000JUIN!P15+TONT20000JUIL!P15+TONT20000AOUT!P15+TONT20000SEPT!P15+TONT20000OCT!P15+TONT20000NOV!Q15</f>
        <v>0</v>
      </c>
      <c r="Z15" s="7">
        <f>TONT20000DEC2015!S15+TONT20000JANV!Q15+TONT20000FEV!Q15+TONT20000MARS!Q15+TONT20000AVRIL!Q15+TONT20000MAI!Q15+TONT20000JUIN!Q15+TONT20000JUIL!Q15+TONT20000AOUT!Q15+TONT20000SEPT!Q15+TONT20000OCT!Q15+TONT20000NOV!R15</f>
        <v>0</v>
      </c>
      <c r="AA15" s="7">
        <f>TONT20000DEC2015!T15+TONT20000JANV!R15+TONT20000FEV!R15+TONT20000MARS!R15+TONT20000AVRIL!R15+TONT20000MAI!R15+TONT20000JUIN!R15+TONT20000JUIL!R15+TONT20000AOUT!R15+TONT20000SEPT!R15+TONT20000OCT!R15+TONT20000NOV!S15</f>
        <v>0</v>
      </c>
      <c r="AB15" s="2"/>
    </row>
    <row r="16" spans="1:28" x14ac:dyDescent="0.25">
      <c r="A16" s="1" t="s">
        <v>21</v>
      </c>
      <c r="B16" s="1" t="str">
        <f>VLOOKUP(A16,LISTADHERENT!A$5:H$52,2,0)</f>
        <v>HENGUE PAUL OMER</v>
      </c>
      <c r="C16" s="6">
        <f>VLOOKUP(A16,FONDSDECAISSE!A$5:C$52,3,0)</f>
        <v>390000</v>
      </c>
      <c r="D16" s="6">
        <v>1083990</v>
      </c>
      <c r="E16" s="6">
        <f t="shared" si="0"/>
        <v>1503990</v>
      </c>
      <c r="F16" s="6">
        <f>INT(TONT20000DEC2015!E16+TONT20000JANV!C16+TONT20000FEV!C16+TONT20000MARS!C16+TONT20000AVRIL!C16+TONT20000MAI!C16+TONT20000JUIN!C16+TONT20000JUIL!C16+TONT20000AOUT!C16+TONT20000SEPT!C16+TONT20000OCT!C16+TONT20000NOV!C16)</f>
        <v>165367</v>
      </c>
      <c r="G16" s="6">
        <f>TONT20000NOV!E16</f>
        <v>1669357.8813871727</v>
      </c>
      <c r="H16" s="6">
        <f t="shared" si="1"/>
        <v>1279357</v>
      </c>
      <c r="I16" s="6">
        <f t="shared" si="2"/>
        <v>88000</v>
      </c>
      <c r="J16" s="6">
        <f t="shared" si="3"/>
        <v>1191357</v>
      </c>
      <c r="K16" s="6">
        <v>30000</v>
      </c>
      <c r="L16" s="6"/>
      <c r="M16" s="6">
        <v>50000</v>
      </c>
      <c r="N16" s="6">
        <f t="shared" si="4"/>
        <v>8000</v>
      </c>
      <c r="O16" s="7">
        <f>TONT20000DEC2015!H16+TONT20000JANV!F16+TONT20000FEV!F16+TONT20000MARS!F16+TONT20000AVRIL!F16+TONT20000MAI!F16+TONT20000JUIN!F16+TONT20000JUIL!F16+TONT20000AOUT!F16+TONT20000SEPT!F16+TONT20000OCT!F16+TONT20000NOV!G16</f>
        <v>200000</v>
      </c>
      <c r="P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Q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R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S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T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U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V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W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X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Y16" s="7">
        <f>TONT20000DEC2015!R16+TONT20000JANV!P16+TONT20000FEV!P16+TONT20000MARS!P16+TONT20000AVRIL!P16+TONT20000MAI!P16+TONT20000JUIN!P16+TONT20000JUIL!P16+TONT20000AOUT!P16+TONT20000SEPT!P16+TONT20000OCT!P16+TONT20000NOV!Q16</f>
        <v>0</v>
      </c>
      <c r="Z16" s="7">
        <f>TONT20000DEC2015!S16+TONT20000JANV!Q16+TONT20000FEV!Q16+TONT20000MARS!Q16+TONT20000AVRIL!Q16+TONT20000MAI!Q16+TONT20000JUIN!Q16+TONT20000JUIL!Q16+TONT20000AOUT!Q16+TONT20000SEPT!Q16+TONT20000OCT!Q16+TONT20000NOV!R16</f>
        <v>0</v>
      </c>
      <c r="AA16" s="7">
        <f>TONT20000DEC2015!T16+TONT20000JANV!R16+TONT20000FEV!R16+TONT20000MARS!R16+TONT20000AVRIL!R16+TONT20000MAI!R16+TONT20000JUIN!R16+TONT20000JUIL!R16+TONT20000AOUT!R16+TONT20000SEPT!R16+TONT20000OCT!R16+TONT20000NOV!S16</f>
        <v>0</v>
      </c>
      <c r="AB16" s="2"/>
    </row>
    <row r="17" spans="1:28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>
        <v>0</v>
      </c>
      <c r="E17" s="6">
        <f t="shared" si="0"/>
        <v>58100</v>
      </c>
      <c r="F17" s="6">
        <f>INT(TONT20000DEC2015!E17+TONT20000JANV!C17+TONT20000FEV!C17+TONT20000MARS!C17+TONT20000AVRIL!C17+TONT20000MAI!C17+TONT20000JUIN!C17+TONT20000JUIL!C17+TONT20000AOUT!C17+TONT20000SEPT!C17+TONT20000OCT!C17+TONT20000NOV!C17)</f>
        <v>5992</v>
      </c>
      <c r="G17" s="6">
        <f>TONT20000NOV!E17</f>
        <v>91992.437276205368</v>
      </c>
      <c r="H17" s="6">
        <f t="shared" si="1"/>
        <v>14092</v>
      </c>
      <c r="I17" s="6">
        <f t="shared" si="2"/>
        <v>14092</v>
      </c>
      <c r="J17" s="6">
        <f t="shared" si="3"/>
        <v>0</v>
      </c>
      <c r="K17" s="6"/>
      <c r="L17" s="6"/>
      <c r="M17" s="6">
        <f>50000-35908</f>
        <v>14092</v>
      </c>
      <c r="N17" s="6">
        <f t="shared" si="4"/>
        <v>0</v>
      </c>
      <c r="O17" s="7">
        <f>TONT20000DEC2015!H17+TONT20000JANV!F17+TONT20000FEV!F17+TONT20000MARS!F17+TONT20000AVRIL!F17+TONT20000MAI!F17+TONT20000JUIN!F17+TONT20000JUIL!F17+TONT20000AOUT!F17+TONT20000SEPT!F17+TONT20000OCT!F17+TONT20000NOV!G17</f>
        <v>240000</v>
      </c>
      <c r="P17" s="7">
        <f>TONT20000DEC2015!I17+TONT20000JANV!G17+TONT20000FEV!G17+TONT20000MARS!G17+TONT20000AVRIL!G17+TONT20000MAI!G17+TONT20000JUIN!G17+TONT20000JUIL!G17+TONT20000AOUT!G17+TONT20000SEPT!G17+TONT20000OCT!G17+TONT20000NOV!H17-18000-9900</f>
        <v>8100</v>
      </c>
      <c r="Q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R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S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T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U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V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W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X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Y17" s="7">
        <f>TONT20000DEC2015!R17+TONT20000JANV!P17+TONT20000FEV!P17+TONT20000MARS!P17+TONT20000AVRIL!P17+TONT20000MAI!P17+TONT20000JUIN!P17+TONT20000JUIL!P17+TONT20000AOUT!P17+TONT20000SEPT!P17+TONT20000OCT!P17+TONT20000NOV!Q17</f>
        <v>0</v>
      </c>
      <c r="Z17" s="7">
        <f>TONT20000DEC2015!S17+TONT20000JANV!Q17+TONT20000FEV!Q17+TONT20000MARS!Q17+TONT20000AVRIL!Q17+TONT20000MAI!Q17+TONT20000JUIN!Q17+TONT20000JUIL!Q17+TONT20000AOUT!Q17+TONT20000SEPT!Q17+TONT20000OCT!Q17+TONT20000NOV!R17</f>
        <v>0</v>
      </c>
      <c r="AA17" s="7">
        <f>TONT20000DEC2015!T17+TONT20000JANV!R17+TONT20000FEV!R17+TONT20000MARS!R17+TONT20000AVRIL!R17+TONT20000MAI!R17+TONT20000JUIN!R17+TONT20000JUIL!R17+TONT20000AOUT!R17+TONT20000SEPT!R17+TONT20000OCT!R17+TONT20000NOV!S17</f>
        <v>0</v>
      </c>
      <c r="AB17" s="2"/>
    </row>
    <row r="18" spans="1:28" x14ac:dyDescent="0.25">
      <c r="A18" s="1" t="s">
        <v>23</v>
      </c>
      <c r="B18" s="1" t="str">
        <f>VLOOKUP(A18,LISTADHERENT!A$5:H$52,2,0)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482723</v>
      </c>
      <c r="F18" s="6">
        <f>INT(TONT20000DEC2015!E18+TONT20000JANV!C18+TONT20000FEV!C18+TONT20000MARS!C18+TONT20000AVRIL!C18+TONT20000MAI!C18+TONT20000JUIN!C18+TONT20000JUIL!C18+TONT20000AOUT!C18+TONT20000SEPT!C18+TONT20000OCT!C18+TONT20000NOV!C18)</f>
        <v>47622</v>
      </c>
      <c r="G18" s="6">
        <f>TONT20000NOV!E18</f>
        <v>530345.51073803613</v>
      </c>
      <c r="H18" s="6">
        <f t="shared" si="1"/>
        <v>140345</v>
      </c>
      <c r="I18" s="6">
        <f t="shared" si="2"/>
        <v>30000</v>
      </c>
      <c r="J18" s="6">
        <f t="shared" si="3"/>
        <v>110345</v>
      </c>
      <c r="K18" s="6">
        <v>30000</v>
      </c>
      <c r="L18" s="6"/>
      <c r="M18" s="6">
        <v>0</v>
      </c>
      <c r="N18" s="6">
        <f t="shared" si="4"/>
        <v>0</v>
      </c>
      <c r="O18" s="7">
        <f>TONT20000DEC2015!H18+TONT20000JANV!F18+TONT20000FEV!F18+TONT20000MARS!F18+TONT20000AVRIL!F18+TONT20000MAI!F18+TONT20000JUIN!F18+TONT20000JUIL!F18+TONT20000AOUT!F18+TONT20000SEPT!F18+TONT20000OCT!F18+TONT20000NOV!G18</f>
        <v>338000</v>
      </c>
      <c r="P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Q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R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S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T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U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V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W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X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Y18" s="7">
        <f>TONT20000DEC2015!R18+TONT20000JANV!P18+TONT20000FEV!P18+TONT20000MARS!P18+TONT20000AVRIL!P18+TONT20000MAI!P18+TONT20000JUIN!P18+TONT20000JUIL!P18+TONT20000AOUT!P18+TONT20000SEPT!P18+TONT20000OCT!P18+TONT20000NOV!Q18</f>
        <v>0</v>
      </c>
      <c r="Z18" s="7">
        <f>TONT20000DEC2015!S18+TONT20000JANV!Q18+TONT20000FEV!Q18+TONT20000MARS!Q18+TONT20000AVRIL!Q18+TONT20000MAI!Q18+TONT20000JUIN!Q18+TONT20000JUIL!Q18+TONT20000AOUT!Q18+TONT20000SEPT!Q18+TONT20000OCT!Q18+TONT20000NOV!R18</f>
        <v>0</v>
      </c>
      <c r="AA18" s="7">
        <f>TONT20000DEC2015!T18+TONT20000JANV!R18+TONT20000FEV!R18+TONT20000MARS!R18+TONT20000AVRIL!R18+TONT20000MAI!R18+TONT20000JUIN!R18+TONT20000JUIL!R18+TONT20000AOUT!R18+TONT20000SEPT!R18+TONT20000OCT!R18+TONT20000NOV!S18</f>
        <v>0</v>
      </c>
      <c r="AB18" s="2"/>
    </row>
    <row r="19" spans="1:28" x14ac:dyDescent="0.25">
      <c r="A19" s="1" t="s">
        <v>24</v>
      </c>
      <c r="B19" s="1" t="str">
        <f>VLOOKUP(A19,LISTADHERENT!A$5:H$52,2,0)</f>
        <v>KEPHE DAVID</v>
      </c>
      <c r="C19" s="6">
        <f>VLOOKUP(A19,FONDSDECAISSE!A$5:C$52,3,0)</f>
        <v>0</v>
      </c>
      <c r="D19" s="6">
        <v>12795</v>
      </c>
      <c r="E19" s="6">
        <f t="shared" si="0"/>
        <v>18000</v>
      </c>
      <c r="F19" s="6">
        <f>INT(TONT20000DEC2015!E19+TONT20000JANV!C19+TONT20000FEV!C19+TONT20000MARS!C19+TONT20000AVRIL!C19+TONT20000MAI!C19+TONT20000JUIN!C19+TONT20000JUIL!C19+TONT20000AOUT!C19+TONT20000SEPT!C19+TONT20000OCT!C19+TONT20000NOV!C19)</f>
        <v>3829</v>
      </c>
      <c r="G19" s="6">
        <f>TONT20000NOV!E19</f>
        <v>52624.310168840806</v>
      </c>
      <c r="H19" s="6">
        <f t="shared" si="1"/>
        <v>21829</v>
      </c>
      <c r="I19" s="6">
        <f t="shared" si="2"/>
        <v>21829</v>
      </c>
      <c r="J19" s="6">
        <f t="shared" si="3"/>
        <v>0</v>
      </c>
      <c r="K19" s="6"/>
      <c r="L19" s="6"/>
      <c r="M19" s="6">
        <f>50000-24839-3332</f>
        <v>21829</v>
      </c>
      <c r="N19" s="6">
        <f t="shared" si="4"/>
        <v>0</v>
      </c>
      <c r="O19" s="7">
        <f>TONT20000DEC2015!H19+TONT20000JANV!F19+TONT20000FEV!F19+TONT20000MARS!F19+TONT20000AVRIL!F19+TONT20000MAI!F19+TONT20000JUIN!F19+TONT20000JUIL!F19+TONT20000AOUT!F19+TONT20000SEPT!F19+TONT20000OCT!F19+TONT20000NOV!G19</f>
        <v>240000</v>
      </c>
      <c r="P19" s="7">
        <f>TONT20000DEC2015!I19+TONT20000JANV!G19+TONT20000FEV!G19+TONT20000MARS!G19+TONT20000AVRIL!G19+TONT20000MAI!G19+TONT20000JUIN!G19+TONT20000JUIL!G19+TONT20000AOUT!G19+TONT20000SEPT!G19+TONT20000OCT!G19+TONT20000NOV!H19-30795</f>
        <v>5205</v>
      </c>
      <c r="Q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R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S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T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U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V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W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X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Y19" s="7">
        <f>TONT20000DEC2015!R19+TONT20000JANV!P19+TONT20000FEV!P19+TONT20000MARS!P19+TONT20000AVRIL!P19+TONT20000MAI!P19+TONT20000JUIN!P19+TONT20000JUIL!P19+TONT20000AOUT!P19+TONT20000SEPT!P19+TONT20000OCT!P19+TONT20000NOV!Q19</f>
        <v>0</v>
      </c>
      <c r="Z19" s="7">
        <f>TONT20000DEC2015!S19+TONT20000JANV!Q19+TONT20000FEV!Q19+TONT20000MARS!Q19+TONT20000AVRIL!Q19+TONT20000MAI!Q19+TONT20000JUIN!Q19+TONT20000JUIL!Q19+TONT20000AOUT!Q19+TONT20000SEPT!Q19+TONT20000OCT!Q19+TONT20000NOV!R19</f>
        <v>0</v>
      </c>
      <c r="AA19" s="7">
        <f>TONT20000DEC2015!T19+TONT20000JANV!R19+TONT20000FEV!R19+TONT20000MARS!R19+TONT20000AVRIL!R19+TONT20000MAI!R19+TONT20000JUIN!R19+TONT20000JUIL!R19+TONT20000AOUT!R19+TONT20000SEPT!R19+TONT20000OCT!R19+TONT20000NOV!S19</f>
        <v>0</v>
      </c>
      <c r="AB19" s="2"/>
    </row>
    <row r="20" spans="1:28" x14ac:dyDescent="0.25">
      <c r="A20" s="1" t="s">
        <v>25</v>
      </c>
      <c r="B20" s="1" t="str">
        <f>VLOOKUP(A20,LISTADHERENT!A$5:H$52,2,0)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1128997</v>
      </c>
      <c r="F20" s="6">
        <f>INT(TONT20000DEC2015!E20+TONT20000JANV!C20+TONT20000FEV!C20+TONT20000MARS!C20+TONT20000AVRIL!C20+TONT20000MAI!C20+TONT20000JUIN!C20+TONT20000JUIL!C20+TONT20000AOUT!C20+TONT20000SEPT!C20+TONT20000OCT!C20+TONT20000NOV!C20)</f>
        <v>112018</v>
      </c>
      <c r="G20" s="6">
        <f>TONT20000NOV!E20</f>
        <v>1241015.3842870274</v>
      </c>
      <c r="H20" s="6">
        <f t="shared" si="1"/>
        <v>851015</v>
      </c>
      <c r="I20" s="6">
        <f t="shared" si="2"/>
        <v>80000</v>
      </c>
      <c r="J20" s="6">
        <f t="shared" si="3"/>
        <v>771015</v>
      </c>
      <c r="K20" s="6">
        <v>30000</v>
      </c>
      <c r="L20" s="6"/>
      <c r="M20" s="6">
        <v>50000</v>
      </c>
      <c r="N20" s="6">
        <f t="shared" si="4"/>
        <v>0</v>
      </c>
      <c r="O20" s="7">
        <f>TONT20000DEC2015!H20+TONT20000JANV!F20+TONT20000FEV!F20+TONT20000MARS!F20+TONT20000AVRIL!F20+TONT20000MAI!F20+TONT20000JUIN!F20+TONT20000JUIL!F20+TONT20000AOUT!F20+TONT20000SEPT!F20+TONT20000OCT!F20+TONT20000NOV!G20</f>
        <v>756000</v>
      </c>
      <c r="P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Q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R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S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T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U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V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W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X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Y20" s="7">
        <f>TONT20000DEC2015!R20+TONT20000JANV!P20+TONT20000FEV!P20+TONT20000MARS!P20+TONT20000AVRIL!P20+TONT20000MAI!P20+TONT20000JUIN!P20+TONT20000JUIL!P20+TONT20000AOUT!P20+TONT20000SEPT!P20+TONT20000OCT!P20+TONT20000NOV!Q20</f>
        <v>0</v>
      </c>
      <c r="Z20" s="7">
        <f>TONT20000DEC2015!S20+TONT20000JANV!Q20+TONT20000FEV!Q20+TONT20000MARS!Q20+TONT20000AVRIL!Q20+TONT20000MAI!Q20+TONT20000JUIN!Q20+TONT20000JUIL!Q20+TONT20000AOUT!Q20+TONT20000SEPT!Q20+TONT20000OCT!Q20+TONT20000NOV!R20</f>
        <v>0</v>
      </c>
      <c r="AA20" s="7">
        <f>TONT20000DEC2015!T20+TONT20000JANV!R20+TONT20000FEV!R20+TONT20000MARS!R20+TONT20000AVRIL!R20+TONT20000MAI!R20+TONT20000JUIN!R20+TONT20000JUIL!R20+TONT20000AOUT!R20+TONT20000SEPT!R20+TONT20000OCT!R20+TONT20000NOV!S20</f>
        <v>0</v>
      </c>
      <c r="AB20" s="2"/>
    </row>
    <row r="21" spans="1:28" x14ac:dyDescent="0.25">
      <c r="A21" s="1" t="s">
        <v>26</v>
      </c>
      <c r="B21" s="1" t="str">
        <f>VLOOKUP(A21,LISTADHERENT!A$5:H$52,2,0)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428723</v>
      </c>
      <c r="F21" s="6">
        <f>INT(TONT20000DEC2015!E21+TONT20000JANV!C21+TONT20000FEV!C21+TONT20000MARS!C21+TONT20000AVRIL!C21+TONT20000MAI!C21+TONT20000JUIN!C21+TONT20000JUIL!C21+TONT20000AOUT!C21+TONT20000SEPT!C21+TONT20000OCT!C21+TONT20000NOV!C21)</f>
        <v>45860</v>
      </c>
      <c r="G21" s="6">
        <f>TONT20000NOV!E21</f>
        <v>474583.70014191873</v>
      </c>
      <c r="H21" s="6">
        <f t="shared" si="1"/>
        <v>84583</v>
      </c>
      <c r="I21" s="6">
        <f t="shared" si="2"/>
        <v>80000</v>
      </c>
      <c r="J21" s="6">
        <f t="shared" si="3"/>
        <v>4583</v>
      </c>
      <c r="K21" s="6">
        <v>30000</v>
      </c>
      <c r="L21" s="6"/>
      <c r="M21" s="6">
        <v>50000</v>
      </c>
      <c r="N21" s="6">
        <f t="shared" si="4"/>
        <v>0</v>
      </c>
      <c r="O21" s="7">
        <f>TONT20000DEC2015!H21+TONT20000JANV!F21+TONT20000FEV!F21+TONT20000MARS!F21+TONT20000AVRIL!F21+TONT20000MAI!F21+TONT20000JUIN!F21+TONT20000JUIL!F21+TONT20000AOUT!F21+TONT20000SEPT!F21+TONT20000OCT!F21+TONT20000NOV!G21</f>
        <v>240000</v>
      </c>
      <c r="P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Q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R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S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T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U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V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W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X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Y21" s="7">
        <f>TONT20000DEC2015!R21+TONT20000JANV!P21+TONT20000FEV!P21+TONT20000MARS!P21+TONT20000AVRIL!P21+TONT20000MAI!P21+TONT20000JUIN!P21+TONT20000JUIL!P21+TONT20000AOUT!P21+TONT20000SEPT!P21+TONT20000OCT!P21+TONT20000NOV!Q21</f>
        <v>0</v>
      </c>
      <c r="Z21" s="7">
        <f>TONT20000DEC2015!S21+TONT20000JANV!Q21+TONT20000FEV!Q21+TONT20000MARS!Q21+TONT20000AVRIL!Q21+TONT20000MAI!Q21+TONT20000JUIN!Q21+TONT20000JUIL!Q21+TONT20000AOUT!Q21+TONT20000SEPT!Q21+TONT20000OCT!Q21+TONT20000NOV!R21</f>
        <v>0</v>
      </c>
      <c r="AA21" s="7">
        <f>TONT20000DEC2015!T21+TONT20000JANV!R21+TONT20000FEV!R21+TONT20000MARS!R21+TONT20000AVRIL!R21+TONT20000MAI!R21+TONT20000JUIN!R21+TONT20000JUIL!R21+TONT20000AOUT!R21+TONT20000SEPT!R21+TONT20000OCT!R21+TONT20000NOV!S21</f>
        <v>0</v>
      </c>
      <c r="AB21" s="2"/>
    </row>
    <row r="22" spans="1:28" ht="12.75" customHeight="1" x14ac:dyDescent="0.25">
      <c r="A22" s="1" t="s">
        <v>27</v>
      </c>
      <c r="B22" s="1" t="str">
        <f>VLOOKUP(A22,LISTADHERENT!A$5:H$52,2,0)</f>
        <v>KOUAMOU MOISE</v>
      </c>
      <c r="C22" s="6">
        <v>390000</v>
      </c>
      <c r="D22" s="6">
        <v>2099</v>
      </c>
      <c r="E22" s="6">
        <f t="shared" si="0"/>
        <v>428099</v>
      </c>
      <c r="F22" s="6">
        <f>INT(TONT20000DEC2015!E22+TONT20000JANV!C22+TONT20000FEV!C22+TONT20000MARS!C22+TONT20000AVRIL!C22+TONT20000MAI!C22+TONT20000JUIN!C22+TONT20000JUIL!C22+TONT20000AOUT!C22+TONT20000SEPT!C22+TONT20000OCT!C22+TONT20000NOV!C22)</f>
        <v>42862</v>
      </c>
      <c r="G22" s="6">
        <f>TONT20000NOV!E22</f>
        <v>470961.38059243694</v>
      </c>
      <c r="H22" s="6">
        <f t="shared" si="1"/>
        <v>80961</v>
      </c>
      <c r="I22" s="6">
        <f t="shared" si="2"/>
        <v>80000</v>
      </c>
      <c r="J22" s="6">
        <f t="shared" si="3"/>
        <v>961</v>
      </c>
      <c r="K22" s="6">
        <v>30000</v>
      </c>
      <c r="L22" s="6"/>
      <c r="M22" s="6">
        <v>50000</v>
      </c>
      <c r="N22" s="6">
        <f t="shared" si="4"/>
        <v>0</v>
      </c>
      <c r="O22" s="7">
        <f>TONT20000DEC2015!H22+TONT20000JANV!F22+TONT20000FEV!F22+TONT20000MARS!F22+TONT20000AVRIL!F22+TONT20000MAI!F22+TONT20000JUIN!F22+TONT20000JUIL!F22+TONT20000AOUT!F22+TONT20000SEPT!F22+TONT20000OCT!F22+TONT20000NOV!G22</f>
        <v>240000</v>
      </c>
      <c r="P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Q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R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S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T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U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V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W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X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Y22" s="7">
        <f>TONT20000DEC2015!R22+TONT20000JANV!P22+TONT20000FEV!P22+TONT20000MARS!P22+TONT20000AVRIL!P22+TONT20000MAI!P22+TONT20000JUIN!P22+TONT20000JUIL!P22+TONT20000AOUT!P22+TONT20000SEPT!P22+TONT20000OCT!P22+TONT20000NOV!Q22</f>
        <v>0</v>
      </c>
      <c r="Z22" s="7">
        <f>TONT20000DEC2015!S22+TONT20000JANV!Q22+TONT20000FEV!Q22+TONT20000MARS!Q22+TONT20000AVRIL!Q22+TONT20000MAI!Q22+TONT20000JUIN!Q22+TONT20000JUIL!Q22+TONT20000AOUT!Q22+TONT20000SEPT!Q22+TONT20000OCT!Q22+TONT20000NOV!R22</f>
        <v>0</v>
      </c>
      <c r="AA22" s="7">
        <f>TONT20000DEC2015!T22+TONT20000JANV!R22+TONT20000FEV!R22+TONT20000MARS!R22+TONT20000AVRIL!R22+TONT20000MAI!R22+TONT20000JUIN!R22+TONT20000JUIL!R22+TONT20000AOUT!R22+TONT20000SEPT!R22+TONT20000OCT!R22+TONT20000NOV!S22</f>
        <v>0</v>
      </c>
      <c r="AB22" s="2"/>
    </row>
    <row r="23" spans="1:28" x14ac:dyDescent="0.25">
      <c r="A23" s="1" t="s">
        <v>28</v>
      </c>
      <c r="B23" s="1" t="str">
        <f>VLOOKUP(A23,LISTADHERENT!A$5:H$52,2,0)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461629</v>
      </c>
      <c r="F23" s="6">
        <f>INT(TONT20000DEC2015!E23+TONT20000JANV!C23+TONT20000FEV!C23+TONT20000MARS!C23+TONT20000AVRIL!C23+TONT20000MAI!C23+TONT20000JUIN!C23+TONT20000JUIL!C23+TONT20000AOUT!C23+TONT20000SEPT!C23+TONT20000OCT!C23+TONT20000NOV!C23)</f>
        <v>49596</v>
      </c>
      <c r="G23" s="6">
        <f>TONT20000NOV!E23</f>
        <v>511225.83930660138</v>
      </c>
      <c r="H23" s="6">
        <f t="shared" si="1"/>
        <v>121225</v>
      </c>
      <c r="I23" s="6">
        <f t="shared" si="2"/>
        <v>80000</v>
      </c>
      <c r="J23" s="6">
        <f t="shared" si="3"/>
        <v>41225</v>
      </c>
      <c r="K23" s="6">
        <v>30000</v>
      </c>
      <c r="L23" s="6"/>
      <c r="M23" s="6">
        <v>50000</v>
      </c>
      <c r="N23" s="6">
        <f t="shared" si="4"/>
        <v>0</v>
      </c>
      <c r="O23" s="7">
        <f>TONT20000DEC2015!H23+TONT20000JANV!F23+TONT20000FEV!F23+TONT20000MARS!F23+TONT20000AVRIL!F23+TONT20000MAI!F23+TONT20000JUIN!F23+TONT20000JUIL!F23+TONT20000AOUT!F23+TONT20000SEPT!F23+TONT20000OCT!F23+TONT20000NOV!G23</f>
        <v>239000</v>
      </c>
      <c r="P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Q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R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S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T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U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V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W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X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Y23" s="7">
        <f>TONT20000DEC2015!R23+TONT20000JANV!P23+TONT20000FEV!P23+TONT20000MARS!P23+TONT20000AVRIL!P23+TONT20000MAI!P23+TONT20000JUIN!P23+TONT20000JUIL!P23+TONT20000AOUT!P23+TONT20000SEPT!P23+TONT20000OCT!P23+TONT20000NOV!Q23</f>
        <v>0</v>
      </c>
      <c r="Z23" s="7">
        <f>TONT20000DEC2015!S23+TONT20000JANV!Q23+TONT20000FEV!Q23+TONT20000MARS!Q23+TONT20000AVRIL!Q23+TONT20000MAI!Q23+TONT20000JUIN!Q23+TONT20000JUIL!Q23+TONT20000AOUT!Q23+TONT20000SEPT!Q23+TONT20000OCT!Q23+TONT20000NOV!R23</f>
        <v>0</v>
      </c>
      <c r="AA23" s="7">
        <f>TONT20000DEC2015!T23+TONT20000JANV!R23+TONT20000FEV!R23+TONT20000MARS!R23+TONT20000AVRIL!R23+TONT20000MAI!R23+TONT20000JUIN!R23+TONT20000JUIL!R23+TONT20000AOUT!R23+TONT20000SEPT!R23+TONT20000OCT!R23+TONT20000NOV!S23</f>
        <v>0</v>
      </c>
      <c r="AB23" s="2"/>
    </row>
    <row r="24" spans="1:28" x14ac:dyDescent="0.25">
      <c r="A24" s="1" t="s">
        <v>29</v>
      </c>
      <c r="B24" s="1" t="str">
        <f>VLOOKUP(A24,LISTADHERENT!A$5:H$52,2,0)</f>
        <v>KOUATCHO MESSACK</v>
      </c>
      <c r="C24" s="6">
        <f>VLOOKUP(A24,FONDSDECAISSE!A$5:C$52,3,0)</f>
        <v>390000</v>
      </c>
      <c r="D24" s="6">
        <v>0</v>
      </c>
      <c r="E24" s="6">
        <f t="shared" si="0"/>
        <v>426000</v>
      </c>
      <c r="F24" s="6">
        <f>INT(TONT20000DEC2015!E24+TONT20000JANV!C24+TONT20000FEV!C24+TONT20000MARS!C24+TONT20000AVRIL!C24+TONT20000MAI!C24+TONT20000JUIN!C24+TONT20000JUIL!C24+TONT20000AOUT!C24+TONT20000SEPT!C24+TONT20000OCT!C24+TONT20000NOV!C24)</f>
        <v>45559</v>
      </c>
      <c r="G24" s="6">
        <f>TONT20000NOV!E24</f>
        <v>471559.45497205318</v>
      </c>
      <c r="H24" s="6">
        <f t="shared" si="1"/>
        <v>81559</v>
      </c>
      <c r="I24" s="6">
        <f t="shared" si="2"/>
        <v>80000</v>
      </c>
      <c r="J24" s="6">
        <f t="shared" si="3"/>
        <v>1559</v>
      </c>
      <c r="K24" s="6">
        <v>30000</v>
      </c>
      <c r="L24" s="6"/>
      <c r="M24" s="6">
        <v>50000</v>
      </c>
      <c r="N24" s="6">
        <f t="shared" si="4"/>
        <v>0</v>
      </c>
      <c r="O24" s="7">
        <f>TONT20000DEC2015!H24+TONT20000JANV!F24+TONT20000FEV!F24+TONT20000MARS!F24+TONT20000AVRIL!F24+TONT20000MAI!F24+TONT20000JUIN!F24+TONT20000JUIL!F24+TONT20000AOUT!F24+TONT20000SEPT!F24+TONT20000OCT!F24+TONT20000NOV!G24</f>
        <v>240000</v>
      </c>
      <c r="P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Q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R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S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T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U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V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W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X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Y24" s="7">
        <f>TONT20000DEC2015!R24+TONT20000JANV!P24+TONT20000FEV!P24+TONT20000MARS!P24+TONT20000AVRIL!P24+TONT20000MAI!P24+TONT20000JUIN!P24+TONT20000JUIL!P24+TONT20000AOUT!P24+TONT20000SEPT!P24+TONT20000OCT!P24+TONT20000NOV!Q24</f>
        <v>0</v>
      </c>
      <c r="Z24" s="7">
        <f>TONT20000DEC2015!S24+TONT20000JANV!Q24+TONT20000FEV!Q24+TONT20000MARS!Q24+TONT20000AVRIL!Q24+TONT20000MAI!Q24+TONT20000JUIN!Q24+TONT20000JUIL!Q24+TONT20000AOUT!Q24+TONT20000SEPT!Q24+TONT20000OCT!Q24+TONT20000NOV!R24</f>
        <v>0</v>
      </c>
      <c r="AA24" s="7">
        <f>TONT20000DEC2015!T24+TONT20000JANV!R24+TONT20000FEV!R24+TONT20000MARS!R24+TONT20000AVRIL!R24+TONT20000MAI!R24+TONT20000JUIN!R24+TONT20000JUIL!R24+TONT20000AOUT!R24+TONT20000SEPT!R24+TONT20000OCT!R24+TONT20000NOV!S24</f>
        <v>0</v>
      </c>
      <c r="AB24" s="2"/>
    </row>
    <row r="25" spans="1:28" x14ac:dyDescent="0.25">
      <c r="A25" s="1" t="s">
        <v>30</v>
      </c>
      <c r="B25" s="1" t="str">
        <f>VLOOKUP(A25,LISTADHERENT!A$5:H$52,2,0)</f>
        <v>LOWE JEAN</v>
      </c>
      <c r="C25" s="6">
        <f>VLOOKUP(A25,FONDSDECAISSE!A$5:C$52,3,0)</f>
        <v>390000</v>
      </c>
      <c r="D25" s="6">
        <v>4331</v>
      </c>
      <c r="E25" s="6">
        <f t="shared" si="0"/>
        <v>430331</v>
      </c>
      <c r="F25" s="6">
        <f>INT(TONT20000DEC2015!E25+TONT20000JANV!C25+TONT20000FEV!C25+TONT20000MARS!C25+TONT20000AVRIL!C25+TONT20000MAI!C25+TONT20000JUIN!C25+TONT20000JUIL!C25+TONT20000AOUT!C25+TONT20000SEPT!C25+TONT20000OCT!C25+TONT20000NOV!C25)</f>
        <v>46038</v>
      </c>
      <c r="G25" s="6">
        <f>TONT20000NOV!E25</f>
        <v>476369.59299287124</v>
      </c>
      <c r="H25" s="6">
        <f t="shared" si="1"/>
        <v>86369</v>
      </c>
      <c r="I25" s="6">
        <f t="shared" si="2"/>
        <v>80000</v>
      </c>
      <c r="J25" s="6">
        <f t="shared" si="3"/>
        <v>6369</v>
      </c>
      <c r="K25" s="6">
        <v>30000</v>
      </c>
      <c r="L25" s="6"/>
      <c r="M25" s="6">
        <v>50000</v>
      </c>
      <c r="N25" s="6">
        <f t="shared" si="4"/>
        <v>0</v>
      </c>
      <c r="O25" s="7">
        <f>TONT20000DEC2015!H25+TONT20000JANV!F25+TONT20000FEV!F25+TONT20000MARS!F25+TONT20000AVRIL!F25+TONT20000MAI!F25+TONT20000JUIN!F25+TONT20000JUIL!F25+TONT20000AOUT!F25+TONT20000SEPT!F25+TONT20000OCT!F25+TONT20000NOV!G25</f>
        <v>240000</v>
      </c>
      <c r="P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Q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R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S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T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U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V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W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X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Y25" s="7">
        <f>TONT20000DEC2015!R25+TONT20000JANV!P25+TONT20000FEV!P25+TONT20000MARS!P25+TONT20000AVRIL!P25+TONT20000MAI!P25+TONT20000JUIN!P25+TONT20000JUIL!P25+TONT20000AOUT!P25+TONT20000SEPT!P25+TONT20000OCT!P25+TONT20000NOV!Q25</f>
        <v>0</v>
      </c>
      <c r="Z25" s="7">
        <f>TONT20000DEC2015!S25+TONT20000JANV!Q25+TONT20000FEV!Q25+TONT20000MARS!Q25+TONT20000AVRIL!Q25+TONT20000MAI!Q25+TONT20000JUIN!Q25+TONT20000JUIL!Q25+TONT20000AOUT!Q25+TONT20000SEPT!Q25+TONT20000OCT!Q25+TONT20000NOV!R25</f>
        <v>0</v>
      </c>
      <c r="AA25" s="7">
        <f>TONT20000DEC2015!T25+TONT20000JANV!R25+TONT20000FEV!R25+TONT20000MARS!R25+TONT20000AVRIL!R25+TONT20000MAI!R25+TONT20000JUIN!R25+TONT20000JUIL!R25+TONT20000AOUT!R25+TONT20000SEPT!R25+TONT20000OCT!R25+TONT20000NOV!S25</f>
        <v>0</v>
      </c>
      <c r="AB25" s="2"/>
    </row>
    <row r="26" spans="1:28" x14ac:dyDescent="0.25">
      <c r="A26" s="1" t="s">
        <v>31</v>
      </c>
      <c r="B26" s="1" t="str">
        <f>VLOOKUP(A26,LISTADHERENT!A$5:H$52,2,0)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435411</v>
      </c>
      <c r="F26" s="6">
        <f>INT(TONT20000DEC2015!E26+TONT20000JANV!C26+TONT20000FEV!C26+TONT20000MARS!C26+TONT20000AVRIL!C26+TONT20000MAI!C26+TONT20000JUIN!C26+TONT20000JUIL!C26+TONT20000AOUT!C26+TONT20000SEPT!C26+TONT20000OCT!C26+TONT20000NOV!C26)</f>
        <v>46600</v>
      </c>
      <c r="G26" s="6">
        <f>TONT20000NOV!E26</f>
        <v>482011.59279563196</v>
      </c>
      <c r="H26" s="6">
        <f t="shared" si="1"/>
        <v>92011</v>
      </c>
      <c r="I26" s="6">
        <f t="shared" si="2"/>
        <v>80000</v>
      </c>
      <c r="J26" s="6">
        <f t="shared" si="3"/>
        <v>12011</v>
      </c>
      <c r="K26" s="6">
        <v>30000</v>
      </c>
      <c r="L26" s="6"/>
      <c r="M26" s="6">
        <v>50000</v>
      </c>
      <c r="N26" s="6">
        <f t="shared" si="4"/>
        <v>0</v>
      </c>
      <c r="O26" s="7">
        <f>TONT20000DEC2015!H26+TONT20000JANV!F26+TONT20000FEV!F26+TONT20000MARS!F26+TONT20000AVRIL!F26+TONT20000MAI!F26+TONT20000JUIN!F26+TONT20000JUIL!F26+TONT20000AOUT!F26+TONT20000SEPT!F26+TONT20000OCT!F26+TONT20000NOV!G26</f>
        <v>245000</v>
      </c>
      <c r="P26" s="7">
        <f>TONT20000DEC2015!I26+TONT20000JANV!G26+TONT20000FEV!G26+TONT20000MARS!G26+TONT20000AVRIL!G26+TONT20000MAI!G26+TONT20000JUIN!G26+TONT20000JUIL!G26+TONT20000AOUT!G26+TONT20000SEPT!G26+TONT20000OCT!G26+TONT20000NOV!H26</f>
        <v>41000</v>
      </c>
      <c r="Q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R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S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T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U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V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W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X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Y26" s="7">
        <f>TONT20000DEC2015!R26+TONT20000JANV!P26+TONT20000FEV!P26+TONT20000MARS!P26+TONT20000AVRIL!P26+TONT20000MAI!P26+TONT20000JUIN!P26+TONT20000JUIL!P26+TONT20000AOUT!P26+TONT20000SEPT!P26+TONT20000OCT!P26+TONT20000NOV!Q26</f>
        <v>0</v>
      </c>
      <c r="Z26" s="7">
        <f>TONT20000DEC2015!S26+TONT20000JANV!Q26+TONT20000FEV!Q26+TONT20000MARS!Q26+TONT20000AVRIL!Q26+TONT20000MAI!Q26+TONT20000JUIN!Q26+TONT20000JUIL!Q26+TONT20000AOUT!Q26+TONT20000SEPT!Q26+TONT20000OCT!Q26+TONT20000NOV!R26</f>
        <v>0</v>
      </c>
      <c r="AA26" s="7">
        <f>TONT20000DEC2015!T26+TONT20000JANV!R26+TONT20000FEV!R26+TONT20000MARS!R26+TONT20000AVRIL!R26+TONT20000MAI!R26+TONT20000JUIN!R26+TONT20000JUIL!R26+TONT20000AOUT!R26+TONT20000SEPT!R26+TONT20000OCT!R26+TONT20000NOV!S26</f>
        <v>0</v>
      </c>
      <c r="AB26" s="2"/>
    </row>
    <row r="27" spans="1:28" x14ac:dyDescent="0.25">
      <c r="A27" s="1" t="s">
        <v>32</v>
      </c>
      <c r="B27" s="1" t="str">
        <f>VLOOKUP(A27,LISTADHERENT!A$5:H$52,2,0)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483060</v>
      </c>
      <c r="F27" s="6">
        <f>INT(TONT20000DEC2015!E27+TONT20000JANV!C27+TONT20000FEV!C27+TONT20000MARS!C27+TONT20000AVRIL!C27+TONT20000MAI!C27+TONT20000JUIN!C27+TONT20000JUIL!C27+TONT20000AOUT!C27+TONT20000SEPT!C27+TONT20000OCT!C27+TONT20000NOV!C27)</f>
        <v>49257</v>
      </c>
      <c r="G27" s="6">
        <f>TONT20000NOV!E27</f>
        <v>532317.20448954636</v>
      </c>
      <c r="H27" s="6">
        <f t="shared" si="1"/>
        <v>142317</v>
      </c>
      <c r="I27" s="6">
        <f t="shared" si="2"/>
        <v>80000</v>
      </c>
      <c r="J27" s="6">
        <f t="shared" si="3"/>
        <v>62317</v>
      </c>
      <c r="K27" s="6">
        <v>30000</v>
      </c>
      <c r="L27" s="6"/>
      <c r="M27" s="6">
        <v>50000</v>
      </c>
      <c r="N27" s="6">
        <f t="shared" si="4"/>
        <v>0</v>
      </c>
      <c r="O27" s="7">
        <f>TONT20000DEC2015!H27+TONT20000JANV!F27+TONT20000FEV!F27+TONT20000MARS!F27+TONT20000AVRIL!F27+TONT20000MAI!F27+TONT20000JUIN!F27+TONT20000JUIL!F27+TONT20000AOUT!F27+TONT20000SEPT!F27+TONT20000OCT!F27+TONT20000NOV!G27</f>
        <v>295000</v>
      </c>
      <c r="P27" s="7">
        <f>TONT20000DEC2015!I27+TONT20000JANV!G27+TONT20000FEV!G27+TONT20000MARS!G27+TONT20000AVRIL!G27+TONT20000MAI!G27+TONT20000JUIN!G27+TONT20000JUIL!G27+TONT20000AOUT!G27+TONT20000SEPT!G27+TONT20000OCT!G27+TONT20000NOV!H27</f>
        <v>91000</v>
      </c>
      <c r="Q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R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S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T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U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V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W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X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Y27" s="7">
        <f>TONT20000DEC2015!R27+TONT20000JANV!P27+TONT20000FEV!P27+TONT20000MARS!P27+TONT20000AVRIL!P27+TONT20000MAI!P27+TONT20000JUIN!P27+TONT20000JUIL!P27+TONT20000AOUT!P27+TONT20000SEPT!P27+TONT20000OCT!P27+TONT20000NOV!Q27</f>
        <v>0</v>
      </c>
      <c r="Z27" s="7">
        <f>TONT20000DEC2015!S27+TONT20000JANV!Q27+TONT20000FEV!Q27+TONT20000MARS!Q27+TONT20000AVRIL!Q27+TONT20000MAI!Q27+TONT20000JUIN!Q27+TONT20000JUIL!Q27+TONT20000AOUT!Q27+TONT20000SEPT!Q27+TONT20000OCT!Q27+TONT20000NOV!R27</f>
        <v>0</v>
      </c>
      <c r="AA27" s="7">
        <f>TONT20000DEC2015!T27+TONT20000JANV!R27+TONT20000FEV!R27+TONT20000MARS!R27+TONT20000AVRIL!R27+TONT20000MAI!R27+TONT20000JUIN!R27+TONT20000JUIL!R27+TONT20000AOUT!R27+TONT20000SEPT!R27+TONT20000OCT!R27+TONT20000NOV!S27</f>
        <v>0</v>
      </c>
      <c r="AB27" s="2"/>
    </row>
    <row r="28" spans="1:28" ht="0.75" customHeight="1" x14ac:dyDescent="0.25">
      <c r="A28" s="1" t="s">
        <v>33</v>
      </c>
      <c r="B28" s="1" t="str">
        <f>VLOOKUP(A28,LISTADHERENT!A$5:H$52,2,0)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INT(TONT20000DEC2015!E28+TONT20000JANV!C28+TONT20000FEV!C28+TONT20000MARS!C28+TONT20000AVRIL!C28+TONT20000MAI!C28+TONT20000JUIN!C28+TONT20000JUIL!C28+TONT20000AOUT!C28+TONT20000SEPT!C28+TONT20000OCT!C28+TONT20000NOV!C28)</f>
        <v>0</v>
      </c>
      <c r="G28" s="6">
        <f>TONT20000NOV!E28</f>
        <v>0</v>
      </c>
      <c r="H28" s="6">
        <f t="shared" si="1"/>
        <v>0</v>
      </c>
      <c r="I28" s="6">
        <f t="shared" si="2"/>
        <v>0</v>
      </c>
      <c r="J28" s="6">
        <f t="shared" si="3"/>
        <v>0</v>
      </c>
      <c r="K28" s="6"/>
      <c r="L28" s="6"/>
      <c r="M28" s="6"/>
      <c r="N28" s="6"/>
      <c r="O28" s="7">
        <f>TONT20000DEC2015!H28+TONT20000JANV!F28+TONT20000FEV!F28+TONT20000MARS!F28+TONT20000AVRIL!F28+TONT20000MAI!F28+TONT20000JUIN!F28+TONT20000JUIL!F28+TONT20000AOUT!F28+TONT20000SEPT!F28+TONT20000OCT!F28+TONT20000NOV!G28</f>
        <v>0</v>
      </c>
      <c r="P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Q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R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S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T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U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V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W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X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Y28" s="7">
        <f>TONT20000DEC2015!R28+TONT20000JANV!P28+TONT20000FEV!P28+TONT20000MARS!P28+TONT20000AVRIL!P28+TONT20000MAI!P28+TONT20000JUIN!P28+TONT20000JUIL!P28+TONT20000AOUT!P28+TONT20000SEPT!P28+TONT20000OCT!P28+TONT20000NOV!Q28</f>
        <v>0</v>
      </c>
      <c r="Z28" s="7">
        <f>TONT20000DEC2015!S28+TONT20000JANV!Q28+TONT20000FEV!Q28+TONT20000MARS!Q28+TONT20000AVRIL!Q28+TONT20000MAI!Q28+TONT20000JUIN!Q28+TONT20000JUIL!Q28+TONT20000AOUT!Q28+TONT20000SEPT!Q28+TONT20000OCT!Q28+TONT20000NOV!R28</f>
        <v>0</v>
      </c>
      <c r="AA28" s="7">
        <f>TONT20000DEC2015!T28+TONT20000JANV!R28+TONT20000FEV!R28+TONT20000MARS!R28+TONT20000AVRIL!R28+TONT20000MAI!R28+TONT20000JUIN!R28+TONT20000JUIL!R28+TONT20000AOUT!R28+TONT20000SEPT!R28+TONT20000OCT!R28+TONT20000NOV!S28</f>
        <v>0</v>
      </c>
      <c r="AB28" s="2"/>
    </row>
    <row r="29" spans="1:28" x14ac:dyDescent="0.25">
      <c r="A29" s="1" t="s">
        <v>34</v>
      </c>
      <c r="B29" s="1" t="str">
        <f>VLOOKUP(A29,LISTADHERENT!A$5:H$52,2,0)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605574</v>
      </c>
      <c r="F29" s="6">
        <f>INT(TONT20000DEC2015!E29+TONT20000JANV!C29+TONT20000FEV!C29+TONT20000MARS!C29+TONT20000AVRIL!C29+TONT20000MAI!C29+TONT20000JUIN!C29+TONT20000JUIL!C29+TONT20000AOUT!C29+TONT20000SEPT!C29+TONT20000OCT!C29+TONT20000NOV!C29)</f>
        <v>65425</v>
      </c>
      <c r="G29" s="6">
        <f>TONT20000NOV!E29</f>
        <v>670999.7054801113</v>
      </c>
      <c r="H29" s="6">
        <f t="shared" si="1"/>
        <v>280999</v>
      </c>
      <c r="I29" s="6">
        <f t="shared" si="2"/>
        <v>80000</v>
      </c>
      <c r="J29" s="6">
        <f t="shared" si="3"/>
        <v>200999</v>
      </c>
      <c r="K29" s="6">
        <v>30000</v>
      </c>
      <c r="L29" s="6"/>
      <c r="M29" s="6">
        <v>50000</v>
      </c>
      <c r="N29" s="6">
        <f t="shared" si="4"/>
        <v>0</v>
      </c>
      <c r="O29" s="7">
        <f>TONT20000DEC2015!H29+TONT20000JANV!F29+TONT20000FEV!F29+TONT20000MARS!F29+TONT20000AVRIL!F29+TONT20000MAI!F29+TONT20000JUIN!F29+TONT20000JUIL!F29+TONT20000AOUT!F29+TONT20000SEPT!F29+TONT20000OCT!F29+TONT20000NOV!G29</f>
        <v>240000</v>
      </c>
      <c r="P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Q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R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S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T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U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V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W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X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Y29" s="7">
        <f>TONT20000DEC2015!R29+TONT20000JANV!P29+TONT20000FEV!P29+TONT20000MARS!P29+TONT20000AVRIL!P29+TONT20000MAI!P29+TONT20000JUIN!P29+TONT20000JUIL!P29+TONT20000AOUT!P29+TONT20000SEPT!P29+TONT20000OCT!P29+TONT20000NOV!Q29</f>
        <v>0</v>
      </c>
      <c r="Z29" s="7">
        <f>TONT20000DEC2015!S29+TONT20000JANV!Q29+TONT20000FEV!Q29+TONT20000MARS!Q29+TONT20000AVRIL!Q29+TONT20000MAI!Q29+TONT20000JUIN!Q29+TONT20000JUIL!Q29+TONT20000AOUT!Q29+TONT20000SEPT!Q29+TONT20000OCT!Q29+TONT20000NOV!R29</f>
        <v>0</v>
      </c>
      <c r="AA29" s="7">
        <f>TONT20000DEC2015!T29+TONT20000JANV!R29+TONT20000FEV!R29+TONT20000MARS!R29+TONT20000AVRIL!R29+TONT20000MAI!R29+TONT20000JUIN!R29+TONT20000JUIL!R29+TONT20000AOUT!R29+TONT20000SEPT!R29+TONT20000OCT!R29+TONT20000NOV!S29</f>
        <v>0</v>
      </c>
      <c r="AB29" s="2"/>
    </row>
    <row r="30" spans="1:28" x14ac:dyDescent="0.25">
      <c r="A30" s="1" t="s">
        <v>35</v>
      </c>
      <c r="B30" s="1" t="str">
        <f>VLOOKUP(A30,LISTADHERENT!A$5:H$52,2,0)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17782</v>
      </c>
      <c r="F30" s="6">
        <f>INT(TONT20000DEC2015!E30+TONT20000JANV!C30+TONT20000FEV!C30+TONT20000MARS!C30+TONT20000AVRIL!C30+TONT20000MAI!C30+TONT20000JUIN!C30+TONT20000JUIL!C30+TONT20000AOUT!C30+TONT20000SEPT!C30+TONT20000OCT!C30+TONT20000NOV!C30)</f>
        <v>2413</v>
      </c>
      <c r="G30" s="6">
        <f>TONT20000NOV!E30</f>
        <v>38413.800823108104</v>
      </c>
      <c r="H30" s="6">
        <f t="shared" si="1"/>
        <v>20195</v>
      </c>
      <c r="I30" s="6">
        <f t="shared" si="2"/>
        <v>20196</v>
      </c>
      <c r="J30" s="6">
        <f t="shared" si="3"/>
        <v>-1</v>
      </c>
      <c r="K30" s="6"/>
      <c r="L30" s="6"/>
      <c r="M30" s="6">
        <f>50000-29804</f>
        <v>20196</v>
      </c>
      <c r="N30" s="6">
        <f t="shared" si="4"/>
        <v>0</v>
      </c>
      <c r="O30" s="7">
        <f>TONT20000DEC2015!H30+TONT20000JANV!F30+TONT20000FEV!F30+TONT20000MARS!F30+TONT20000AVRIL!F30+TONT20000MAI!F30+TONT20000JUIN!F30+TONT20000JUIL!F30+TONT20000AOUT!F30+TONT20000SEPT!F30+TONT20000OCT!F30+TONT20000NOV!G30</f>
        <v>240000</v>
      </c>
      <c r="P30" s="7">
        <f>TONT20000DEC2015!I30+TONT20000JANV!G30+TONT20000FEV!G30+TONT20000MARS!G30+TONT20000AVRIL!G30+TONT20000MAI!G30+TONT20000JUIN!G30+TONT20000JUIL!G30+TONT20000AOUT!G30+TONT20000SEPT!G30+TONT20000OCT!G30+TONT20000NOV!H30-18218</f>
        <v>17782</v>
      </c>
      <c r="Q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R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S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T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U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V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W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X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Y30" s="7">
        <f>TONT20000DEC2015!R30+TONT20000JANV!P30+TONT20000FEV!P30+TONT20000MARS!P30+TONT20000AVRIL!P30+TONT20000MAI!P30+TONT20000JUIN!P30+TONT20000JUIL!P30+TONT20000AOUT!P30+TONT20000SEPT!P30+TONT20000OCT!P30+TONT20000NOV!Q30</f>
        <v>0</v>
      </c>
      <c r="Z30" s="7">
        <f>TONT20000DEC2015!S30+TONT20000JANV!Q30+TONT20000FEV!Q30+TONT20000MARS!Q30+TONT20000AVRIL!Q30+TONT20000MAI!Q30+TONT20000JUIN!Q30+TONT20000JUIL!Q30+TONT20000AOUT!Q30+TONT20000SEPT!Q30+TONT20000OCT!Q30+TONT20000NOV!R30</f>
        <v>0</v>
      </c>
      <c r="AA30" s="7">
        <f>TONT20000DEC2015!T30+TONT20000JANV!R30+TONT20000FEV!R30+TONT20000MARS!R30+TONT20000AVRIL!R30+TONT20000MAI!R30+TONT20000JUIN!R30+TONT20000JUIL!R30+TONT20000AOUT!R30+TONT20000SEPT!R30+TONT20000OCT!R30+TONT20000NOV!S30</f>
        <v>0</v>
      </c>
      <c r="AB30" s="2"/>
    </row>
    <row r="31" spans="1:28" x14ac:dyDescent="0.25">
      <c r="A31" s="1" t="s">
        <v>36</v>
      </c>
      <c r="B31" s="1" t="str">
        <f>VLOOKUP(A31,LISTADHERENT!A$5:H$52,2,0)</f>
        <v>NGUIEMEGNI MATHIEU BLAISE</v>
      </c>
      <c r="C31" s="6">
        <v>390000</v>
      </c>
      <c r="D31" s="6">
        <v>0</v>
      </c>
      <c r="E31" s="6">
        <f t="shared" si="0"/>
        <v>947945</v>
      </c>
      <c r="F31" s="6">
        <f>INT(TONT20000DEC2015!E31+TONT20000JANV!C31+TONT20000FEV!C31+TONT20000MARS!C31+TONT20000AVRIL!C31+TONT20000MAI!C31+TONT20000JUIN!C31+TONT20000JUIL!C31+TONT20000AOUT!C31+TONT20000SEPT!C31+TONT20000OCT!C31+TONT20000NOV!C31)</f>
        <v>38148</v>
      </c>
      <c r="G31" s="6">
        <f>TONT20000NOV!E31</f>
        <v>986093.3536324047</v>
      </c>
      <c r="H31" s="6">
        <f t="shared" si="1"/>
        <v>596093</v>
      </c>
      <c r="I31" s="6">
        <f t="shared" si="2"/>
        <v>30000</v>
      </c>
      <c r="J31" s="6">
        <f t="shared" si="3"/>
        <v>566093</v>
      </c>
      <c r="K31" s="6">
        <v>30000</v>
      </c>
      <c r="L31" s="6"/>
      <c r="M31" s="6">
        <v>0</v>
      </c>
      <c r="N31" s="6">
        <f t="shared" si="4"/>
        <v>0</v>
      </c>
      <c r="O31" s="7">
        <f>TONT20000DEC2015!H31+TONT20000JANV!F31+TONT20000FEV!F31+TONT20000MARS!F31+TONT20000AVRIL!F31+TONT20000MAI!F31+TONT20000JUIN!F31+TONT20000JUIL!F31+TONT20000AOUT!F31+TONT20000SEPT!F31+TONT20000OCT!F31+TONT20000NOV!G31</f>
        <v>862000</v>
      </c>
      <c r="P31" s="7">
        <f>TONT20000DEC2015!I31+TONT20000JANV!G31+TONT20000FEV!G31+TONT20000MARS!G31+TONT20000AVRIL!G31+TONT20000MAI!G31+TONT20000JUIN!G31+TONT20000JUIL!G31+TONT20000AOUT!G31+TONT20000SEPT!G31+TONT20000OCT!G31+TONT20000NOV!H31</f>
        <v>557945</v>
      </c>
      <c r="Q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R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S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T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U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V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W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X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Y31" s="7">
        <f>TONT20000DEC2015!R31+TONT20000JANV!P31+TONT20000FEV!P31+TONT20000MARS!P31+TONT20000AVRIL!P31+TONT20000MAI!P31+TONT20000JUIN!P31+TONT20000JUIL!P31+TONT20000AOUT!P31+TONT20000SEPT!P31+TONT20000OCT!P31+TONT20000NOV!Q31</f>
        <v>0</v>
      </c>
      <c r="Z31" s="7">
        <f>TONT20000DEC2015!S31+TONT20000JANV!Q31+TONT20000FEV!Q31+TONT20000MARS!Q31+TONT20000AVRIL!Q31+TONT20000MAI!Q31+TONT20000JUIN!Q31+TONT20000JUIL!Q31+TONT20000AOUT!Q31+TONT20000SEPT!Q31+TONT20000OCT!Q31+TONT20000NOV!R31</f>
        <v>50055</v>
      </c>
      <c r="AA31" s="7">
        <f>TONT20000DEC2015!T31+TONT20000JANV!R31+TONT20000FEV!R31+TONT20000MARS!R31+TONT20000AVRIL!R31+TONT20000MAI!R31+TONT20000JUIN!R31+TONT20000JUIL!R31+TONT20000AOUT!R31+TONT20000SEPT!R31+TONT20000OCT!R31+TONT20000NOV!S31</f>
        <v>0</v>
      </c>
      <c r="AB31" s="2"/>
    </row>
    <row r="32" spans="1:28" x14ac:dyDescent="0.25">
      <c r="A32" s="1" t="s">
        <v>37</v>
      </c>
      <c r="B32" s="1" t="str">
        <f>VLOOKUP(A32,LISTADHERENT!A$5:H$52,2,0)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444734</v>
      </c>
      <c r="F32" s="6">
        <f>INT(TONT20000DEC2015!E32+TONT20000JANV!C32+TONT20000FEV!C32+TONT20000MARS!C32+TONT20000AVRIL!C32+TONT20000MAI!C32+TONT20000JUIN!C32+TONT20000JUIL!C32+TONT20000AOUT!C32+TONT20000SEPT!C32+TONT20000OCT!C32+TONT20000NOV!C32)</f>
        <v>47313</v>
      </c>
      <c r="G32" s="6">
        <f>TONT20000NOV!E32</f>
        <v>492047.79834987258</v>
      </c>
      <c r="H32" s="6">
        <f t="shared" si="1"/>
        <v>102047</v>
      </c>
      <c r="I32" s="6">
        <f t="shared" si="2"/>
        <v>80000</v>
      </c>
      <c r="J32" s="6">
        <f t="shared" si="3"/>
        <v>22047</v>
      </c>
      <c r="K32" s="6">
        <v>30000</v>
      </c>
      <c r="L32" s="6"/>
      <c r="M32" s="6">
        <v>50000</v>
      </c>
      <c r="N32" s="6">
        <f t="shared" si="4"/>
        <v>0</v>
      </c>
      <c r="O32" s="7">
        <f>TONT20000DEC2015!H32+TONT20000JANV!F32+TONT20000FEV!F32+TONT20000MARS!F32+TONT20000AVRIL!F32+TONT20000MAI!F32+TONT20000JUIN!F32+TONT20000JUIL!F32+TONT20000AOUT!F32+TONT20000SEPT!F32+TONT20000OCT!F32+TONT20000NOV!G32</f>
        <v>257000</v>
      </c>
      <c r="P32" s="7">
        <f>TONT20000DEC2015!I32+TONT20000JANV!G32+TONT20000FEV!G32+TONT20000MARS!G32+TONT20000AVRIL!G32+TONT20000MAI!G32+TONT20000JUIN!G32+TONT20000JUIL!G32+TONT20000AOUT!G32+TONT20000SEPT!G32+TONT20000OCT!G32+TONT20000NOV!H32</f>
        <v>53000</v>
      </c>
      <c r="Q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R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S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T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U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V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W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X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Y32" s="7">
        <f>TONT20000DEC2015!R32+TONT20000JANV!P32+TONT20000FEV!P32+TONT20000MARS!P32+TONT20000AVRIL!P32+TONT20000MAI!P32+TONT20000JUIN!P32+TONT20000JUIL!P32+TONT20000AOUT!P32+TONT20000SEPT!P32+TONT20000OCT!P32+TONT20000NOV!Q32</f>
        <v>0</v>
      </c>
      <c r="Z32" s="7">
        <f>TONT20000DEC2015!S32+TONT20000JANV!Q32+TONT20000FEV!Q32+TONT20000MARS!Q32+TONT20000AVRIL!Q32+TONT20000MAI!Q32+TONT20000JUIN!Q32+TONT20000JUIL!Q32+TONT20000AOUT!Q32+TONT20000SEPT!Q32+TONT20000OCT!Q32+TONT20000NOV!R32</f>
        <v>0</v>
      </c>
      <c r="AA32" s="7">
        <f>TONT20000DEC2015!T32+TONT20000JANV!R32+TONT20000FEV!R32+TONT20000MARS!R32+TONT20000AVRIL!R32+TONT20000MAI!R32+TONT20000JUIN!R32+TONT20000JUIL!R32+TONT20000AOUT!R32+TONT20000SEPT!R32+TONT20000OCT!R32+TONT20000NOV!S32</f>
        <v>0</v>
      </c>
      <c r="AB32" s="2"/>
    </row>
    <row r="33" spans="1:28" x14ac:dyDescent="0.25">
      <c r="A33" s="1" t="s">
        <v>38</v>
      </c>
      <c r="B33" s="1" t="str">
        <f>VLOOKUP(A33,LISTADHERENT!A$5:H$52,2,0)</f>
        <v>NKAMGANG JUSTIN DEJOLIE</v>
      </c>
      <c r="C33" s="6">
        <v>72000</v>
      </c>
      <c r="D33" s="6">
        <v>0</v>
      </c>
      <c r="E33" s="6">
        <f t="shared" si="0"/>
        <v>107459</v>
      </c>
      <c r="F33" s="6">
        <f>INT(TONT20000DEC2015!E33+TONT20000JANV!C33+TONT20000FEV!C33+TONT20000MARS!C33+TONT20000AVRIL!C33+TONT20000MAI!C33+TONT20000JUIN!C33+TONT20000JUIL!C33+TONT20000AOUT!C33+TONT20000SEPT!C33+TONT20000OCT!C33+TONT20000NOV!C33)</f>
        <v>7745</v>
      </c>
      <c r="G33" s="6">
        <f>TONT20000NOV!E33</f>
        <v>153745.21084759649</v>
      </c>
      <c r="H33" s="6">
        <f t="shared" si="1"/>
        <v>43204</v>
      </c>
      <c r="I33" s="6">
        <f t="shared" si="2"/>
        <v>43204</v>
      </c>
      <c r="J33" s="6">
        <f t="shared" si="3"/>
        <v>0</v>
      </c>
      <c r="K33" s="6"/>
      <c r="L33" s="6"/>
      <c r="M33" s="6">
        <f>50000-6796</f>
        <v>43204</v>
      </c>
      <c r="N33" s="6">
        <f t="shared" si="4"/>
        <v>0</v>
      </c>
      <c r="O33" s="7">
        <f>TONT20000DEC2015!H33+TONT20000JANV!F33+TONT20000FEV!F33+TONT20000MARS!F33+TONT20000AVRIL!F33+TONT20000MAI!F33+TONT20000JUIN!F33+TONT20000JUIL!F33+TONT20000AOUT!F33+TONT20000SEPT!F33+TONT20000OCT!F33+TONT20000NOV!G33</f>
        <v>278000</v>
      </c>
      <c r="P33" s="7">
        <f>TONT20000DEC2015!I33+TONT20000JANV!G33+TONT20000FEV!G33+TONT20000MARS!G33+TONT20000AVRIL!G33+TONT20000MAI!G33+TONT20000JUIN!G33+TONT20000JUIL!G33+TONT20000AOUT!G33+TONT20000SEPT!G33+TONT20000OCT!G33+TONT20000NOV!H33-38541</f>
        <v>35459</v>
      </c>
      <c r="Q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R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S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T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U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V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W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X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Y33" s="7">
        <f>TONT20000DEC2015!R33+TONT20000JANV!P33+TONT20000FEV!P33+TONT20000MARS!P33+TONT20000AVRIL!P33+TONT20000MAI!P33+TONT20000JUIN!P33+TONT20000JUIL!P33+TONT20000AOUT!P33+TONT20000SEPT!P33+TONT20000OCT!P33+TONT20000NOV!Q33</f>
        <v>0</v>
      </c>
      <c r="Z33" s="7">
        <f>TONT20000DEC2015!S33+TONT20000JANV!Q33+TONT20000FEV!Q33+TONT20000MARS!Q33+TONT20000AVRIL!Q33+TONT20000MAI!Q33+TONT20000JUIN!Q33+TONT20000JUIL!Q33+TONT20000AOUT!Q33+TONT20000SEPT!Q33+TONT20000OCT!Q33+TONT20000NOV!R33</f>
        <v>0</v>
      </c>
      <c r="AA33" s="7">
        <f>TONT20000DEC2015!T33+TONT20000JANV!R33+TONT20000FEV!R33+TONT20000MARS!R33+TONT20000AVRIL!R33+TONT20000MAI!R33+TONT20000JUIN!R33+TONT20000JUIL!R33+TONT20000AOUT!R33+TONT20000SEPT!R33+TONT20000OCT!R33+TONT20000NOV!S33</f>
        <v>0</v>
      </c>
      <c r="AB33" s="2"/>
    </row>
    <row r="34" spans="1:28" x14ac:dyDescent="0.25">
      <c r="A34" s="1" t="s">
        <v>39</v>
      </c>
      <c r="B34" s="1" t="str">
        <f>VLOOKUP(A34,LISTADHERENT!A$5:H$52,2,0)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489739</v>
      </c>
      <c r="F34" s="6">
        <f>INT(TONT20000DEC2015!E34+TONT20000JANV!C34+TONT20000FEV!C34+TONT20000MARS!C34+TONT20000AVRIL!C34+TONT20000MAI!C34+TONT20000JUIN!C34+TONT20000JUIL!C34+TONT20000AOUT!C34+TONT20000SEPT!C34+TONT20000OCT!C34+TONT20000NOV!C34)</f>
        <v>49996</v>
      </c>
      <c r="G34" s="6">
        <f>TONT20000NOV!E34</f>
        <v>539735.10147431761</v>
      </c>
      <c r="H34" s="6">
        <f t="shared" si="1"/>
        <v>149735</v>
      </c>
      <c r="I34" s="6">
        <f t="shared" si="2"/>
        <v>30000</v>
      </c>
      <c r="J34" s="6">
        <f t="shared" si="3"/>
        <v>119735</v>
      </c>
      <c r="K34" s="6">
        <v>30000</v>
      </c>
      <c r="L34" s="6"/>
      <c r="M34" s="6">
        <v>0</v>
      </c>
      <c r="N34" s="6">
        <f t="shared" si="4"/>
        <v>0</v>
      </c>
      <c r="O34" s="7">
        <f>TONT20000DEC2015!H34+TONT20000JANV!F34+TONT20000FEV!F34+TONT20000MARS!F34+TONT20000AVRIL!F34+TONT20000MAI!F34+TONT20000JUIN!F34+TONT20000JUIL!F34+TONT20000AOUT!F34+TONT20000SEPT!F34+TONT20000OCT!F34+TONT20000NOV!G34</f>
        <v>345000</v>
      </c>
      <c r="P34" s="7">
        <f>TONT20000DEC2015!I34+TONT20000JANV!G34+TONT20000FEV!G34+TONT20000MARS!G34+TONT20000AVRIL!G34+TONT20000MAI!G34+TONT20000JUIN!G34+TONT20000JUIL!G34+TONT20000AOUT!G34+TONT20000SEPT!G34+TONT20000OCT!G34+TONT20000NOV!H34</f>
        <v>91000</v>
      </c>
      <c r="Q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R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S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T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U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V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W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X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Y34" s="7">
        <f>TONT20000DEC2015!R34+TONT20000JANV!P34+TONT20000FEV!P34+TONT20000MARS!P34+TONT20000AVRIL!P34+TONT20000MAI!P34+TONT20000JUIN!P34+TONT20000JUIL!P34+TONT20000AOUT!P34+TONT20000SEPT!P34+TONT20000OCT!P34+TONT20000NOV!Q34</f>
        <v>0</v>
      </c>
      <c r="Z34" s="7">
        <f>TONT20000DEC2015!S34+TONT20000JANV!Q34+TONT20000FEV!Q34+TONT20000MARS!Q34+TONT20000AVRIL!Q34+TONT20000MAI!Q34+TONT20000JUIN!Q34+TONT20000JUIL!Q34+TONT20000AOUT!Q34+TONT20000SEPT!Q34+TONT20000OCT!Q34+TONT20000NOV!R34</f>
        <v>0</v>
      </c>
      <c r="AA34" s="7">
        <f>TONT20000DEC2015!T34+TONT20000JANV!R34+TONT20000FEV!R34+TONT20000MARS!R34+TONT20000AVRIL!R34+TONT20000MAI!R34+TONT20000JUIN!R34+TONT20000JUIL!R34+TONT20000AOUT!R34+TONT20000SEPT!R34+TONT20000OCT!R34+TONT20000NOV!S34</f>
        <v>0</v>
      </c>
      <c r="AB34" s="2"/>
    </row>
    <row r="35" spans="1:28" s="20" customFormat="1" x14ac:dyDescent="0.25">
      <c r="A35" s="18" t="s">
        <v>40</v>
      </c>
      <c r="B35" s="18" t="str">
        <f>VLOOKUP(A35,LISTADHERENT!A$5:H$52,2,0)</f>
        <v>NKEPSEU HENANG RENE</v>
      </c>
      <c r="C35" s="28"/>
      <c r="D35" s="28"/>
      <c r="E35" s="28"/>
      <c r="F35" s="6"/>
      <c r="G35" s="28"/>
      <c r="H35" s="28"/>
      <c r="I35" s="28"/>
      <c r="J35" s="28"/>
      <c r="K35" s="28"/>
      <c r="L35" s="28"/>
      <c r="M35" s="28"/>
      <c r="N35" s="28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9"/>
    </row>
    <row r="36" spans="1:28" x14ac:dyDescent="0.25">
      <c r="A36" s="1" t="s">
        <v>41</v>
      </c>
      <c r="B36" s="1" t="str">
        <f>VLOOKUP(A36,LISTADHERENT!A$5:H$52,2,0)</f>
        <v>NTEPDIE TUEMAC MZ</v>
      </c>
      <c r="C36" s="6">
        <f>VLOOKUP(A36,FONDSDECAISSE!A$5:C$52,3,0)</f>
        <v>0</v>
      </c>
      <c r="D36" s="6">
        <v>0</v>
      </c>
      <c r="E36" s="6">
        <f t="shared" si="0"/>
        <v>15000</v>
      </c>
      <c r="F36" s="6">
        <f>INT(TONT20000DEC2015!E36+TONT20000JANV!C36+TONT20000FEV!C36+TONT20000MARS!C36+TONT20000AVRIL!C36+TONT20000MAI!C36+TONT20000JUIN!C36+TONT20000JUIL!C36+TONT20000AOUT!C36+TONT20000SEPT!C36+TONT20000OCT!C36+TONT20000NOV!C36)</f>
        <v>857</v>
      </c>
      <c r="G36" s="6">
        <f>TONT20000NOV!E36</f>
        <v>15857.229925410265</v>
      </c>
      <c r="H36" s="6">
        <f t="shared" si="1"/>
        <v>15857</v>
      </c>
      <c r="I36" s="6">
        <f t="shared" si="2"/>
        <v>28000</v>
      </c>
      <c r="J36" s="6">
        <f t="shared" si="3"/>
        <v>-12143</v>
      </c>
      <c r="K36" s="6"/>
      <c r="L36" s="6"/>
      <c r="M36" s="6"/>
      <c r="N36" s="6">
        <f>48000-(Q36+R36+S36)</f>
        <v>28000</v>
      </c>
      <c r="O36" s="7">
        <f>TONT20000DEC2015!H36+TONT20000JANV!F36+TONT20000FEV!F36+TONT20000MARS!F36+TONT20000AVRIL!F36+TONT20000MAI!F36+TONT20000JUIN!F36+TONT20000JUIL!F36+TONT20000AOUT!F36+TONT20000SEPT!F36+TONT20000OCT!F36+TONT20000NOV!G36</f>
        <v>100000</v>
      </c>
      <c r="P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Q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R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S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T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U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V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W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X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Y36" s="7">
        <f>TONT20000DEC2015!R36+TONT20000JANV!P36+TONT20000FEV!P36+TONT20000MARS!P36+TONT20000AVRIL!P36+TONT20000MAI!P36+TONT20000JUIN!P36+TONT20000JUIL!P36+TONT20000AOUT!P36+TONT20000SEPT!P36+TONT20000OCT!P36+TONT20000NOV!Q36</f>
        <v>0</v>
      </c>
      <c r="Z36" s="7">
        <f>TONT20000DEC2015!S36+TONT20000JANV!Q36+TONT20000FEV!Q36+TONT20000MARS!Q36+TONT20000AVRIL!Q36+TONT20000MAI!Q36+TONT20000JUIN!Q36+TONT20000JUIL!Q36+TONT20000AOUT!Q36+TONT20000SEPT!Q36+TONT20000OCT!Q36+TONT20000NOV!R36</f>
        <v>0</v>
      </c>
      <c r="AA36" s="7">
        <f>TONT20000DEC2015!T36+TONT20000JANV!R36+TONT20000FEV!R36+TONT20000MARS!R36+TONT20000AVRIL!R36+TONT20000MAI!R36+TONT20000JUIN!R36+TONT20000JUIL!R36+TONT20000AOUT!R36+TONT20000SEPT!R36+TONT20000OCT!R36+TONT20000NOV!S36</f>
        <v>0</v>
      </c>
      <c r="AB36" s="2"/>
    </row>
    <row r="37" spans="1:28" s="20" customFormat="1" x14ac:dyDescent="0.25">
      <c r="A37" s="18" t="s">
        <v>42</v>
      </c>
      <c r="B37" s="18" t="str">
        <f>VLOOKUP(A37,LISTADHERENT!A$5:H$52,2,0)</f>
        <v>NTOMBOU ADOLPHE</v>
      </c>
      <c r="C37" s="28"/>
      <c r="D37" s="28"/>
      <c r="E37" s="28"/>
      <c r="F37" s="6"/>
      <c r="G37" s="28"/>
      <c r="H37" s="6"/>
      <c r="I37" s="6"/>
      <c r="J37" s="6"/>
      <c r="K37" s="28"/>
      <c r="L37" s="28"/>
      <c r="M37" s="28"/>
      <c r="N37" s="28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39"/>
    </row>
    <row r="38" spans="1:28" x14ac:dyDescent="0.25">
      <c r="A38" s="1" t="s">
        <v>43</v>
      </c>
      <c r="B38" s="1" t="str">
        <f>VLOOKUP(A38,LISTADHERENT!A$5:H$52,2,0)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426140</v>
      </c>
      <c r="F38" s="6">
        <f>INT(TONT20000DEC2015!E38+TONT20000JANV!C38+TONT20000FEV!C38+TONT20000MARS!C38+TONT20000AVRIL!C38+TONT20000MAI!C38+TONT20000JUIN!C38+TONT20000JUIL!C38+TONT20000AOUT!C38+TONT20000SEPT!C38+TONT20000OCT!C38+TONT20000NOV!C38)</f>
        <v>45574</v>
      </c>
      <c r="G38" s="6">
        <f>TONT20000NOV!E38</f>
        <v>471714.94315559359</v>
      </c>
      <c r="H38" s="6">
        <f t="shared" si="1"/>
        <v>81714</v>
      </c>
      <c r="I38" s="6">
        <f t="shared" si="2"/>
        <v>80000</v>
      </c>
      <c r="J38" s="6">
        <f t="shared" si="3"/>
        <v>1714</v>
      </c>
      <c r="K38" s="6">
        <v>30000</v>
      </c>
      <c r="L38" s="6"/>
      <c r="M38" s="6">
        <v>50000</v>
      </c>
      <c r="N38" s="6">
        <f t="shared" si="4"/>
        <v>0</v>
      </c>
      <c r="O38" s="7">
        <f>TONT20000DEC2015!H38+TONT20000JANV!F38+TONT20000FEV!F38+TONT20000MARS!F38+TONT20000AVRIL!F38+TONT20000MAI!F38+TONT20000JUIN!F38+TONT20000JUIL!F38+TONT20000AOUT!F38+TONT20000SEPT!F38+TONT20000OCT!F38+TONT20000NOV!G38</f>
        <v>240000</v>
      </c>
      <c r="P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Q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R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S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T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U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V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W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X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Y38" s="7">
        <f>TONT20000DEC2015!R38+TONT20000JANV!P38+TONT20000FEV!P38+TONT20000MARS!P38+TONT20000AVRIL!P38+TONT20000MAI!P38+TONT20000JUIN!P38+TONT20000JUIL!P38+TONT20000AOUT!P38+TONT20000SEPT!P38+TONT20000OCT!P38+TONT20000NOV!Q38</f>
        <v>0</v>
      </c>
      <c r="Z38" s="7">
        <f>TONT20000DEC2015!S38+TONT20000JANV!Q38+TONT20000FEV!Q38+TONT20000MARS!Q38+TONT20000AVRIL!Q38+TONT20000MAI!Q38+TONT20000JUIN!Q38+TONT20000JUIL!Q38+TONT20000AOUT!Q38+TONT20000SEPT!Q38+TONT20000OCT!Q38+TONT20000NOV!R38</f>
        <v>0</v>
      </c>
      <c r="AA38" s="7">
        <f>TONT20000DEC2015!T38+TONT20000JANV!R38+TONT20000FEV!R38+TONT20000MARS!R38+TONT20000AVRIL!R38+TONT20000MAI!R38+TONT20000JUIN!R38+TONT20000JUIL!R38+TONT20000AOUT!R38+TONT20000SEPT!R38+TONT20000OCT!R38+TONT20000NOV!S38</f>
        <v>0</v>
      </c>
      <c r="AB38" s="2"/>
    </row>
    <row r="39" spans="1:28" x14ac:dyDescent="0.25">
      <c r="A39" s="1" t="s">
        <v>44</v>
      </c>
      <c r="B39" s="1" t="str">
        <f>VLOOKUP(A39,LISTADHERENT!A$5:H$52,2,0)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428632</v>
      </c>
      <c r="F39" s="6">
        <f>INT(TONT20000DEC2015!E39+TONT20000JANV!C39+TONT20000FEV!C39+TONT20000MARS!C39+TONT20000AVRIL!C39+TONT20000MAI!C39+TONT20000JUIN!C39+TONT20000JUIL!C39+TONT20000AOUT!C39+TONT20000SEPT!C39+TONT20000OCT!C39+TONT20000NOV!C39)</f>
        <v>45850</v>
      </c>
      <c r="G39" s="6">
        <f>TONT20000NOV!E39</f>
        <v>474482.63282261725</v>
      </c>
      <c r="H39" s="6">
        <f t="shared" si="1"/>
        <v>84482</v>
      </c>
      <c r="I39" s="6">
        <f t="shared" si="2"/>
        <v>80000</v>
      </c>
      <c r="J39" s="6">
        <f t="shared" si="3"/>
        <v>4482</v>
      </c>
      <c r="K39" s="6">
        <v>30000</v>
      </c>
      <c r="L39" s="6"/>
      <c r="M39" s="6">
        <v>50000</v>
      </c>
      <c r="N39" s="6">
        <f t="shared" si="4"/>
        <v>0</v>
      </c>
      <c r="O39" s="7">
        <f>TONT20000DEC2015!H39+TONT20000JANV!F39+TONT20000FEV!F39+TONT20000MARS!F39+TONT20000AVRIL!F39+TONT20000MAI!F39+TONT20000JUIN!F39+TONT20000JUIL!F39+TONT20000AOUT!F39+TONT20000SEPT!F39+TONT20000OCT!F39+TONT20000NOV!G39</f>
        <v>240000</v>
      </c>
      <c r="P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Q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R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S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T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U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V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W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X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Y39" s="7">
        <f>TONT20000DEC2015!R39+TONT20000JANV!P39+TONT20000FEV!P39+TONT20000MARS!P39+TONT20000AVRIL!P39+TONT20000MAI!P39+TONT20000JUIN!P39+TONT20000JUIL!P39+TONT20000AOUT!P39+TONT20000SEPT!P39+TONT20000OCT!P39+TONT20000NOV!Q39</f>
        <v>0</v>
      </c>
      <c r="Z39" s="7">
        <f>TONT20000DEC2015!S39+TONT20000JANV!Q39+TONT20000FEV!Q39+TONT20000MARS!Q39+TONT20000AVRIL!Q39+TONT20000MAI!Q39+TONT20000JUIN!Q39+TONT20000JUIL!Q39+TONT20000AOUT!Q39+TONT20000SEPT!Q39+TONT20000OCT!Q39+TONT20000NOV!R39</f>
        <v>0</v>
      </c>
      <c r="AA39" s="7">
        <f>TONT20000DEC2015!T39+TONT20000JANV!R39+TONT20000FEV!R39+TONT20000MARS!R39+TONT20000AVRIL!R39+TONT20000MAI!R39+TONT20000JUIN!R39+TONT20000JUIL!R39+TONT20000AOUT!R39+TONT20000SEPT!R39+TONT20000OCT!R39+TONT20000NOV!S39</f>
        <v>0</v>
      </c>
      <c r="AB39" s="2"/>
    </row>
    <row r="40" spans="1:28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>
        <v>0</v>
      </c>
      <c r="E40" s="6">
        <f t="shared" si="0"/>
        <v>398873</v>
      </c>
      <c r="F40" s="6">
        <f>INT(TONT20000DEC2015!E40+TONT20000JANV!C40+TONT20000FEV!C40+TONT20000MARS!C40+TONT20000AVRIL!C40+TONT20000MAI!C40+TONT20000JUIN!C40+TONT20000JUIL!C40+TONT20000AOUT!C40+TONT20000SEPT!C40+TONT20000OCT!C40+TONT20000NOV!C40)</f>
        <v>15133</v>
      </c>
      <c r="G40" s="6">
        <f>TONT20000NOV!E40</f>
        <v>441133.12035950943</v>
      </c>
      <c r="H40" s="6">
        <f t="shared" si="1"/>
        <v>24006</v>
      </c>
      <c r="I40" s="6">
        <f t="shared" si="2"/>
        <v>24006</v>
      </c>
      <c r="J40" s="6">
        <f t="shared" si="3"/>
        <v>0</v>
      </c>
      <c r="K40" s="6"/>
      <c r="L40" s="6"/>
      <c r="M40" s="6">
        <f>50000-25994</f>
        <v>24006</v>
      </c>
      <c r="N40" s="6">
        <f t="shared" si="4"/>
        <v>0</v>
      </c>
      <c r="O40" s="7">
        <f>TONT20000DEC2015!H40+TONT20000JANV!F40+TONT20000FEV!F40+TONT20000MARS!F40+TONT20000AVRIL!F40+TONT20000MAI!F40+TONT20000JUIN!F40+TONT20000JUIL!F40+TONT20000AOUT!F40+TONT20000SEPT!F40+TONT20000OCT!F40+TONT20000NOV!G40</f>
        <v>240000</v>
      </c>
      <c r="P40" s="7">
        <f>TONT20000DEC2015!I40+TONT20000JANV!G40+TONT20000FEV!G40+TONT20000MARS!G40+TONT20000AVRIL!G40+TONT20000MAI!G40+TONT20000JUIN!G40+TONT20000JUIL!G40+TONT20000AOUT!G40+TONT20000SEPT!G40+TONT20000OCT!G40+TONT20000NOV!H40-27127</f>
        <v>8873</v>
      </c>
      <c r="Q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R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S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T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U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V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W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X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Y40" s="7">
        <f>TONT20000DEC2015!R40+TONT20000JANV!P40+TONT20000FEV!P40+TONT20000MARS!P40+TONT20000AVRIL!P40+TONT20000MAI!P40+TONT20000JUIN!P40+TONT20000JUIL!P40+TONT20000AOUT!P40+TONT20000SEPT!P40+TONT20000OCT!P40+TONT20000NOV!Q40</f>
        <v>0</v>
      </c>
      <c r="Z40" s="7">
        <f>TONT20000DEC2015!S40+TONT20000JANV!Q40+TONT20000FEV!Q40+TONT20000MARS!Q40+TONT20000AVRIL!Q40+TONT20000MAI!Q40+TONT20000JUIN!Q40+TONT20000JUIL!Q40+TONT20000AOUT!Q40+TONT20000SEPT!Q40+TONT20000OCT!Q40+TONT20000NOV!R40</f>
        <v>0</v>
      </c>
      <c r="AA40" s="7">
        <f>TONT20000DEC2015!T40+TONT20000JANV!R40+TONT20000FEV!R40+TONT20000MARS!R40+TONT20000AVRIL!R40+TONT20000MAI!R40+TONT20000JUIN!R40+TONT20000JUIL!R40+TONT20000AOUT!R40+TONT20000SEPT!R40+TONT20000OCT!R40+TONT20000NOV!S40</f>
        <v>0</v>
      </c>
      <c r="AB40" s="2"/>
    </row>
    <row r="41" spans="1:28" x14ac:dyDescent="0.25">
      <c r="A41" s="1" t="s">
        <v>46</v>
      </c>
      <c r="B41" s="1" t="str">
        <f>VLOOKUP(A41,LISTADHERENT!A$5:H$52,2,0)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426982</v>
      </c>
      <c r="F41" s="6">
        <f>INT(TONT20000DEC2015!E41+TONT20000JANV!C41+TONT20000FEV!C41+TONT20000MARS!C41+TONT20000AVRIL!C41+TONT20000MAI!C41+TONT20000JUIN!C41+TONT20000JUIL!C41+TONT20000AOUT!C41+TONT20000SEPT!C41+TONT20000OCT!C41+TONT20000NOV!C41)</f>
        <v>45668</v>
      </c>
      <c r="G41" s="6">
        <f>TONT20000NOV!E41</f>
        <v>472650.09351660247</v>
      </c>
      <c r="H41" s="6">
        <f t="shared" si="1"/>
        <v>82650</v>
      </c>
      <c r="I41" s="6">
        <f t="shared" si="2"/>
        <v>80000</v>
      </c>
      <c r="J41" s="6">
        <f t="shared" si="3"/>
        <v>2650</v>
      </c>
      <c r="K41" s="6">
        <v>30000</v>
      </c>
      <c r="L41" s="6"/>
      <c r="M41" s="6">
        <v>50000</v>
      </c>
      <c r="N41" s="6">
        <f t="shared" si="4"/>
        <v>0</v>
      </c>
      <c r="O41" s="7">
        <f>TONT20000DEC2015!H41+TONT20000JANV!F41+TONT20000FEV!F41+TONT20000MARS!F41+TONT20000AVRIL!F41+TONT20000MAI!F41+TONT20000JUIN!F41+TONT20000JUIL!F41+TONT20000AOUT!F41+TONT20000SEPT!F41+TONT20000OCT!F41+TONT20000NOV!G41</f>
        <v>240000</v>
      </c>
      <c r="P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Q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R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S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T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U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V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W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X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Y41" s="7">
        <f>TONT20000DEC2015!R41+TONT20000JANV!P41+TONT20000FEV!P41+TONT20000MARS!P41+TONT20000AVRIL!P41+TONT20000MAI!P41+TONT20000JUIN!P41+TONT20000JUIL!P41+TONT20000AOUT!P41+TONT20000SEPT!P41+TONT20000OCT!P41+TONT20000NOV!Q41</f>
        <v>0</v>
      </c>
      <c r="Z41" s="7">
        <f>TONT20000DEC2015!S41+TONT20000JANV!Q41+TONT20000FEV!Q41+TONT20000MARS!Q41+TONT20000AVRIL!Q41+TONT20000MAI!Q41+TONT20000JUIN!Q41+TONT20000JUIL!Q41+TONT20000AOUT!Q41+TONT20000SEPT!Q41+TONT20000OCT!Q41+TONT20000NOV!R41</f>
        <v>0</v>
      </c>
      <c r="AA41" s="7">
        <f>TONT20000DEC2015!T41+TONT20000JANV!R41+TONT20000FEV!R41+TONT20000MARS!R41+TONT20000AVRIL!R41+TONT20000MAI!R41+TONT20000JUIN!R41+TONT20000JUIL!R41+TONT20000AOUT!R41+TONT20000SEPT!R41+TONT20000OCT!R41+TONT20000NOV!S41</f>
        <v>0</v>
      </c>
      <c r="AB41" s="2"/>
    </row>
    <row r="42" spans="1:28" x14ac:dyDescent="0.25">
      <c r="A42" s="1" t="s">
        <v>47</v>
      </c>
      <c r="B42" s="1" t="str">
        <f>VLOOKUP(A42,LISTADHERENT!A$5:H$52,2,0)</f>
        <v>SIME MATHIEU</v>
      </c>
      <c r="C42" s="6">
        <f>VLOOKUP(A42,FONDSDECAISSE!A$5:C$52,3,0)</f>
        <v>390000</v>
      </c>
      <c r="D42" s="6">
        <v>636</v>
      </c>
      <c r="E42" s="6">
        <f t="shared" si="0"/>
        <v>426636</v>
      </c>
      <c r="F42" s="6">
        <f>INT(TONT20000DEC2015!E42+TONT20000JANV!C42+TONT20000FEV!C42+TONT20000MARS!C42+TONT20000AVRIL!C42+TONT20000MAI!C42+TONT20000JUIN!C42+TONT20000JUIL!C42+TONT20000AOUT!C42+TONT20000SEPT!C42+TONT20000OCT!C42+TONT20000NOV!C42)</f>
        <v>45629</v>
      </c>
      <c r="G42" s="6">
        <f>TONT20000NOV!E42</f>
        <v>472265.81557728071</v>
      </c>
      <c r="H42" s="6">
        <f t="shared" si="1"/>
        <v>82265</v>
      </c>
      <c r="I42" s="6">
        <f t="shared" si="2"/>
        <v>80000</v>
      </c>
      <c r="J42" s="6">
        <f t="shared" si="3"/>
        <v>2265</v>
      </c>
      <c r="K42" s="6">
        <v>30000</v>
      </c>
      <c r="L42" s="6"/>
      <c r="M42" s="6">
        <v>50000</v>
      </c>
      <c r="N42" s="6">
        <f t="shared" si="4"/>
        <v>0</v>
      </c>
      <c r="O42" s="7">
        <f>TONT20000DEC2015!H42+TONT20000JANV!F42+TONT20000FEV!F42+TONT20000MARS!F42+TONT20000AVRIL!F42+TONT20000MAI!F42+TONT20000JUIN!F42+TONT20000JUIL!F42+TONT20000AOUT!F42+TONT20000SEPT!F42+TONT20000OCT!F42+TONT20000NOV!G42</f>
        <v>240000</v>
      </c>
      <c r="P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Q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R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S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T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U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V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W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X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Y42" s="7">
        <f>TONT20000DEC2015!R42+TONT20000JANV!P42+TONT20000FEV!P42+TONT20000MARS!P42+TONT20000AVRIL!P42+TONT20000MAI!P42+TONT20000JUIN!P42+TONT20000JUIL!P42+TONT20000AOUT!P42+TONT20000SEPT!P42+TONT20000OCT!P42+TONT20000NOV!Q42</f>
        <v>0</v>
      </c>
      <c r="Z42" s="7">
        <f>TONT20000DEC2015!S42+TONT20000JANV!Q42+TONT20000FEV!Q42+TONT20000MARS!Q42+TONT20000AVRIL!Q42+TONT20000MAI!Q42+TONT20000JUIN!Q42+TONT20000JUIL!Q42+TONT20000AOUT!Q42+TONT20000SEPT!Q42+TONT20000OCT!Q42+TONT20000NOV!R42</f>
        <v>0</v>
      </c>
      <c r="AA42" s="7">
        <f>TONT20000DEC2015!T42+TONT20000JANV!R42+TONT20000FEV!R42+TONT20000MARS!R42+TONT20000AVRIL!R42+TONT20000MAI!R42+TONT20000JUIN!R42+TONT20000JUIL!R42+TONT20000AOUT!R42+TONT20000SEPT!R42+TONT20000OCT!R42+TONT20000NOV!S42</f>
        <v>0</v>
      </c>
      <c r="AB42" s="2"/>
    </row>
    <row r="43" spans="1:28" s="11" customFormat="1" x14ac:dyDescent="0.25">
      <c r="A43" s="29" t="s">
        <v>48</v>
      </c>
      <c r="B43" s="29" t="str">
        <f>VLOOKUP(A43,LISTADHERENT!A$5:H$52,2,0)</f>
        <v>SIME PIERRE</v>
      </c>
      <c r="C43" s="30">
        <f>VLOOKUP(A43,FONDSDECAISSE!A$5:C$52,3,0)</f>
        <v>390000</v>
      </c>
      <c r="D43" s="30">
        <v>146079</v>
      </c>
      <c r="E43" s="30">
        <f t="shared" si="0"/>
        <v>1147306</v>
      </c>
      <c r="F43" s="6">
        <f>INT(TONT20000DEC2015!E43+TONT20000JANV!C43+TONT20000FEV!C43+TONT20000MARS!C43+TONT20000AVRIL!C43+TONT20000MAI!C43+TONT20000JUIN!C43+TONT20000JUIL!C43+TONT20000AOUT!C43+TONT20000SEPT!C43+TONT20000OCT!C43+TONT20000NOV!C43)</f>
        <v>115833</v>
      </c>
      <c r="G43" s="30">
        <f>TONT20000NOV!E43</f>
        <v>1263139.5196810639</v>
      </c>
      <c r="H43" s="6">
        <f t="shared" si="1"/>
        <v>873139</v>
      </c>
      <c r="I43" s="6">
        <f t="shared" si="2"/>
        <v>80000</v>
      </c>
      <c r="J43" s="6">
        <f t="shared" si="3"/>
        <v>793139</v>
      </c>
      <c r="K43" s="6">
        <v>30000</v>
      </c>
      <c r="L43" s="30"/>
      <c r="M43" s="30">
        <v>50000</v>
      </c>
      <c r="N43" s="30">
        <f t="shared" si="4"/>
        <v>0</v>
      </c>
      <c r="O43" s="10">
        <f>TONT20000DEC2015!H43+TONT20000JANV!F43+TONT20000FEV!F43+TONT20000MARS!F43+TONT20000AVRIL!F43+TONT20000MAI!F43+TONT20000JUIN!F43+TONT20000JUIL!F43+TONT20000AOUT!F43+TONT20000SEPT!F43+TONT20000OCT!F43+TONT20000NOV!G43</f>
        <v>1130000</v>
      </c>
      <c r="P43" s="10">
        <f>TONT20000DEC2015!I43+TONT20000JANV!G43+TONT20000FEV!G43+TONT20000MARS!G43+TONT20000AVRIL!G43+TONT20000MAI!G43+TONT20000JUIN!G43+TONT20000JUIL!G43+TONT20000AOUT!G43+TONT20000SEPT!G43+TONT20000OCT!G43+TONT20000NOV!H43-854773+550000</f>
        <v>611227</v>
      </c>
      <c r="Q43" s="10">
        <f>TONT20000DEC2015!J43+TONT20000JANV!H43+TONT20000FEV!H43+TONT20000MARS!H43+TONT20000AVRIL!H43+TONT20000MAI!H43+TONT20000JUIN!H43+TONT20000JUIL!H43+TONT20000AOUT!H43+TONT20000SEPT!H43+TONT20000OCT!H43+TONT20000NOV!I43</f>
        <v>6000</v>
      </c>
      <c r="R43" s="10">
        <f>TONT20000DEC2015!K43+TONT20000JANV!I43+TONT20000FEV!I43+TONT20000MARS!I43+TONT20000AVRIL!I43+TONT20000MAI!I43+TONT20000JUIN!I43+TONT20000JUIL!I43+TONT20000AOUT!I43+TONT20000SEPT!I43+TONT20000OCT!I43+TONT20000NOV!J43</f>
        <v>12000</v>
      </c>
      <c r="S43" s="10">
        <f>TONT20000DEC2015!L43+TONT20000JANV!J43+TONT20000FEV!J43+TONT20000MARS!J43+TONT20000AVRIL!J43+TONT20000MAI!J43+TONT20000JUIN!J43+TONT20000JUIL!J43+TONT20000AOUT!J43+TONT20000SEPT!J43+TONT20000OCT!J43+TONT20000NOV!K43</f>
        <v>30000</v>
      </c>
      <c r="T43" s="10">
        <f>TONT20000DEC2015!M43+TONT20000JANV!K43+TONT20000FEV!K43+TONT20000MARS!K43+TONT20000AVRIL!K43+TONT20000MAI!K43+TONT20000JUIN!K43+TONT20000JUIL!K43+TONT20000AOUT!K43+TONT20000SEPT!K43+TONT20000OCT!K43+TONT20000NOV!L43</f>
        <v>10000</v>
      </c>
      <c r="U43" s="10">
        <f>TONT20000DEC2015!N43+TONT20000JANV!L43+TONT20000FEV!L43+TONT20000MARS!L43+TONT20000AVRIL!L43+TONT20000MAI!L43+TONT20000JUIN!L43+TONT20000JUIL!L43+TONT20000AOUT!L43+TONT20000SEPT!L43+TONT20000OCT!L43+TONT20000NOV!M43</f>
        <v>156000</v>
      </c>
      <c r="V43" s="10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W43" s="10">
        <f>TONT20000DEC2015!P43+TONT20000JANV!N43+TONT20000FEV!N43+TONT20000MARS!N43+TONT20000AVRIL!N43+TONT20000MAI!N43+TONT20000JUIN!N43+TONT20000JUIL!N43+TONT20000AOUT!N43+TONT20000SEPT!N43+TONT20000OCT!N43+TONT20000NOV!O43</f>
        <v>84600</v>
      </c>
      <c r="X43" s="10">
        <f>TONT20000DEC2015!Q43+TONT20000JANV!O43+TONT20000FEV!O43+TONT20000MARS!O43+TONT20000AVRIL!O43+TONT20000MAI!O43+TONT20000JUIN!O43+TONT20000JUIL!O43+TONT20000AOUT!O43+TONT20000SEPT!O43+TONT20000OCT!O43+TONT20000NOV!P43</f>
        <v>540000</v>
      </c>
      <c r="Y43" s="10">
        <f>TONT20000DEC2015!R43+TONT20000JANV!P43+TONT20000FEV!P43+TONT20000MARS!P43+TONT20000AVRIL!P43+TONT20000MAI!P43+TONT20000JUIN!P43+TONT20000JUIL!P43+TONT20000AOUT!P43+TONT20000SEPT!P43+TONT20000OCT!P43+TONT20000NOV!Q43</f>
        <v>0</v>
      </c>
      <c r="Z43" s="10">
        <f>TONT20000DEC2015!S43+TONT20000JANV!Q43+TONT20000FEV!Q43+TONT20000MARS!Q43+TONT20000AVRIL!Q43+TONT20000MAI!Q43+TONT20000JUIN!Q43+TONT20000JUIL!Q43+TONT20000AOUT!Q43+TONT20000SEPT!Q43+TONT20000OCT!Q43+TONT20000NOV!R43</f>
        <v>0</v>
      </c>
      <c r="AA43" s="10">
        <f>TONT20000DEC2015!T43+TONT20000JANV!R43+TONT20000FEV!R43+TONT20000MARS!R43+TONT20000AVRIL!R43+TONT20000MAI!R43+TONT20000JUIN!R43+TONT20000JUIL!R43+TONT20000AOUT!R43+TONT20000SEPT!R43+TONT20000OCT!R43+TONT20000NOV!S43</f>
        <v>0</v>
      </c>
      <c r="AB43" s="24"/>
    </row>
    <row r="44" spans="1:28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>
        <v>0</v>
      </c>
      <c r="E44" s="6">
        <f t="shared" si="0"/>
        <v>426000</v>
      </c>
      <c r="F44" s="6">
        <f>INT(TONT20000DEC2015!E44+TONT20000JANV!C44+TONT20000FEV!C44+TONT20000MARS!C44+TONT20000AVRIL!C44+TONT20000MAI!C44+TONT20000JUIN!C44+TONT20000JUIL!C44+TONT20000AOUT!C44+TONT20000SEPT!C44+TONT20000OCT!C44+TONT20000NOV!C44)</f>
        <v>15133</v>
      </c>
      <c r="G44" s="6">
        <f>TONT20000NOV!E44</f>
        <v>441133.12035950943</v>
      </c>
      <c r="H44" s="6">
        <f t="shared" si="1"/>
        <v>51133</v>
      </c>
      <c r="I44" s="6">
        <f t="shared" si="2"/>
        <v>50000</v>
      </c>
      <c r="J44" s="6">
        <f t="shared" si="3"/>
        <v>1133</v>
      </c>
      <c r="K44" s="6"/>
      <c r="L44" s="6"/>
      <c r="M44" s="6">
        <v>50000</v>
      </c>
      <c r="N44" s="6">
        <f t="shared" si="4"/>
        <v>0</v>
      </c>
      <c r="O44" s="7">
        <f>TONT20000DEC2015!H44+TONT20000JANV!F44+TONT20000FEV!F44+TONT20000MARS!F44+TONT20000AVRIL!F44+TONT20000MAI!F44+TONT20000JUIN!F44+TONT20000JUIL!F44+TONT20000AOUT!F44+TONT20000SEPT!F44+TONT20000OCT!F44+TONT20000NOV!G44</f>
        <v>240000</v>
      </c>
      <c r="P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Q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R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S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T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U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V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W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X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Y44" s="7">
        <f>TONT20000DEC2015!R44+TONT20000JANV!P44+TONT20000FEV!P44+TONT20000MARS!P44+TONT20000AVRIL!P44+TONT20000MAI!P44+TONT20000JUIN!P44+TONT20000JUIL!P44+TONT20000AOUT!P44+TONT20000SEPT!P44+TONT20000OCT!P44+TONT20000NOV!Q44</f>
        <v>0</v>
      </c>
      <c r="Z44" s="7">
        <f>TONT20000DEC2015!S44+TONT20000JANV!Q44+TONT20000FEV!Q44+TONT20000MARS!Q44+TONT20000AVRIL!Q44+TONT20000MAI!Q44+TONT20000JUIN!Q44+TONT20000JUIL!Q44+TONT20000AOUT!Q44+TONT20000SEPT!Q44+TONT20000OCT!Q44+TONT20000NOV!R44</f>
        <v>0</v>
      </c>
      <c r="AA44" s="7">
        <f>TONT20000DEC2015!T44+TONT20000JANV!R44+TONT20000FEV!R44+TONT20000MARS!R44+TONT20000AVRIL!R44+TONT20000MAI!R44+TONT20000JUIN!R44+TONT20000JUIL!R44+TONT20000AOUT!R44+TONT20000SEPT!R44+TONT20000OCT!R44+TONT20000NOV!S44</f>
        <v>0</v>
      </c>
      <c r="AB44" s="2"/>
    </row>
    <row r="45" spans="1:28" s="11" customFormat="1" x14ac:dyDescent="0.25">
      <c r="A45" s="29" t="s">
        <v>50</v>
      </c>
      <c r="B45" s="29" t="str">
        <f>VLOOKUP(A45,LISTADHERENT!A$5:H$52,2,0)</f>
        <v>TCHOUAMOU JEAN PAUL</v>
      </c>
      <c r="C45" s="30">
        <f>VLOOKUP(A45,FONDSDECAISSE!A$5:C$52,3,0)</f>
        <v>0</v>
      </c>
      <c r="D45" s="30">
        <v>0</v>
      </c>
      <c r="E45" s="30">
        <f t="shared" si="0"/>
        <v>12323</v>
      </c>
      <c r="F45" s="6">
        <f>INT(TONT20000DEC2015!E45+TONT20000JANV!C45+TONT20000FEV!C45+TONT20000MARS!C45+TONT20000AVRIL!C45+TONT20000MAI!C45+TONT20000JUIN!C45+TONT20000JUIL!C45+TONT20000AOUT!C45+TONT20000SEPT!C45+TONT20000OCT!C45+TONT20000NOV!C45)</f>
        <v>2413</v>
      </c>
      <c r="G45" s="30">
        <f>TONT20000NOV!E45</f>
        <v>38413.800823108104</v>
      </c>
      <c r="H45" s="30">
        <f t="shared" si="1"/>
        <v>14736</v>
      </c>
      <c r="I45" s="30">
        <f t="shared" si="2"/>
        <v>14737</v>
      </c>
      <c r="J45" s="30">
        <f t="shared" si="3"/>
        <v>-1</v>
      </c>
      <c r="K45" s="30"/>
      <c r="L45" s="30"/>
      <c r="M45" s="30">
        <f>50000-35263</f>
        <v>14737</v>
      </c>
      <c r="N45" s="30">
        <f t="shared" si="4"/>
        <v>0</v>
      </c>
      <c r="O45" s="10">
        <f>TONT20000DEC2015!H45+TONT20000JANV!F45+TONT20000FEV!F45+TONT20000MARS!F45+TONT20000AVRIL!F45+TONT20000MAI!F45+TONT20000JUIN!F45+TONT20000JUIL!F45+TONT20000AOUT!F45+TONT20000SEPT!F45+TONT20000OCT!F45+TONT20000NOV!G45</f>
        <v>290000</v>
      </c>
      <c r="P45" s="10">
        <f>TONT20000DEC2015!I45+TONT20000JANV!G45+TONT20000FEV!G45+TONT20000MARS!G45+TONT20000AVRIL!G45+TONT20000MAI!G45+TONT20000JUIN!G45+TONT20000JUIL!G45+TONT20000AOUT!G45+TONT20000SEPT!G45+TONT20000OCT!G45+TONT20000NOV!H45-23677</f>
        <v>12323</v>
      </c>
      <c r="Q45" s="10">
        <f>TONT20000DEC2015!J45+TONT20000JANV!H45+TONT20000FEV!H45+TONT20000MARS!H45+TONT20000AVRIL!H45+TONT20000MAI!H45+TONT20000JUIN!H45+TONT20000JUIL!H45+TONT20000AOUT!H45+TONT20000SEPT!H45+TONT20000OCT!H45+TONT20000NOV!I45</f>
        <v>6000</v>
      </c>
      <c r="R45" s="10">
        <f>TONT20000DEC2015!K45+TONT20000JANV!I45+TONT20000FEV!I45+TONT20000MARS!I45+TONT20000AVRIL!I45+TONT20000MAI!I45+TONT20000JUIN!I45+TONT20000JUIL!I45+TONT20000AOUT!I45+TONT20000SEPT!I45+TONT20000OCT!I45+TONT20000NOV!J45</f>
        <v>12000</v>
      </c>
      <c r="S45" s="10">
        <f>TONT20000DEC2015!L45+TONT20000JANV!J45+TONT20000FEV!J45+TONT20000MARS!J45+TONT20000AVRIL!J45+TONT20000MAI!J45+TONT20000JUIN!J45+TONT20000JUIL!J45+TONT20000AOUT!J45+TONT20000SEPT!J45+TONT20000OCT!J45+TONT20000NOV!K45</f>
        <v>30000</v>
      </c>
      <c r="T45" s="10">
        <f>TONT20000DEC2015!M45+TONT20000JANV!K45+TONT20000FEV!K45+TONT20000MARS!K45+TONT20000AVRIL!K45+TONT20000MAI!K45+TONT20000JUIN!K45+TONT20000JUIL!K45+TONT20000AOUT!K45+TONT20000SEPT!K45+TONT20000OCT!K45+TONT20000NOV!L45</f>
        <v>50000</v>
      </c>
      <c r="U45" s="10">
        <f>TONT20000DEC2015!N45+TONT20000JANV!L45+TONT20000FEV!L45+TONT20000MARS!L45+TONT20000AVRIL!L45+TONT20000MAI!L45+TONT20000JUIN!L45+TONT20000JUIL!L45+TONT20000AOUT!L45+TONT20000SEPT!L45+TONT20000OCT!L45+TONT20000NOV!M45</f>
        <v>156000</v>
      </c>
      <c r="V45" s="10">
        <f>TONT20000DEC2015!O45+TONT20000JANV!M45+TONT20000FEV!M45+TONT20000MARS!M45+TONT20000AVRIL!M45+TONT20000MAI!M45+TONT20000JUIN!M45+TONT20000JUIL!M45+TONT20000AOUT!M45+TONT20000SEPT!M45+TONT20000OCT!M45+TONT20000NOV!N45</f>
        <v>0</v>
      </c>
      <c r="W45" s="10">
        <f>TONT20000DEC2015!P45+TONT20000JANV!N45+TONT20000FEV!N45+TONT20000MARS!N45+TONT20000AVRIL!N45+TONT20000MAI!N45+TONT20000JUIN!N45+TONT20000JUIL!N45+TONT20000AOUT!N45+TONT20000SEPT!N45+TONT20000OCT!N45+TONT20000NOV!O45</f>
        <v>0</v>
      </c>
      <c r="X45" s="10">
        <f>TONT20000DEC2015!Q45+TONT20000JANV!O45+TONT20000FEV!O45+TONT20000MARS!O45+TONT20000AVRIL!O45+TONT20000MAI!O45+TONT20000JUIN!O45+TONT20000JUIL!O45+TONT20000AOUT!O45+TONT20000SEPT!O45+TONT20000OCT!O45+TONT20000NOV!P45</f>
        <v>0</v>
      </c>
      <c r="Y45" s="10">
        <f>TONT20000DEC2015!R45+TONT20000JANV!P45+TONT20000FEV!P45+TONT20000MARS!P45+TONT20000AVRIL!P45+TONT20000MAI!P45+TONT20000JUIN!P45+TONT20000JUIL!P45+TONT20000AOUT!P45+TONT20000SEPT!P45+TONT20000OCT!P45+TONT20000NOV!Q45</f>
        <v>0</v>
      </c>
      <c r="Z45" s="10">
        <f>TONT20000DEC2015!S45+TONT20000JANV!Q45+TONT20000FEV!Q45+TONT20000MARS!Q45+TONT20000AVRIL!Q45+TONT20000MAI!Q45+TONT20000JUIN!Q45+TONT20000JUIL!Q45+TONT20000AOUT!Q45+TONT20000SEPT!Q45+TONT20000OCT!Q45+TONT20000NOV!R45</f>
        <v>0</v>
      </c>
      <c r="AA45" s="10">
        <f>TONT20000DEC2015!T45+TONT20000JANV!R45+TONT20000FEV!R45+TONT20000MARS!R45+TONT20000AVRIL!R45+TONT20000MAI!R45+TONT20000JUIN!R45+TONT20000JUIL!R45+TONT20000AOUT!R45+TONT20000SEPT!R45+TONT20000OCT!R45+TONT20000NOV!S45</f>
        <v>0</v>
      </c>
      <c r="AB45" s="24"/>
    </row>
    <row r="46" spans="1:28" x14ac:dyDescent="0.25">
      <c r="A46" s="1" t="s">
        <v>51</v>
      </c>
      <c r="B46" s="1" t="str">
        <f>VLOOKUP(A46,LISTADHERENT!A$5:H$52,2,0)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432437</v>
      </c>
      <c r="F46" s="6">
        <f>INT(TONT20000DEC2015!E46+TONT20000JANV!C46+TONT20000FEV!C46+TONT20000MARS!C46+TONT20000AVRIL!C46+TONT20000MAI!C46+TONT20000JUIN!C46+TONT20000JUIL!C46+TONT20000AOUT!C46+TONT20000SEPT!C46+TONT20000OCT!C46+TONT20000NOV!C46)</f>
        <v>46271</v>
      </c>
      <c r="G46" s="6">
        <f>TONT20000NOV!E46</f>
        <v>478708.57952527562</v>
      </c>
      <c r="H46" s="6">
        <f t="shared" si="1"/>
        <v>88708</v>
      </c>
      <c r="I46" s="6">
        <f t="shared" si="2"/>
        <v>80000</v>
      </c>
      <c r="J46" s="6">
        <f t="shared" si="3"/>
        <v>8708</v>
      </c>
      <c r="K46" s="6">
        <v>30000</v>
      </c>
      <c r="L46" s="6"/>
      <c r="M46" s="6">
        <v>50000</v>
      </c>
      <c r="N46" s="6">
        <f t="shared" si="4"/>
        <v>0</v>
      </c>
      <c r="O46" s="7">
        <f>TONT20000DEC2015!H46+TONT20000JANV!F46+TONT20000FEV!F46+TONT20000MARS!F46+TONT20000AVRIL!F46+TONT20000MAI!F46+TONT20000JUIN!F46+TONT20000JUIL!F46+TONT20000AOUT!F46+TONT20000SEPT!F46+TONT20000OCT!F46+TONT20000NOV!G46</f>
        <v>243000</v>
      </c>
      <c r="P46" s="7">
        <f>TONT20000DEC2015!I46+TONT20000JANV!G46+TONT20000FEV!G46+TONT20000MARS!G46+TONT20000AVRIL!G46+TONT20000MAI!G46+TONT20000JUIN!G46+TONT20000JUIL!G46+TONT20000AOUT!G46+TONT20000SEPT!G46+TONT20000OCT!G46+TONT20000NOV!H46</f>
        <v>39000</v>
      </c>
      <c r="Q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R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S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T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U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V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W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X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Y46" s="7">
        <f>TONT20000DEC2015!R46+TONT20000JANV!P46+TONT20000FEV!P46+TONT20000MARS!P46+TONT20000AVRIL!P46+TONT20000MAI!P46+TONT20000JUIN!P46+TONT20000JUIL!P46+TONT20000AOUT!P46+TONT20000SEPT!P46+TONT20000OCT!P46+TONT20000NOV!Q46</f>
        <v>94825</v>
      </c>
      <c r="Z46" s="7">
        <f>TONT20000DEC2015!S46+TONT20000JANV!Q46+TONT20000FEV!Q46+TONT20000MARS!Q46+TONT20000AVRIL!Q46+TONT20000MAI!Q46+TONT20000JUIN!Q46+TONT20000JUIL!Q46+TONT20000AOUT!Q46+TONT20000SEPT!Q46+TONT20000OCT!Q46+TONT20000NOV!R46</f>
        <v>0</v>
      </c>
      <c r="AA46" s="7">
        <f>TONT20000DEC2015!T46+TONT20000JANV!R46+TONT20000FEV!R46+TONT20000MARS!R46+TONT20000AVRIL!R46+TONT20000MAI!R46+TONT20000JUIN!R46+TONT20000JUIL!R46+TONT20000AOUT!R46+TONT20000SEPT!R46+TONT20000OCT!R46+TONT20000NOV!S46</f>
        <v>0</v>
      </c>
      <c r="AB46" s="2"/>
    </row>
    <row r="47" spans="1:28" x14ac:dyDescent="0.25">
      <c r="A47" s="1" t="s">
        <v>52</v>
      </c>
      <c r="B47" s="1" t="str">
        <f>VLOOKUP(A47,LISTADHERENT!A$5:H$52,2,0)</f>
        <v>TCHOUANTE FRANCOIS</v>
      </c>
      <c r="C47" s="6">
        <v>325719</v>
      </c>
      <c r="D47" s="6">
        <v>4925</v>
      </c>
      <c r="E47" s="6">
        <f t="shared" si="0"/>
        <v>390644</v>
      </c>
      <c r="F47" s="6">
        <f>INT(TONT20000DEC2015!E47+TONT20000JANV!C47+TONT20000FEV!C47+TONT20000MARS!C47+TONT20000AVRIL!C47+TONT20000MAI!C47+TONT20000JUIN!C47+TONT20000JUIL!C47+TONT20000AOUT!C47+TONT20000SEPT!C47+TONT20000OCT!C47+TONT20000NOV!C47)</f>
        <v>35843</v>
      </c>
      <c r="G47" s="6">
        <f>TONT20000NOV!E47</f>
        <v>426487.52997232694</v>
      </c>
      <c r="H47" s="6">
        <f t="shared" si="1"/>
        <v>100768</v>
      </c>
      <c r="I47" s="6">
        <f t="shared" si="2"/>
        <v>80000</v>
      </c>
      <c r="J47" s="6">
        <f t="shared" si="3"/>
        <v>20768</v>
      </c>
      <c r="K47" s="6">
        <v>30000</v>
      </c>
      <c r="L47" s="6"/>
      <c r="M47" s="6">
        <v>50000</v>
      </c>
      <c r="N47" s="6">
        <f t="shared" si="4"/>
        <v>0</v>
      </c>
      <c r="O47" s="7">
        <f>TONT20000DEC2015!H47+TONT20000JANV!F47+TONT20000FEV!F47+TONT20000MARS!F47+TONT20000AVRIL!F47+TONT20000MAI!F47+TONT20000JUIN!F47+TONT20000JUIL!F47+TONT20000AOUT!F47+TONT20000SEPT!F47+TONT20000OCT!F47+TONT20000NOV!G47</f>
        <v>264000</v>
      </c>
      <c r="P47" s="7">
        <f>TONT20000DEC2015!I47+TONT20000JANV!G47+TONT20000FEV!G47+TONT20000MARS!G47+TONT20000AVRIL!G47+TONT20000MAI!G47+TONT20000JUIN!G47+TONT20000JUIL!G47+TONT20000AOUT!G47+TONT20000SEPT!G47+TONT20000OCT!G47+TONT20000NOV!H47</f>
        <v>60000</v>
      </c>
      <c r="Q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R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S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T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U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V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W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X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Y47" s="7">
        <f>TONT20000DEC2015!R47+TONT20000JANV!P47+TONT20000FEV!P47+TONT20000MARS!P47+TONT20000AVRIL!P47+TONT20000MAI!P47+TONT20000JUIN!P47+TONT20000JUIL!P47+TONT20000AOUT!P47+TONT20000SEPT!P47+TONT20000OCT!P47+TONT20000NOV!Q47</f>
        <v>0</v>
      </c>
      <c r="Z47" s="7">
        <f>TONT20000DEC2015!S47+TONT20000JANV!Q47+TONT20000FEV!Q47+TONT20000MARS!Q47+TONT20000AVRIL!Q47+TONT20000MAI!Q47+TONT20000JUIN!Q47+TONT20000JUIL!Q47+TONT20000AOUT!Q47+TONT20000SEPT!Q47+TONT20000OCT!Q47+TONT20000NOV!R47</f>
        <v>0</v>
      </c>
      <c r="AA47" s="7">
        <f>TONT20000DEC2015!T47+TONT20000JANV!R47+TONT20000FEV!R47+TONT20000MARS!R47+TONT20000AVRIL!R47+TONT20000MAI!R47+TONT20000JUIN!R47+TONT20000JUIL!R47+TONT20000AOUT!R47+TONT20000SEPT!R47+TONT20000OCT!R47+TONT20000NOV!S47</f>
        <v>0</v>
      </c>
      <c r="AB47" s="2"/>
    </row>
    <row r="48" spans="1:28" x14ac:dyDescent="0.25">
      <c r="A48" s="1" t="s">
        <v>53</v>
      </c>
      <c r="B48" s="1" t="str">
        <f>VLOOKUP(A48,LISTADHERENT!A$5:H$52,2,0)</f>
        <v>TCHOUTOU NANA CLAUDE</v>
      </c>
      <c r="C48" s="6">
        <f>VLOOKUP(A48,FONDSDECAISSE!A$5:C$52,3,0)</f>
        <v>0</v>
      </c>
      <c r="D48" s="6">
        <v>0</v>
      </c>
      <c r="E48" s="6">
        <f t="shared" si="0"/>
        <v>14126</v>
      </c>
      <c r="F48" s="6">
        <f>INT(TONT20000DEC2015!E48+TONT20000JANV!C48+TONT20000FEV!C48+TONT20000MARS!C48+TONT20000AVRIL!C48+TONT20000MAI!C48+TONT20000JUIN!C48+TONT20000JUIL!C48+TONT20000AOUT!C48+TONT20000SEPT!C48+TONT20000OCT!C48+TONT20000NOV!C48)</f>
        <v>1378</v>
      </c>
      <c r="G48" s="6">
        <f>TONT20000NOV!E48</f>
        <v>25378.292771144846</v>
      </c>
      <c r="H48" s="6">
        <f t="shared" si="1"/>
        <v>15504</v>
      </c>
      <c r="I48" s="6">
        <f t="shared" si="2"/>
        <v>16000</v>
      </c>
      <c r="J48" s="6">
        <f t="shared" si="3"/>
        <v>-496</v>
      </c>
      <c r="K48" s="6"/>
      <c r="L48" s="6"/>
      <c r="M48" s="6"/>
      <c r="N48" s="6">
        <f t="shared" si="4"/>
        <v>16000</v>
      </c>
      <c r="O48" s="7">
        <f>TONT20000DEC2015!H48+TONT20000JANV!F48+TONT20000FEV!F48+TONT20000MARS!F48+TONT20000AVRIL!F48+TONT20000MAI!F48+TONT20000JUIN!F48+TONT20000JUIL!F48+TONT20000AOUT!F48+TONT20000SEPT!F48+TONT20000OCT!F48+TONT20000NOV!G48</f>
        <v>160000</v>
      </c>
      <c r="P48" s="7">
        <f>TONT20000DEC2015!I48+TONT20000JANV!G48+TONT20000FEV!G48+TONT20000MARS!G48+TONT20000AVRIL!G48+TONT20000MAI!G48+TONT20000JUIN!G48+TONT20000JUIL!G48+TONT20000AOUT!G48+TONT20000SEPT!G48+TONT20000OCT!G48+TONT20000NOV!H48-9874</f>
        <v>14126</v>
      </c>
      <c r="Q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R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S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T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U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V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W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X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Y48" s="7">
        <f>TONT20000DEC2015!R48+TONT20000JANV!P48+TONT20000FEV!P48+TONT20000MARS!P48+TONT20000AVRIL!P48+TONT20000MAI!P48+TONT20000JUIN!P48+TONT20000JUIL!P48+TONT20000AOUT!P48+TONT20000SEPT!P48+TONT20000OCT!P48+TONT20000NOV!Q48</f>
        <v>0</v>
      </c>
      <c r="Z48" s="7">
        <f>TONT20000DEC2015!S48+TONT20000JANV!Q48+TONT20000FEV!Q48+TONT20000MARS!Q48+TONT20000AVRIL!Q48+TONT20000MAI!Q48+TONT20000JUIN!Q48+TONT20000JUIL!Q48+TONT20000AOUT!Q48+TONT20000SEPT!Q48+TONT20000OCT!Q48+TONT20000NOV!R48</f>
        <v>0</v>
      </c>
      <c r="AA48" s="7">
        <f>TONT20000DEC2015!T48+TONT20000JANV!R48+TONT20000FEV!R48+TONT20000MARS!R48+TONT20000AVRIL!R48+TONT20000MAI!R48+TONT20000JUIN!R48+TONT20000JUIL!R48+TONT20000AOUT!R48+TONT20000SEPT!R48+TONT20000OCT!R48+TONT20000NOV!S48</f>
        <v>0</v>
      </c>
      <c r="AB48" s="2"/>
    </row>
    <row r="49" spans="1:28" x14ac:dyDescent="0.25">
      <c r="A49" s="1" t="s">
        <v>54</v>
      </c>
      <c r="B49" s="1" t="str">
        <f>VLOOKUP(A49,LISTADHERENT!A$5:H$52,2,0)</f>
        <v>TIEYAM ERNEST</v>
      </c>
      <c r="C49" s="6">
        <f>VLOOKUP(A49,FONDSDECAISSE!A$5:C$52,3,0)</f>
        <v>390000</v>
      </c>
      <c r="D49" s="6">
        <v>804</v>
      </c>
      <c r="E49" s="6">
        <f t="shared" si="0"/>
        <v>426804</v>
      </c>
      <c r="F49" s="6">
        <f>INT(TONT20000DEC2015!E49+TONT20000JANV!C49+TONT20000FEV!C49+TONT20000MARS!C49+TONT20000AVRIL!C49+TONT20000MAI!C49+TONT20000JUIN!C49+TONT20000JUIL!C49+TONT20000AOUT!C49+TONT20000SEPT!C49+TONT20000OCT!C49+TONT20000NOV!C49)</f>
        <v>45532</v>
      </c>
      <c r="G49" s="6">
        <f>TONT20000NOV!E49</f>
        <v>472336.2304404098</v>
      </c>
      <c r="H49" s="6">
        <f t="shared" si="1"/>
        <v>82336</v>
      </c>
      <c r="I49" s="6">
        <f t="shared" si="2"/>
        <v>80000</v>
      </c>
      <c r="J49" s="6">
        <f t="shared" si="3"/>
        <v>2336</v>
      </c>
      <c r="K49" s="6">
        <v>30000</v>
      </c>
      <c r="L49" s="6"/>
      <c r="M49" s="6">
        <v>50000</v>
      </c>
      <c r="N49" s="6">
        <f t="shared" si="4"/>
        <v>0</v>
      </c>
      <c r="O49" s="7">
        <f>TONT20000DEC2015!H49+TONT20000JANV!F49+TONT20000FEV!F49+TONT20000MARS!F49+TONT20000AVRIL!F49+TONT20000MAI!F49+TONT20000JUIN!F49+TONT20000JUIL!F49+TONT20000AOUT!F49+TONT20000SEPT!F49+TONT20000OCT!F49+TONT20000NOV!G49</f>
        <v>240000</v>
      </c>
      <c r="P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Q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R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S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T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U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V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W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X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Y49" s="7">
        <f>TONT20000DEC2015!R49+TONT20000JANV!P49+TONT20000FEV!P49+TONT20000MARS!P49+TONT20000AVRIL!P49+TONT20000MAI!P49+TONT20000JUIN!P49+TONT20000JUIL!P49+TONT20000AOUT!P49+TONT20000SEPT!P49+TONT20000OCT!P49+TONT20000NOV!Q49</f>
        <v>0</v>
      </c>
      <c r="Z49" s="7">
        <f>TONT20000DEC2015!S49+TONT20000JANV!Q49+TONT20000FEV!Q49+TONT20000MARS!Q49+TONT20000AVRIL!Q49+TONT20000MAI!Q49+TONT20000JUIN!Q49+TONT20000JUIL!Q49+TONT20000AOUT!Q49+TONT20000SEPT!Q49+TONT20000OCT!Q49+TONT20000NOV!R49</f>
        <v>0</v>
      </c>
      <c r="AA49" s="7">
        <f>TONT20000DEC2015!T49+TONT20000JANV!R49+TONT20000FEV!R49+TONT20000MARS!R49+TONT20000AVRIL!R49+TONT20000MAI!R49+TONT20000JUIN!R49+TONT20000JUIL!R49+TONT20000AOUT!R49+TONT20000SEPT!R49+TONT20000OCT!R49+TONT20000NOV!S49</f>
        <v>0</v>
      </c>
      <c r="AB49" s="2"/>
    </row>
    <row r="50" spans="1:28" x14ac:dyDescent="0.25">
      <c r="A50" s="1" t="s">
        <v>55</v>
      </c>
      <c r="B50" s="1" t="str">
        <f>VLOOKUP(A50,LISTADHERENT!A$5:H$52,2,0)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443636</v>
      </c>
      <c r="F50" s="6">
        <f>INT(TONT20000DEC2015!E50+TONT20000JANV!C50+TONT20000FEV!C50+TONT20000MARS!C50+TONT20000AVRIL!C50+TONT20000MAI!C50+TONT20000JUIN!C50+TONT20000JUIL!C50+TONT20000AOUT!C50+TONT20000SEPT!C50+TONT20000OCT!C50+TONT20000NOV!C50)</f>
        <v>47510</v>
      </c>
      <c r="G50" s="6">
        <f>TONT20000NOV!E50</f>
        <v>491146.52357864485</v>
      </c>
      <c r="H50" s="6">
        <f t="shared" si="1"/>
        <v>101146</v>
      </c>
      <c r="I50" s="6">
        <f t="shared" si="2"/>
        <v>80000</v>
      </c>
      <c r="J50" s="6">
        <f t="shared" si="3"/>
        <v>21146</v>
      </c>
      <c r="K50" s="6">
        <v>30000</v>
      </c>
      <c r="L50" s="6"/>
      <c r="M50" s="6">
        <v>50000</v>
      </c>
      <c r="N50" s="6">
        <f t="shared" si="4"/>
        <v>0</v>
      </c>
      <c r="O50" s="7">
        <f>TONT20000DEC2015!H50+TONT20000JANV!F50+TONT20000FEV!F50+TONT20000MARS!F50+TONT20000AVRIL!F50+TONT20000MAI!F50+TONT20000JUIN!F50+TONT20000JUIL!F50+TONT20000AOUT!F50+TONT20000SEPT!F50+TONT20000OCT!F50+TONT20000NOV!G50</f>
        <v>240000</v>
      </c>
      <c r="P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Q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R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S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T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U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V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W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X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Y50" s="7">
        <f>TONT20000DEC2015!R50+TONT20000JANV!P50+TONT20000FEV!P50+TONT20000MARS!P50+TONT20000AVRIL!P50+TONT20000MAI!P50+TONT20000JUIN!P50+TONT20000JUIL!P50+TONT20000AOUT!P50+TONT20000SEPT!P50+TONT20000OCT!P50+TONT20000NOV!Q50</f>
        <v>0</v>
      </c>
      <c r="Z50" s="7">
        <f>TONT20000DEC2015!S50+TONT20000JANV!Q50+TONT20000FEV!Q50+TONT20000MARS!Q50+TONT20000AVRIL!Q50+TONT20000MAI!Q50+TONT20000JUIN!Q50+TONT20000JUIL!Q50+TONT20000AOUT!Q50+TONT20000SEPT!Q50+TONT20000OCT!Q50+TONT20000NOV!R50</f>
        <v>0</v>
      </c>
      <c r="AA50" s="7">
        <f>TONT20000DEC2015!T50+TONT20000JANV!R50+TONT20000FEV!R50+TONT20000MARS!R50+TONT20000AVRIL!R50+TONT20000MAI!R50+TONT20000JUIN!R50+TONT20000JUIL!R50+TONT20000AOUT!R50+TONT20000SEPT!R50+TONT20000OCT!R50+TONT20000NOV!S50</f>
        <v>0</v>
      </c>
      <c r="AB50" s="2"/>
    </row>
    <row r="51" spans="1:28" x14ac:dyDescent="0.25">
      <c r="A51" s="1" t="s">
        <v>66</v>
      </c>
      <c r="B51" s="1" t="str">
        <f>VLOOKUP(A51,LISTADHERENT!A$5:H$52,2,0)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847237</v>
      </c>
      <c r="F51" s="6">
        <f>INT(TONT20000DEC2015!E51+TONT20000JANV!C51+TONT20000FEV!C51+TONT20000MARS!C51+TONT20000AVRIL!C51+TONT20000MAI!C51+TONT20000JUIN!C51+TONT20000JUIL!C51+TONT20000AOUT!C51+TONT20000SEPT!C51+TONT20000OCT!C51+TONT20000NOV!C51)</f>
        <v>92160</v>
      </c>
      <c r="G51" s="6">
        <f>TONT20000NOV!E51</f>
        <v>939397.8547585638</v>
      </c>
      <c r="H51" s="6">
        <f t="shared" si="1"/>
        <v>549397</v>
      </c>
      <c r="I51" s="6">
        <f t="shared" si="2"/>
        <v>80000</v>
      </c>
      <c r="J51" s="6">
        <f t="shared" si="3"/>
        <v>469397</v>
      </c>
      <c r="K51" s="6">
        <v>30000</v>
      </c>
      <c r="L51" s="6"/>
      <c r="M51" s="6">
        <v>50000</v>
      </c>
      <c r="N51" s="6">
        <f t="shared" si="4"/>
        <v>0</v>
      </c>
      <c r="O51" s="7">
        <f>TONT20000DEC2015!H51+TONT20000JANV!F51+TONT20000FEV!F51+TONT20000MARS!F51+TONT20000AVRIL!F51+TONT20000MAI!F51+TONT20000JUIN!F51+TONT20000JUIL!F51+TONT20000AOUT!F51+TONT20000SEPT!F51+TONT20000OCT!F51+TONT20000NOV!G51</f>
        <v>240000</v>
      </c>
      <c r="P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Q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R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S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T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U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V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W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X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Y51" s="7">
        <f>TONT20000DEC2015!R51+TONT20000JANV!P51+TONT20000FEV!P51+TONT20000MARS!P51+TONT20000AVRIL!P51+TONT20000MAI!P51+TONT20000JUIN!P51+TONT20000JUIL!P51+TONT20000AOUT!P51+TONT20000SEPT!P51+TONT20000OCT!P51+TONT20000NOV!Q51</f>
        <v>0</v>
      </c>
      <c r="Z51" s="7">
        <f>TONT20000DEC2015!S51+TONT20000JANV!Q51+TONT20000FEV!Q51+TONT20000MARS!Q51+TONT20000AVRIL!Q51+TONT20000MAI!Q51+TONT20000JUIN!Q51+TONT20000JUIL!Q51+TONT20000AOUT!Q51+TONT20000SEPT!Q51+TONT20000OCT!Q51+TONT20000NOV!R51</f>
        <v>0</v>
      </c>
      <c r="AA51" s="7">
        <f>TONT20000DEC2015!T51+TONT20000JANV!R51+TONT20000FEV!R51+TONT20000MARS!R51+TONT20000AVRIL!R51+TONT20000MAI!R51+TONT20000JUIN!R51+TONT20000JUIL!R51+TONT20000AOUT!R51+TONT20000SEPT!R51+TONT20000OCT!R51+TONT20000NOV!S51</f>
        <v>0</v>
      </c>
      <c r="AB51" s="2"/>
    </row>
    <row r="52" spans="1:28" x14ac:dyDescent="0.25">
      <c r="A52" s="1" t="s">
        <v>178</v>
      </c>
      <c r="B52" s="1" t="str">
        <f>VLOOKUP(A52,LISTADHERENT!A$5:H$52,2,0)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1429279</v>
      </c>
      <c r="F52" s="6">
        <f>INT(TONT20000DEC2015!E52+TONT20000JANV!C52+TONT20000FEV!C52+TONT20000MARS!C52+TONT20000AVRIL!C52+TONT20000MAI!C52+TONT20000JUIN!C52+TONT20000JUIL!C52+TONT20000AOUT!C52+TONT20000SEPT!C52+TONT20000OCT!C52+TONT20000NOV!C52)</f>
        <v>156552</v>
      </c>
      <c r="G52" s="6">
        <f>TONT20000NOV!E52</f>
        <v>1585831.0927897436</v>
      </c>
      <c r="H52" s="6">
        <f t="shared" si="1"/>
        <v>1195831</v>
      </c>
      <c r="I52" s="6">
        <f t="shared" si="2"/>
        <v>80000</v>
      </c>
      <c r="J52" s="6">
        <f t="shared" si="3"/>
        <v>1115831</v>
      </c>
      <c r="K52" s="6">
        <v>30000</v>
      </c>
      <c r="L52" s="6"/>
      <c r="M52" s="6">
        <v>50000</v>
      </c>
      <c r="N52" s="6">
        <f t="shared" si="4"/>
        <v>0</v>
      </c>
      <c r="O52" s="7">
        <f>TONT20000DEC2015!H52+TONT20000JANV!F52+TONT20000FEV!F52+TONT20000MARS!F52+TONT20000AVRIL!F52+TONT20000MAI!F52+TONT20000JUIN!F52+TONT20000JUIL!F52+TONT20000AOUT!F52+TONT20000SEPT!F52+TONT20000OCT!F52+TONT20000NOV!G52</f>
        <v>240000</v>
      </c>
      <c r="P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Q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R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S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T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U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V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W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X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Y52" s="7">
        <f>TONT20000DEC2015!R52+TONT20000JANV!P52+TONT20000FEV!P52+TONT20000MARS!P52+TONT20000AVRIL!P52+TONT20000MAI!P52+TONT20000JUIN!P52+TONT20000JUIL!P52+TONT20000AOUT!P52+TONT20000SEPT!P52+TONT20000OCT!P52+TONT20000NOV!Q52</f>
        <v>0</v>
      </c>
      <c r="Z52" s="7">
        <f>TONT20000DEC2015!S52+TONT20000JANV!Q52+TONT20000FEV!Q52+TONT20000MARS!Q52+TONT20000AVRIL!Q52+TONT20000MAI!Q52+TONT20000JUIN!Q52+TONT20000JUIL!Q52+TONT20000AOUT!Q52+TONT20000SEPT!Q52+TONT20000OCT!Q52+TONT20000NOV!R52</f>
        <v>0</v>
      </c>
      <c r="AA52" s="7">
        <f>TONT20000DEC2015!T52+TONT20000JANV!R52+TONT20000FEV!R52+TONT20000MARS!R52+TONT20000AVRIL!R52+TONT20000MAI!R52+TONT20000JUIN!R52+TONT20000JUIL!R52+TONT20000AOUT!R52+TONT20000SEPT!R52+TONT20000OCT!R52+TONT20000NOV!S52</f>
        <v>0</v>
      </c>
      <c r="AB52" s="2"/>
    </row>
    <row r="53" spans="1:28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2"/>
    </row>
    <row r="54" spans="1:28" ht="18" x14ac:dyDescent="0.25">
      <c r="A54" s="8" t="s">
        <v>56</v>
      </c>
      <c r="B54" s="8"/>
      <c r="C54" s="9">
        <f t="shared" ref="C54:AA54" si="5">SUM(C5:C53)</f>
        <v>14097719</v>
      </c>
      <c r="D54" s="9">
        <f t="shared" si="5"/>
        <v>4609226</v>
      </c>
      <c r="E54" s="9">
        <f t="shared" si="5"/>
        <v>22489545</v>
      </c>
      <c r="F54" s="9">
        <f t="shared" si="5"/>
        <v>2233090</v>
      </c>
      <c r="G54" s="9">
        <f t="shared" si="5"/>
        <v>24829084.637967501</v>
      </c>
      <c r="H54" s="9">
        <f t="shared" si="5"/>
        <v>10624916</v>
      </c>
      <c r="I54" s="9">
        <f t="shared" si="5"/>
        <v>2793064</v>
      </c>
      <c r="J54" s="9">
        <f t="shared" si="5"/>
        <v>7831852</v>
      </c>
      <c r="K54" s="9">
        <f t="shared" si="5"/>
        <v>1020000</v>
      </c>
      <c r="L54" s="9">
        <f t="shared" si="5"/>
        <v>0</v>
      </c>
      <c r="M54" s="9">
        <f t="shared" si="5"/>
        <v>1713064</v>
      </c>
      <c r="N54" s="9">
        <f t="shared" si="5"/>
        <v>60000</v>
      </c>
      <c r="O54" s="9">
        <f t="shared" si="5"/>
        <v>13065560</v>
      </c>
      <c r="P54" s="9">
        <f t="shared" si="5"/>
        <v>3782600</v>
      </c>
      <c r="Q54" s="9">
        <f t="shared" si="5"/>
        <v>250500</v>
      </c>
      <c r="R54" s="9">
        <f t="shared" si="5"/>
        <v>501000</v>
      </c>
      <c r="S54" s="9">
        <f t="shared" si="5"/>
        <v>1252500</v>
      </c>
      <c r="T54" s="9">
        <f t="shared" si="5"/>
        <v>235000</v>
      </c>
      <c r="U54" s="9">
        <f t="shared" si="5"/>
        <v>6513000</v>
      </c>
      <c r="V54" s="9">
        <f t="shared" si="5"/>
        <v>25710000</v>
      </c>
      <c r="W54" s="9">
        <f t="shared" si="5"/>
        <v>2282100</v>
      </c>
      <c r="X54" s="9">
        <f t="shared" si="5"/>
        <v>6900000</v>
      </c>
      <c r="Y54" s="9">
        <f t="shared" si="5"/>
        <v>94825</v>
      </c>
      <c r="Z54" s="9">
        <f t="shared" si="5"/>
        <v>98495</v>
      </c>
      <c r="AA54" s="9">
        <f t="shared" si="5"/>
        <v>0</v>
      </c>
      <c r="AB54" s="2"/>
    </row>
    <row r="55" spans="1:28" s="33" customFormat="1" ht="18" x14ac:dyDescent="0.25">
      <c r="A55" s="32" t="s">
        <v>213</v>
      </c>
      <c r="C55" s="34"/>
      <c r="J55" s="35">
        <f>J5+J6+J7+J8+J9+J10+J12+J13+J14+J15+J16+J18+J20+J21+J22+J23+J24+J25+J26+J27+J29+J31+J32+J34+J38+J39+J41+J42+J43+J46+J47+J49+J50+J51+J52+J44</f>
        <v>7844493</v>
      </c>
      <c r="O55" s="34"/>
      <c r="Q55" s="36"/>
      <c r="R55" s="34"/>
      <c r="S55" s="34"/>
      <c r="T55" s="34"/>
      <c r="Z55" s="35"/>
      <c r="AA55" s="34"/>
    </row>
    <row r="56" spans="1:28" ht="18" x14ac:dyDescent="0.25">
      <c r="J56" s="37">
        <f>J17+J19+J28+J30+J33+J36+J40+J45+J48</f>
        <v>-12641</v>
      </c>
    </row>
    <row r="57" spans="1:28" ht="18" x14ac:dyDescent="0.25">
      <c r="B57" s="9" t="s">
        <v>193</v>
      </c>
      <c r="G57" s="9">
        <f>E58+E59+E60</f>
        <v>10624916</v>
      </c>
      <c r="H57" s="9"/>
      <c r="I57" s="9"/>
    </row>
    <row r="58" spans="1:28" ht="15.75" x14ac:dyDescent="0.25">
      <c r="D58" s="27" t="s">
        <v>183</v>
      </c>
      <c r="E58" s="26">
        <f>D54</f>
        <v>4609226</v>
      </c>
    </row>
    <row r="59" spans="1:28" ht="15.75" x14ac:dyDescent="0.25">
      <c r="D59" s="27" t="s">
        <v>195</v>
      </c>
      <c r="E59" s="26">
        <f>+F54</f>
        <v>2233090</v>
      </c>
    </row>
    <row r="60" spans="1:28" ht="15.75" x14ac:dyDescent="0.25">
      <c r="D60" s="27" t="s">
        <v>218</v>
      </c>
      <c r="E60" s="26">
        <f>P54</f>
        <v>3782600</v>
      </c>
    </row>
    <row r="61" spans="1:28" ht="15.75" x14ac:dyDescent="0.25">
      <c r="D61" s="27"/>
      <c r="E61" s="26"/>
    </row>
    <row r="62" spans="1:28" ht="18" x14ac:dyDescent="0.25">
      <c r="B62" s="9" t="s">
        <v>193</v>
      </c>
      <c r="F62" s="9">
        <f>J55</f>
        <v>7844493</v>
      </c>
    </row>
    <row r="63" spans="1:28" ht="18" x14ac:dyDescent="0.25">
      <c r="B63" s="9" t="s">
        <v>210</v>
      </c>
      <c r="F63" s="9">
        <f>M54</f>
        <v>1713064</v>
      </c>
    </row>
    <row r="64" spans="1:28" ht="18" x14ac:dyDescent="0.25">
      <c r="B64" s="9" t="s">
        <v>212</v>
      </c>
      <c r="F64" s="9">
        <f>K54</f>
        <v>1020000</v>
      </c>
    </row>
    <row r="65" spans="2:9" ht="18" x14ac:dyDescent="0.25">
      <c r="B65" s="9" t="s">
        <v>196</v>
      </c>
      <c r="F65" s="9">
        <f>N54</f>
        <v>60000</v>
      </c>
    </row>
    <row r="66" spans="2:9" ht="18" x14ac:dyDescent="0.25">
      <c r="B66" s="9" t="s">
        <v>184</v>
      </c>
      <c r="F66" s="9">
        <f>L54</f>
        <v>0</v>
      </c>
    </row>
    <row r="68" spans="2:9" ht="18" x14ac:dyDescent="0.25">
      <c r="B68" s="9" t="s">
        <v>56</v>
      </c>
      <c r="G68" s="9">
        <f>F62+F63+F64+F65+F66</f>
        <v>10637557</v>
      </c>
      <c r="H68" s="9"/>
      <c r="I68" s="9"/>
    </row>
    <row r="70" spans="2:9" ht="18" x14ac:dyDescent="0.25">
      <c r="B70" s="9" t="s">
        <v>214</v>
      </c>
      <c r="G70" s="37">
        <f>G57-G68</f>
        <v>-12641</v>
      </c>
      <c r="H70" s="37"/>
      <c r="I70" s="37"/>
    </row>
  </sheetData>
  <autoFilter ref="A4:AB50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41" activePane="bottomRight" state="frozen"/>
      <selection pane="topRight" activeCell="D1" sqref="D1"/>
      <selection pane="bottomLeft" activeCell="A5" sqref="A5"/>
      <selection pane="bottomRight" activeCell="A47" sqref="A47:XFD47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211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</row>
    <row r="5" spans="1:14" x14ac:dyDescent="0.25">
      <c r="A5" s="1" t="s">
        <v>185</v>
      </c>
      <c r="B5" s="1" t="str">
        <f>VLOOKUP(A5,LISTADHERENT!A$5:H$52,2,0)</f>
        <v>ASELBY</v>
      </c>
      <c r="C5" s="1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0" customFormat="1" x14ac:dyDescent="0.25">
      <c r="A11" s="18" t="s">
        <v>16</v>
      </c>
      <c r="B11" s="18" t="str">
        <f>VLOOKUP(A11,LISTADHERENT!A$5:H$52,2,0)</f>
        <v>DJOSSEU JOSUE</v>
      </c>
      <c r="C11" s="28">
        <v>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v>390000</v>
      </c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v>390000</v>
      </c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0" customFormat="1" x14ac:dyDescent="0.25">
      <c r="A28" s="18" t="s">
        <v>33</v>
      </c>
      <c r="B28" s="18" t="str">
        <f>VLOOKUP(A28,LISTADHERENT!A$5:H$52,2,0)</f>
        <v>NDOMBOU JEAN CLAUDE</v>
      </c>
      <c r="C28" s="28">
        <v>0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v>390000</v>
      </c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72800</v>
      </c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0" customFormat="1" x14ac:dyDescent="0.25">
      <c r="A37" s="18" t="s">
        <v>42</v>
      </c>
      <c r="B37" s="18" t="str">
        <f>VLOOKUP(A37,LISTADHERENT!A$5:H$52,2,0)</f>
        <v>NTOMBOU ADOLPHE</v>
      </c>
      <c r="C37" s="28">
        <v>0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C47+48100+20500</f>
        <v>325719</v>
      </c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440000</v>
      </c>
      <c r="J54" s="9">
        <f t="shared" si="0"/>
        <v>0</v>
      </c>
      <c r="K54" s="9">
        <f t="shared" si="0"/>
        <v>398519</v>
      </c>
      <c r="L54" s="9">
        <f t="shared" si="0"/>
        <v>1560000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pane xSplit="2" ySplit="4" topLeftCell="M41" activePane="bottomRight" state="frozen"/>
      <selection activeCell="B22" sqref="B22"/>
      <selection pane="topRight" activeCell="B22" sqref="B22"/>
      <selection pane="bottomLeft" activeCell="B22" sqref="B22"/>
      <selection pane="bottomRight" activeCell="K7" sqref="K7:K4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10" width="13" customWidth="1"/>
    <col min="11" max="11" width="15" style="2" bestFit="1" customWidth="1"/>
    <col min="12" max="12" width="15" bestFit="1" customWidth="1"/>
    <col min="13" max="13" width="17.5703125" style="4" bestFit="1" customWidth="1"/>
    <col min="14" max="14" width="15.7109375" style="2" customWidth="1"/>
    <col min="15" max="15" width="12.42578125" style="2" customWidth="1"/>
    <col min="16" max="16" width="9.7109375" style="2" customWidth="1"/>
    <col min="17" max="17" width="15" bestFit="1" customWidth="1"/>
    <col min="18" max="18" width="12.5703125" bestFit="1" customWidth="1"/>
    <col min="19" max="19" width="18.140625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24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24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24" ht="29.25" x14ac:dyDescent="0.25">
      <c r="A4" s="1" t="s">
        <v>6</v>
      </c>
      <c r="B4" s="1" t="s">
        <v>7</v>
      </c>
      <c r="C4" s="6" t="s">
        <v>188</v>
      </c>
      <c r="D4" s="1" t="s">
        <v>224</v>
      </c>
      <c r="E4" s="5" t="s">
        <v>186</v>
      </c>
      <c r="F4" s="5" t="s">
        <v>187</v>
      </c>
      <c r="G4" s="1" t="s">
        <v>184</v>
      </c>
      <c r="H4" s="5" t="s">
        <v>221</v>
      </c>
      <c r="I4" s="1" t="s">
        <v>222</v>
      </c>
      <c r="J4" s="40" t="s">
        <v>223</v>
      </c>
      <c r="K4" s="5" t="s">
        <v>65</v>
      </c>
      <c r="L4" s="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63</v>
      </c>
      <c r="R4" s="5" t="s">
        <v>64</v>
      </c>
      <c r="S4" s="5" t="s">
        <v>8</v>
      </c>
      <c r="T4" s="5" t="s">
        <v>182</v>
      </c>
      <c r="U4" s="5" t="s">
        <v>181</v>
      </c>
      <c r="V4" s="6" t="s">
        <v>9</v>
      </c>
      <c r="W4" s="1" t="s">
        <v>10</v>
      </c>
      <c r="X4" s="5" t="s">
        <v>225</v>
      </c>
    </row>
    <row r="5" spans="1:24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48" si="0">$R$52/$F$52*F5</f>
        <v>43.102857294906435</v>
      </c>
      <c r="F5" s="6">
        <f>RECAPTONT20000!C5+RECAPTONT20000!D5+TONT20000DEC2016!L5</f>
        <v>318145</v>
      </c>
      <c r="G5" s="6"/>
      <c r="H5" s="7"/>
      <c r="I5" s="7"/>
      <c r="J5" s="4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"/>
    </row>
    <row r="6" spans="1:24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57.381419689938525</v>
      </c>
      <c r="F6" s="6">
        <f>RECAPTONT20000!C6+RECAPTONT20000!D6+TONT20000DEC2016!L6</f>
        <v>423536</v>
      </c>
      <c r="G6" s="6"/>
      <c r="H6" s="7">
        <f>IF(J6="ECHEC",0,13000)</f>
        <v>0</v>
      </c>
      <c r="I6" s="7">
        <f>IF(J6="ESPECES",1000,0)</f>
        <v>0</v>
      </c>
      <c r="J6" s="40" t="s">
        <v>219</v>
      </c>
      <c r="K6" s="7">
        <f>IF(H6=0,0,L6+M6+N6+O6+P6+#REF!)</f>
        <v>0</v>
      </c>
      <c r="L6" s="7"/>
      <c r="M6" s="7"/>
      <c r="N6" s="7"/>
      <c r="O6" s="7"/>
      <c r="P6" s="7"/>
      <c r="Q6" s="7"/>
      <c r="R6" s="7">
        <f>IF(Q6&lt;=500000,(Q6*1*3/100),(Q6*12/100))</f>
        <v>0</v>
      </c>
      <c r="S6" s="2"/>
      <c r="T6" s="2"/>
      <c r="U6" s="2"/>
      <c r="V6" s="7"/>
      <c r="X6" s="1"/>
    </row>
    <row r="7" spans="1:24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53.475208429265741</v>
      </c>
      <c r="F7" s="6">
        <f>RECAPTONT20000!C7+RECAPTONT20000!D7+TONT20000DEC2016!L7</f>
        <v>394704</v>
      </c>
      <c r="G7" s="6"/>
      <c r="H7" s="7">
        <f t="shared" ref="H7:H48" si="1">IF(J7="ECHEC",0,13000)</f>
        <v>13000</v>
      </c>
      <c r="I7" s="7">
        <f t="shared" ref="I7:I48" si="2">IF(J7="ESPECES",1000,0)</f>
        <v>1000</v>
      </c>
      <c r="J7" s="40" t="s">
        <v>226</v>
      </c>
      <c r="K7" s="7">
        <f>IF(H7=0,0,H7+L7+M7+N7+O7+P7)</f>
        <v>20000</v>
      </c>
      <c r="L7" s="7">
        <v>3000</v>
      </c>
      <c r="M7" s="7">
        <v>500</v>
      </c>
      <c r="N7" s="7">
        <v>1000</v>
      </c>
      <c r="O7" s="7">
        <v>2500</v>
      </c>
      <c r="P7" s="7"/>
      <c r="Q7" s="7"/>
      <c r="R7" s="7"/>
      <c r="S7" s="2"/>
      <c r="T7" s="2"/>
      <c r="U7" s="2"/>
      <c r="V7" s="7"/>
      <c r="X7" s="1"/>
    </row>
    <row r="8" spans="1:24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53.493904917680446</v>
      </c>
      <c r="F8" s="6">
        <f>RECAPTONT20000!C8+RECAPTONT20000!D8+TONT20000DEC2016!L8</f>
        <v>394842</v>
      </c>
      <c r="G8" s="6"/>
      <c r="H8" s="7">
        <f t="shared" si="1"/>
        <v>13000</v>
      </c>
      <c r="I8" s="7">
        <f t="shared" si="2"/>
        <v>1000</v>
      </c>
      <c r="J8" s="40" t="s">
        <v>226</v>
      </c>
      <c r="K8" s="7">
        <f t="shared" ref="K8:K48" si="3">IF(H8=0,0,H8+L8+M8+N8+O8+P8)</f>
        <v>20000</v>
      </c>
      <c r="L8" s="7">
        <v>3000</v>
      </c>
      <c r="M8" s="7">
        <v>500</v>
      </c>
      <c r="N8" s="7">
        <v>1000</v>
      </c>
      <c r="O8" s="7">
        <v>2500</v>
      </c>
      <c r="P8" s="7"/>
      <c r="Q8" s="2"/>
      <c r="R8" s="7"/>
      <c r="S8" s="2"/>
      <c r="T8" s="2"/>
      <c r="U8" s="2"/>
      <c r="V8" s="7"/>
      <c r="X8" s="1"/>
    </row>
    <row r="9" spans="1:24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54.349337003553366</v>
      </c>
      <c r="F9" s="6">
        <f>RECAPTONT20000!C9+RECAPTONT20000!D9+TONT20000DEC2016!L9</f>
        <v>401156</v>
      </c>
      <c r="G9" s="6"/>
      <c r="H9" s="7">
        <f t="shared" si="1"/>
        <v>13000</v>
      </c>
      <c r="I9" s="7">
        <f t="shared" si="2"/>
        <v>0</v>
      </c>
      <c r="J9" s="40" t="s">
        <v>220</v>
      </c>
      <c r="K9" s="7">
        <f t="shared" si="3"/>
        <v>20000</v>
      </c>
      <c r="L9" s="7">
        <v>3000</v>
      </c>
      <c r="M9" s="7">
        <v>500</v>
      </c>
      <c r="N9" s="7">
        <v>1000</v>
      </c>
      <c r="O9" s="7">
        <v>2500</v>
      </c>
      <c r="P9" s="7"/>
      <c r="Q9" s="2"/>
      <c r="R9" s="7"/>
      <c r="S9" s="2"/>
      <c r="T9" s="2"/>
      <c r="U9" s="2"/>
      <c r="V9" s="7">
        <v>11000</v>
      </c>
      <c r="X9" s="1" t="s">
        <v>84</v>
      </c>
    </row>
    <row r="10" spans="1:24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54.044367471513461</v>
      </c>
      <c r="F10" s="6">
        <f>RECAPTONT20000!C10+RECAPTONT20000!D10+TONT20000DEC2016!L10</f>
        <v>398905</v>
      </c>
      <c r="G10" s="6"/>
      <c r="H10" s="7">
        <f t="shared" si="1"/>
        <v>13000</v>
      </c>
      <c r="I10" s="7">
        <f t="shared" si="2"/>
        <v>0</v>
      </c>
      <c r="J10" s="40" t="s">
        <v>220</v>
      </c>
      <c r="K10" s="7">
        <f t="shared" si="3"/>
        <v>20000</v>
      </c>
      <c r="L10" s="7">
        <v>3000</v>
      </c>
      <c r="M10" s="7">
        <v>500</v>
      </c>
      <c r="N10" s="7">
        <v>1000</v>
      </c>
      <c r="O10" s="7">
        <v>2500</v>
      </c>
      <c r="P10" s="7"/>
      <c r="Q10" s="2"/>
      <c r="R10" s="7"/>
      <c r="S10" s="2"/>
      <c r="T10" s="2"/>
      <c r="U10" s="2"/>
      <c r="V10" s="7"/>
      <c r="X10" s="1"/>
    </row>
    <row r="11" spans="1:24" x14ac:dyDescent="0.25">
      <c r="A11" s="1" t="s">
        <v>17</v>
      </c>
      <c r="B11" s="1" t="str">
        <f>VLOOKUP(A11,LISTADHERENT!A$5:H$51,2)</f>
        <v>DJOUNKEP SAMUEL</v>
      </c>
      <c r="C11" s="6">
        <f>VLOOKUP(A11,FONDSDECAISSE!A$5:C$52,3,0)</f>
        <v>390000</v>
      </c>
      <c r="D11" s="6">
        <v>1055294</v>
      </c>
      <c r="E11" s="6">
        <f t="shared" si="0"/>
        <v>186.77371932712367</v>
      </c>
      <c r="F11" s="6">
        <f>RECAPTONT20000!C12+RECAPTONT20000!D12+TONT20000DEC2016!L11</f>
        <v>1378589</v>
      </c>
      <c r="G11" s="6"/>
      <c r="H11" s="7">
        <f t="shared" si="1"/>
        <v>13000</v>
      </c>
      <c r="I11" s="7">
        <f t="shared" si="2"/>
        <v>0</v>
      </c>
      <c r="J11" s="40" t="s">
        <v>220</v>
      </c>
      <c r="K11" s="7">
        <f t="shared" si="3"/>
        <v>20000</v>
      </c>
      <c r="L11" s="7">
        <v>3000</v>
      </c>
      <c r="M11" s="7">
        <v>500</v>
      </c>
      <c r="N11" s="7">
        <v>1000</v>
      </c>
      <c r="O11" s="7">
        <v>2500</v>
      </c>
      <c r="P11" s="7"/>
      <c r="Q11" s="2"/>
      <c r="R11" s="7"/>
      <c r="S11" s="2"/>
      <c r="T11" s="2"/>
      <c r="U11" s="2"/>
      <c r="V11" s="7"/>
      <c r="X11" s="1"/>
    </row>
    <row r="12" spans="1:24" x14ac:dyDescent="0.25">
      <c r="A12" s="1" t="s">
        <v>18</v>
      </c>
      <c r="B12" s="1" t="str">
        <f>VLOOKUP(A12,LISTADHERENT!A$5:H$51,2)</f>
        <v>DJUOMBESSY ANTOINE</v>
      </c>
      <c r="C12" s="6">
        <f>VLOOKUP(A12,FONDSDECAISSE!A$5:C$52,3,0)</f>
        <v>319134</v>
      </c>
      <c r="D12" s="6">
        <v>0</v>
      </c>
      <c r="E12" s="6">
        <f t="shared" si="0"/>
        <v>43.64329419553156</v>
      </c>
      <c r="F12" s="6">
        <f>RECAPTONT20000!C13+RECAPTONT20000!D13+TONT20000DEC2016!L12</f>
        <v>322134</v>
      </c>
      <c r="G12" s="6"/>
      <c r="H12" s="7">
        <f t="shared" si="1"/>
        <v>13000</v>
      </c>
      <c r="I12" s="7">
        <f t="shared" si="2"/>
        <v>0</v>
      </c>
      <c r="J12" s="40" t="s">
        <v>220</v>
      </c>
      <c r="K12" s="7">
        <f t="shared" si="3"/>
        <v>20000</v>
      </c>
      <c r="L12" s="7">
        <v>3000</v>
      </c>
      <c r="M12" s="7">
        <v>500</v>
      </c>
      <c r="N12" s="7">
        <v>1000</v>
      </c>
      <c r="O12" s="7">
        <v>2500</v>
      </c>
      <c r="P12" s="7"/>
      <c r="Q12" s="2"/>
      <c r="R12" s="7"/>
      <c r="S12" s="2"/>
      <c r="T12" s="2"/>
      <c r="U12" s="2"/>
      <c r="V12" s="7"/>
      <c r="X12" s="1"/>
    </row>
    <row r="13" spans="1:24" x14ac:dyDescent="0.25">
      <c r="A13" s="1" t="s">
        <v>19</v>
      </c>
      <c r="B13" s="1" t="str">
        <f>VLOOKUP(A13,LISTADHERENT!A$5:H$51,2)</f>
        <v>DONHOU DAVID</v>
      </c>
      <c r="C13" s="6">
        <f>VLOOKUP(A13,FONDSDECAISSE!A$5:C$52,3,0)</f>
        <v>390000</v>
      </c>
      <c r="D13" s="6">
        <v>44734</v>
      </c>
      <c r="E13" s="6">
        <f t="shared" si="0"/>
        <v>59.30499028785168</v>
      </c>
      <c r="F13" s="6">
        <f>RECAPTONT20000!C14+RECAPTONT20000!D14+TONT20000DEC2016!L13</f>
        <v>437734</v>
      </c>
      <c r="G13" s="6"/>
      <c r="H13" s="7">
        <f t="shared" si="1"/>
        <v>13000</v>
      </c>
      <c r="I13" s="7">
        <f t="shared" si="2"/>
        <v>1000</v>
      </c>
      <c r="J13" s="40" t="s">
        <v>226</v>
      </c>
      <c r="K13" s="7">
        <f t="shared" si="3"/>
        <v>20000</v>
      </c>
      <c r="L13" s="7">
        <v>3000</v>
      </c>
      <c r="M13" s="7">
        <v>500</v>
      </c>
      <c r="N13" s="7">
        <v>1000</v>
      </c>
      <c r="O13" s="7">
        <v>2500</v>
      </c>
      <c r="P13" s="7"/>
      <c r="Q13" s="2"/>
      <c r="R13" s="7"/>
      <c r="S13" s="2"/>
      <c r="T13" s="2"/>
      <c r="U13" s="2"/>
      <c r="V13" s="7"/>
      <c r="X13" s="1"/>
    </row>
    <row r="14" spans="1:24" x14ac:dyDescent="0.25">
      <c r="A14" s="1" t="s">
        <v>20</v>
      </c>
      <c r="B14" s="1" t="str">
        <f>VLOOKUP(A14,LISTADHERENT!A$5:H$51,2)</f>
        <v>FOTSO THOMAS</v>
      </c>
      <c r="C14" s="6">
        <f>VLOOKUP(A14,FONDSDECAISSE!A$5:C$52,3,0)</f>
        <v>390000</v>
      </c>
      <c r="D14" s="6">
        <v>3318</v>
      </c>
      <c r="E14" s="6">
        <f t="shared" si="0"/>
        <v>53.693876054637755</v>
      </c>
      <c r="F14" s="6">
        <f>RECAPTONT20000!C15+RECAPTONT20000!D15+TONT20000DEC2016!L14</f>
        <v>396318</v>
      </c>
      <c r="G14" s="6"/>
      <c r="H14" s="7">
        <f t="shared" si="1"/>
        <v>13000</v>
      </c>
      <c r="I14" s="7">
        <f t="shared" si="2"/>
        <v>1000</v>
      </c>
      <c r="J14" s="40" t="s">
        <v>226</v>
      </c>
      <c r="K14" s="7">
        <f t="shared" si="3"/>
        <v>20000</v>
      </c>
      <c r="L14" s="7">
        <v>3000</v>
      </c>
      <c r="M14" s="7">
        <v>500</v>
      </c>
      <c r="N14" s="7">
        <v>1000</v>
      </c>
      <c r="O14" s="7">
        <v>2500</v>
      </c>
      <c r="P14" s="7"/>
      <c r="Q14" s="2"/>
      <c r="R14" s="7"/>
      <c r="S14" s="2"/>
      <c r="T14" s="2"/>
      <c r="U14" s="2"/>
      <c r="V14" s="7"/>
      <c r="X14" s="1"/>
    </row>
    <row r="15" spans="1:24" x14ac:dyDescent="0.25">
      <c r="A15" s="1" t="s">
        <v>21</v>
      </c>
      <c r="B15" s="1" t="str">
        <f>VLOOKUP(A15,LISTADHERENT!A$5:H$51,2)</f>
        <v>HENGUE PAUL OMER</v>
      </c>
      <c r="C15" s="6">
        <f>VLOOKUP(A15,FONDSDECAISSE!A$5:C$52,3,0)</f>
        <v>390000</v>
      </c>
      <c r="D15" s="6">
        <v>1083990</v>
      </c>
      <c r="E15" s="6">
        <f t="shared" si="0"/>
        <v>209.04706274644479</v>
      </c>
      <c r="F15" s="6">
        <f>RECAPTONT20000!C16+RECAPTONT20000!D16+TONT20000DEC2016!L15</f>
        <v>1542990</v>
      </c>
      <c r="G15" s="6"/>
      <c r="H15" s="7">
        <v>39000</v>
      </c>
      <c r="I15" s="7">
        <f t="shared" si="2"/>
        <v>0</v>
      </c>
      <c r="J15" s="40" t="s">
        <v>220</v>
      </c>
      <c r="K15" s="7">
        <f t="shared" si="3"/>
        <v>120000</v>
      </c>
      <c r="L15" s="7">
        <v>69000</v>
      </c>
      <c r="M15" s="7">
        <v>1500</v>
      </c>
      <c r="N15" s="7">
        <v>3000</v>
      </c>
      <c r="O15" s="7">
        <v>7500</v>
      </c>
      <c r="P15" s="7"/>
      <c r="Q15" s="2"/>
      <c r="R15" s="7"/>
      <c r="S15" s="2"/>
      <c r="T15" s="2"/>
      <c r="U15" s="2"/>
      <c r="V15" s="7"/>
      <c r="X15" s="1"/>
    </row>
    <row r="16" spans="1:24" x14ac:dyDescent="0.25">
      <c r="A16" s="1" t="s">
        <v>22</v>
      </c>
      <c r="B16" s="1" t="str">
        <f>VLOOKUP(A16,LISTADHERENT!A$5:H$51,2)</f>
        <v>HODIEP JULES</v>
      </c>
      <c r="C16" s="6">
        <f>VLOOKUP(A16,FONDSDECAISSE!A$5:C$52,3,0)</f>
        <v>0</v>
      </c>
      <c r="D16" s="6">
        <v>0</v>
      </c>
      <c r="E16" s="6">
        <f t="shared" si="0"/>
        <v>0</v>
      </c>
      <c r="F16" s="6">
        <f>RECAPTONT20000!C17+RECAPTONT20000!D17+TONT20000DEC2016!L16</f>
        <v>0</v>
      </c>
      <c r="G16" s="6"/>
      <c r="H16" s="7">
        <f t="shared" si="1"/>
        <v>0</v>
      </c>
      <c r="I16" s="7">
        <f t="shared" si="2"/>
        <v>0</v>
      </c>
      <c r="J16" s="40" t="s">
        <v>219</v>
      </c>
      <c r="K16" s="7">
        <f t="shared" si="3"/>
        <v>0</v>
      </c>
      <c r="L16" s="7"/>
      <c r="M16" s="7"/>
      <c r="N16" s="7"/>
      <c r="O16" s="7"/>
      <c r="P16" s="7"/>
      <c r="Q16" s="2"/>
      <c r="R16" s="7"/>
      <c r="S16" s="2"/>
      <c r="T16" s="2"/>
      <c r="U16" s="2"/>
      <c r="V16" s="7"/>
      <c r="X16" s="1"/>
    </row>
    <row r="17" spans="1:24" x14ac:dyDescent="0.25">
      <c r="A17" s="1" t="s">
        <v>23</v>
      </c>
      <c r="B17" s="1" t="str">
        <f>VLOOKUP(A17,LISTADHERENT!A$5:H$51,2)</f>
        <v>HOTCHO BENJAMIN</v>
      </c>
      <c r="C17" s="6">
        <f>VLOOKUP(A17,FONDSDECAISSE!A$5:C$52,3,0)</f>
        <v>390000</v>
      </c>
      <c r="D17" s="6">
        <v>8723</v>
      </c>
      <c r="E17" s="6">
        <f t="shared" si="0"/>
        <v>54.426155184213791</v>
      </c>
      <c r="F17" s="6">
        <f>RECAPTONT20000!C18+RECAPTONT20000!D18+TONT20000DEC2016!L17</f>
        <v>401723</v>
      </c>
      <c r="G17" s="6"/>
      <c r="H17" s="7">
        <f t="shared" si="1"/>
        <v>13000</v>
      </c>
      <c r="I17" s="7">
        <f t="shared" si="2"/>
        <v>0</v>
      </c>
      <c r="J17" s="40" t="s">
        <v>220</v>
      </c>
      <c r="K17" s="7">
        <f t="shared" si="3"/>
        <v>20000</v>
      </c>
      <c r="L17" s="7">
        <v>3000</v>
      </c>
      <c r="M17" s="7">
        <v>500</v>
      </c>
      <c r="N17" s="7">
        <v>1000</v>
      </c>
      <c r="O17" s="7">
        <v>2500</v>
      </c>
      <c r="P17" s="7"/>
      <c r="Q17" s="2"/>
      <c r="R17" s="7"/>
      <c r="S17" s="2"/>
      <c r="T17" s="2"/>
      <c r="U17" s="2"/>
      <c r="V17" s="7"/>
      <c r="X17" s="1"/>
    </row>
    <row r="18" spans="1:24" x14ac:dyDescent="0.25">
      <c r="A18" s="1" t="s">
        <v>24</v>
      </c>
      <c r="B18" s="1" t="str">
        <f>VLOOKUP(A18,LISTADHERENT!A$5:H$51,2)</f>
        <v>KEPHE DAVID</v>
      </c>
      <c r="C18" s="6">
        <f>VLOOKUP(A18,FONDSDECAISSE!A$5:C$52,3,0)</f>
        <v>0</v>
      </c>
      <c r="D18" s="6">
        <v>12795</v>
      </c>
      <c r="E18" s="6">
        <f t="shared" si="0"/>
        <v>2.1399350326833586</v>
      </c>
      <c r="F18" s="6">
        <f>RECAPTONT20000!C19+RECAPTONT20000!D19+TONT20000DEC2016!L18</f>
        <v>15795</v>
      </c>
      <c r="G18" s="6"/>
      <c r="H18" s="7">
        <f t="shared" si="1"/>
        <v>13000</v>
      </c>
      <c r="I18" s="7">
        <f t="shared" si="2"/>
        <v>0</v>
      </c>
      <c r="J18" s="40" t="s">
        <v>220</v>
      </c>
      <c r="K18" s="7">
        <f t="shared" si="3"/>
        <v>20000</v>
      </c>
      <c r="L18" s="7">
        <v>3000</v>
      </c>
      <c r="M18" s="7">
        <v>500</v>
      </c>
      <c r="N18" s="7">
        <v>1000</v>
      </c>
      <c r="O18" s="7">
        <v>2500</v>
      </c>
      <c r="P18" s="7"/>
      <c r="Q18" s="2"/>
      <c r="R18" s="7"/>
      <c r="S18" s="2"/>
      <c r="T18" s="2"/>
      <c r="U18" s="2"/>
      <c r="V18" s="7"/>
      <c r="X18" s="1"/>
    </row>
    <row r="19" spans="1:24" x14ac:dyDescent="0.25">
      <c r="A19" s="1" t="s">
        <v>25</v>
      </c>
      <c r="B19" s="1" t="str">
        <f>VLOOKUP(A19,LISTADHERENT!A$5:H$51,2)</f>
        <v>KEPSEU FRANCIS</v>
      </c>
      <c r="C19" s="6">
        <f>VLOOKUP(A19,FONDSDECAISSE!A$5:C$52,3,0)</f>
        <v>390000</v>
      </c>
      <c r="D19" s="6">
        <v>186997</v>
      </c>
      <c r="E19" s="6">
        <f t="shared" si="0"/>
        <v>214.46728312330856</v>
      </c>
      <c r="F19" s="6">
        <f>RECAPTONT20000!C20+RECAPTONT20000!D20+TONT20000DEC2016!L19</f>
        <v>1582997</v>
      </c>
      <c r="G19" s="6"/>
      <c r="H19" s="7">
        <f t="shared" si="1"/>
        <v>13000</v>
      </c>
      <c r="I19" s="7">
        <f t="shared" si="2"/>
        <v>0</v>
      </c>
      <c r="J19" s="40" t="s">
        <v>220</v>
      </c>
      <c r="K19" s="7">
        <f t="shared" si="3"/>
        <v>1023000</v>
      </c>
      <c r="L19" s="7">
        <v>1006000</v>
      </c>
      <c r="M19" s="7">
        <v>500</v>
      </c>
      <c r="N19" s="7">
        <v>1000</v>
      </c>
      <c r="O19" s="7">
        <v>2500</v>
      </c>
      <c r="P19" s="7"/>
      <c r="Q19" s="2"/>
      <c r="R19" s="7"/>
      <c r="S19" s="2"/>
      <c r="T19" s="2"/>
      <c r="U19" s="2"/>
      <c r="V19" s="7"/>
      <c r="X19" s="1"/>
    </row>
    <row r="20" spans="1:24" x14ac:dyDescent="0.25">
      <c r="A20" s="1" t="s">
        <v>26</v>
      </c>
      <c r="B20" s="1" t="str">
        <f>VLOOKUP(A20,LISTADHERENT!A$5:H$51,2)</f>
        <v>KOUAMOU EMMANUEL</v>
      </c>
      <c r="C20" s="6">
        <f>VLOOKUP(A20,FONDSDECAISSE!A$5:C$52,3,0)</f>
        <v>390000</v>
      </c>
      <c r="D20" s="6">
        <v>2723</v>
      </c>
      <c r="E20" s="6">
        <f t="shared" si="0"/>
        <v>53.613264383574339</v>
      </c>
      <c r="F20" s="6">
        <f>RECAPTONT20000!C21+RECAPTONT20000!D21+TONT20000DEC2016!L20</f>
        <v>395723</v>
      </c>
      <c r="G20" s="6"/>
      <c r="H20" s="7">
        <f t="shared" si="1"/>
        <v>13000</v>
      </c>
      <c r="I20" s="7">
        <f t="shared" si="2"/>
        <v>0</v>
      </c>
      <c r="J20" s="40" t="s">
        <v>220</v>
      </c>
      <c r="K20" s="7">
        <f t="shared" si="3"/>
        <v>20000</v>
      </c>
      <c r="L20" s="7">
        <v>3000</v>
      </c>
      <c r="M20" s="7">
        <v>500</v>
      </c>
      <c r="N20" s="7">
        <v>1000</v>
      </c>
      <c r="O20" s="7">
        <v>2500</v>
      </c>
      <c r="P20" s="7"/>
      <c r="Q20" s="2"/>
      <c r="R20" s="7"/>
      <c r="S20" s="2"/>
      <c r="T20" s="2"/>
      <c r="U20" s="2"/>
      <c r="V20" s="7"/>
      <c r="X20" s="1"/>
    </row>
    <row r="21" spans="1:24" x14ac:dyDescent="0.25">
      <c r="A21" s="1" t="s">
        <v>27</v>
      </c>
      <c r="B21" s="1" t="str">
        <f>VLOOKUP(A21,LISTADHERENT!A$5:H$51,2)</f>
        <v>KOUAMOU MOISE</v>
      </c>
      <c r="C21" s="6">
        <f>VLOOKUP(A21,FONDSDECAISSE!A$5:C$52,3,0)</f>
        <v>315000</v>
      </c>
      <c r="D21" s="6">
        <v>2099</v>
      </c>
      <c r="E21" s="6">
        <f t="shared" si="0"/>
        <v>43.36758873231468</v>
      </c>
      <c r="F21" s="6">
        <f>RECAPTONT20000!C22+RECAPTONT20000!D22+TONT20000DEC2016!L21</f>
        <v>320099</v>
      </c>
      <c r="G21" s="6"/>
      <c r="H21" s="7">
        <f t="shared" si="1"/>
        <v>13000</v>
      </c>
      <c r="I21" s="7">
        <f t="shared" si="2"/>
        <v>1000</v>
      </c>
      <c r="J21" s="40" t="s">
        <v>226</v>
      </c>
      <c r="K21" s="7">
        <f t="shared" si="3"/>
        <v>20000</v>
      </c>
      <c r="L21" s="7">
        <v>3000</v>
      </c>
      <c r="M21" s="7">
        <v>500</v>
      </c>
      <c r="N21" s="7">
        <v>1000</v>
      </c>
      <c r="O21" s="7">
        <v>2500</v>
      </c>
      <c r="P21" s="7"/>
      <c r="Q21" s="2"/>
      <c r="R21" s="7"/>
      <c r="S21" s="2"/>
      <c r="T21" s="2"/>
      <c r="U21" s="2"/>
      <c r="V21" s="7">
        <v>12000</v>
      </c>
      <c r="X21" s="1" t="s">
        <v>103</v>
      </c>
    </row>
    <row r="22" spans="1:24" x14ac:dyDescent="0.25">
      <c r="A22" s="1" t="s">
        <v>28</v>
      </c>
      <c r="B22" s="1" t="str">
        <f>VLOOKUP(A22,LISTADHERENT!A$5:H$51,2)</f>
        <v>KOUAMOU VICTOR PEGUY</v>
      </c>
      <c r="C22" s="6">
        <f>VLOOKUP(A22,FONDSDECAISSE!A$5:C$52,3,0)</f>
        <v>390000</v>
      </c>
      <c r="D22" s="6">
        <v>36629</v>
      </c>
      <c r="E22" s="6">
        <f t="shared" si="0"/>
        <v>58.206910297987889</v>
      </c>
      <c r="F22" s="6">
        <f>RECAPTONT20000!C23+RECAPTONT20000!D23+TONT20000DEC2016!L22</f>
        <v>429629</v>
      </c>
      <c r="G22" s="6"/>
      <c r="H22" s="7">
        <f t="shared" si="1"/>
        <v>13000</v>
      </c>
      <c r="I22" s="7">
        <f t="shared" si="2"/>
        <v>1000</v>
      </c>
      <c r="J22" s="40" t="s">
        <v>226</v>
      </c>
      <c r="K22" s="7">
        <f t="shared" si="3"/>
        <v>20000</v>
      </c>
      <c r="L22" s="7">
        <v>3000</v>
      </c>
      <c r="M22" s="7">
        <v>500</v>
      </c>
      <c r="N22" s="7">
        <v>1000</v>
      </c>
      <c r="O22" s="7">
        <v>2500</v>
      </c>
      <c r="P22" s="7"/>
      <c r="Q22" s="2"/>
      <c r="R22" s="7"/>
      <c r="S22" s="2"/>
      <c r="T22" s="2"/>
      <c r="U22" s="2"/>
      <c r="V22" s="7">
        <v>12000</v>
      </c>
      <c r="X22" s="1" t="s">
        <v>85</v>
      </c>
    </row>
    <row r="23" spans="1:24" x14ac:dyDescent="0.25">
      <c r="A23" s="1" t="s">
        <v>29</v>
      </c>
      <c r="B23" s="1" t="str">
        <f>VLOOKUP(A23,LISTADHERENT!A$5:H$51,2)</f>
        <v>KOUATCHO MESSACK</v>
      </c>
      <c r="C23" s="6">
        <f>VLOOKUP(A23,FONDSDECAISSE!A$5:C$52,3,0)</f>
        <v>390000</v>
      </c>
      <c r="D23" s="6">
        <v>0</v>
      </c>
      <c r="E23" s="6">
        <f t="shared" si="0"/>
        <v>53.244347441884138</v>
      </c>
      <c r="F23" s="6">
        <f>RECAPTONT20000!C24+RECAPTONT20000!D24+TONT20000DEC2016!L23</f>
        <v>393000</v>
      </c>
      <c r="G23" s="6"/>
      <c r="H23" s="7">
        <f t="shared" si="1"/>
        <v>13000</v>
      </c>
      <c r="I23" s="7">
        <f t="shared" si="2"/>
        <v>1000</v>
      </c>
      <c r="J23" s="40" t="s">
        <v>226</v>
      </c>
      <c r="K23" s="7">
        <f t="shared" si="3"/>
        <v>20000</v>
      </c>
      <c r="L23" s="7">
        <v>3000</v>
      </c>
      <c r="M23" s="7">
        <v>500</v>
      </c>
      <c r="N23" s="7">
        <v>1000</v>
      </c>
      <c r="O23" s="7">
        <v>2500</v>
      </c>
      <c r="P23" s="7"/>
      <c r="Q23" s="7"/>
      <c r="R23" s="7"/>
      <c r="S23" s="2"/>
      <c r="T23" s="2"/>
      <c r="U23" s="2"/>
      <c r="V23" s="7"/>
      <c r="X23" s="1"/>
    </row>
    <row r="24" spans="1:24" x14ac:dyDescent="0.25">
      <c r="A24" s="1" t="s">
        <v>30</v>
      </c>
      <c r="B24" s="1" t="str">
        <f>VLOOKUP(A24,LISTADHERENT!A$5:H$51,2)</f>
        <v>LOWE JEAN</v>
      </c>
      <c r="C24" s="6">
        <f>VLOOKUP(A24,FONDSDECAISSE!A$5:C$52,3,0)</f>
        <v>390000</v>
      </c>
      <c r="D24" s="6">
        <v>4331</v>
      </c>
      <c r="E24" s="6">
        <f t="shared" si="0"/>
        <v>53.831119118145715</v>
      </c>
      <c r="F24" s="6">
        <f>RECAPTONT20000!C25+RECAPTONT20000!D25+TONT20000DEC2016!L24</f>
        <v>397331</v>
      </c>
      <c r="G24" s="6"/>
      <c r="H24" s="7">
        <f t="shared" si="1"/>
        <v>13000</v>
      </c>
      <c r="I24" s="7">
        <f t="shared" si="2"/>
        <v>0</v>
      </c>
      <c r="J24" s="40" t="s">
        <v>220</v>
      </c>
      <c r="K24" s="7">
        <f t="shared" si="3"/>
        <v>20000</v>
      </c>
      <c r="L24" s="7">
        <v>3000</v>
      </c>
      <c r="M24" s="7">
        <v>500</v>
      </c>
      <c r="N24" s="7">
        <v>1000</v>
      </c>
      <c r="O24" s="7">
        <v>2500</v>
      </c>
      <c r="P24" s="7"/>
      <c r="Q24" s="2"/>
      <c r="R24" s="7"/>
      <c r="S24" s="2"/>
      <c r="T24" s="2"/>
      <c r="U24" s="2"/>
      <c r="V24" s="7"/>
      <c r="X24" s="1"/>
    </row>
    <row r="25" spans="1:24" x14ac:dyDescent="0.25">
      <c r="A25" s="1" t="s">
        <v>31</v>
      </c>
      <c r="B25" s="1" t="str">
        <f>VLOOKUP(A25,LISTADHERENT!A$5:H$51,2)</f>
        <v>NANKAM APPOLINAIRE</v>
      </c>
      <c r="C25" s="6">
        <f>VLOOKUP(A25,FONDSDECAISSE!A$5:C$52,3,0)</f>
        <v>390000</v>
      </c>
      <c r="D25" s="6">
        <v>4411</v>
      </c>
      <c r="E25" s="6">
        <f t="shared" si="0"/>
        <v>53.841957662154236</v>
      </c>
      <c r="F25" s="6">
        <f>RECAPTONT20000!C26+RECAPTONT20000!D26+TONT20000DEC2016!L25</f>
        <v>397411</v>
      </c>
      <c r="G25" s="6"/>
      <c r="H25" s="7">
        <f t="shared" si="1"/>
        <v>13000</v>
      </c>
      <c r="I25" s="7">
        <f t="shared" si="2"/>
        <v>0</v>
      </c>
      <c r="J25" s="40" t="s">
        <v>220</v>
      </c>
      <c r="K25" s="7">
        <f t="shared" si="3"/>
        <v>20000</v>
      </c>
      <c r="L25" s="7">
        <v>3000</v>
      </c>
      <c r="M25" s="7">
        <v>500</v>
      </c>
      <c r="N25" s="7">
        <v>1000</v>
      </c>
      <c r="O25" s="7">
        <v>2500</v>
      </c>
      <c r="P25" s="7"/>
      <c r="Q25" s="2"/>
      <c r="R25" s="7"/>
      <c r="S25" s="2"/>
      <c r="T25" s="2"/>
      <c r="U25" s="2"/>
      <c r="V25" s="7"/>
      <c r="X25" s="1"/>
    </row>
    <row r="26" spans="1:24" x14ac:dyDescent="0.25">
      <c r="A26" s="1" t="s">
        <v>32</v>
      </c>
      <c r="B26" s="1" t="str">
        <f>VLOOKUP(A26,LISTADHERENT!A$5:H$51,2)</f>
        <v>NDJOMO ETIENNE</v>
      </c>
      <c r="C26" s="6">
        <f>VLOOKUP(A26,FONDSDECAISSE!A$5:C$52,3,0)</f>
        <v>390000</v>
      </c>
      <c r="D26" s="6">
        <v>2060</v>
      </c>
      <c r="E26" s="6">
        <f t="shared" si="0"/>
        <v>54.200848950636555</v>
      </c>
      <c r="F26" s="6">
        <f>RECAPTONT20000!C27+RECAPTONT20000!D27+TONT20000DEC2016!L26</f>
        <v>400060</v>
      </c>
      <c r="G26" s="6"/>
      <c r="H26" s="7">
        <f t="shared" si="1"/>
        <v>13000</v>
      </c>
      <c r="I26" s="7">
        <f t="shared" si="2"/>
        <v>0</v>
      </c>
      <c r="J26" s="40" t="s">
        <v>220</v>
      </c>
      <c r="K26" s="7">
        <f t="shared" si="3"/>
        <v>25000</v>
      </c>
      <c r="L26" s="7">
        <v>8000</v>
      </c>
      <c r="M26" s="7">
        <v>500</v>
      </c>
      <c r="N26" s="7">
        <v>1000</v>
      </c>
      <c r="O26" s="7">
        <v>2500</v>
      </c>
      <c r="P26" s="7"/>
      <c r="Q26" s="7"/>
      <c r="R26" s="7"/>
      <c r="S26" s="2"/>
      <c r="T26" s="2"/>
      <c r="U26" s="2"/>
      <c r="V26" s="7"/>
      <c r="X26" s="1"/>
    </row>
    <row r="27" spans="1:24" x14ac:dyDescent="0.25">
      <c r="A27" s="1" t="s">
        <v>34</v>
      </c>
      <c r="B27" s="1" t="str">
        <f>VLOOKUP(A27,LISTADHERENT!A$5:H$51,2)</f>
        <v>NGONDIEP CLAUDE</v>
      </c>
      <c r="C27" s="6">
        <f>VLOOKUP(A27,FONDSDECAISSE!A$5:C$52,3,0)</f>
        <v>390000</v>
      </c>
      <c r="D27" s="6">
        <v>179574</v>
      </c>
      <c r="E27" s="6">
        <f t="shared" si="0"/>
        <v>77.573356214222301</v>
      </c>
      <c r="F27" s="6">
        <f>RECAPTONT20000!C29+RECAPTONT20000!D29+TONT20000DEC2016!L27</f>
        <v>572574</v>
      </c>
      <c r="G27" s="6"/>
      <c r="H27" s="7">
        <f t="shared" si="1"/>
        <v>13000</v>
      </c>
      <c r="I27" s="7">
        <f t="shared" si="2"/>
        <v>0</v>
      </c>
      <c r="J27" s="40" t="s">
        <v>220</v>
      </c>
      <c r="K27" s="7">
        <f t="shared" si="3"/>
        <v>20000</v>
      </c>
      <c r="L27" s="7">
        <v>3000</v>
      </c>
      <c r="M27" s="7">
        <v>500</v>
      </c>
      <c r="N27" s="7">
        <v>1000</v>
      </c>
      <c r="O27" s="7">
        <v>2500</v>
      </c>
      <c r="P27" s="7"/>
      <c r="Q27" s="2"/>
      <c r="R27" s="7"/>
      <c r="S27" s="2"/>
      <c r="T27" s="2"/>
      <c r="U27" s="2"/>
      <c r="V27" s="7"/>
      <c r="X27" s="1"/>
    </row>
    <row r="28" spans="1:24" x14ac:dyDescent="0.25">
      <c r="A28" s="1" t="s">
        <v>35</v>
      </c>
      <c r="B28" s="1" t="str">
        <f>VLOOKUP(A28,LISTADHERENT!A$5:H$51,2)</f>
        <v>NGONGANG JEAN THEODORE</v>
      </c>
      <c r="C28" s="6">
        <f>VLOOKUP(A28,FONDSDECAISSE!A$5:C$52,3,0)</f>
        <v>0</v>
      </c>
      <c r="D28" s="6">
        <v>0</v>
      </c>
      <c r="E28" s="6">
        <f t="shared" si="0"/>
        <v>0.4064454003197262</v>
      </c>
      <c r="F28" s="6">
        <f>RECAPTONT20000!C30+RECAPTONT20000!D30+TONT20000DEC2016!L28</f>
        <v>3000</v>
      </c>
      <c r="G28" s="6"/>
      <c r="H28" s="7">
        <f t="shared" si="1"/>
        <v>13000</v>
      </c>
      <c r="I28" s="7">
        <f t="shared" si="2"/>
        <v>0</v>
      </c>
      <c r="J28" s="40" t="s">
        <v>220</v>
      </c>
      <c r="K28" s="7">
        <f t="shared" si="3"/>
        <v>20000</v>
      </c>
      <c r="L28" s="7">
        <v>3000</v>
      </c>
      <c r="M28" s="7">
        <v>500</v>
      </c>
      <c r="N28" s="7">
        <v>1000</v>
      </c>
      <c r="O28" s="7">
        <v>2500</v>
      </c>
      <c r="P28" s="7"/>
      <c r="Q28" s="2"/>
      <c r="R28" s="7"/>
      <c r="S28" s="2"/>
      <c r="T28" s="2"/>
      <c r="U28" s="2"/>
      <c r="V28" s="7"/>
      <c r="X28" s="1"/>
    </row>
    <row r="29" spans="1:24" x14ac:dyDescent="0.25">
      <c r="A29" s="1" t="s">
        <v>36</v>
      </c>
      <c r="B29" s="1" t="str">
        <f>VLOOKUP(A29,LISTADHERENT!A$5:H$51,2)</f>
        <v>NGUIEMEGNI MATHIEU BLAISE</v>
      </c>
      <c r="C29" s="6">
        <f>VLOOKUP(A29,FONDSDECAISSE!A$5:C$52,3,0)</f>
        <v>14889</v>
      </c>
      <c r="D29" s="6">
        <v>0</v>
      </c>
      <c r="E29" s="6">
        <f t="shared" si="0"/>
        <v>2.4236339221065273</v>
      </c>
      <c r="F29" s="6">
        <f>RECAPTONT20000!C31+RECAPTONT20000!D31+TONT20000DEC2016!L29</f>
        <v>17889</v>
      </c>
      <c r="G29" s="6"/>
      <c r="H29" s="7">
        <f t="shared" si="1"/>
        <v>13000</v>
      </c>
      <c r="I29" s="7">
        <f t="shared" si="2"/>
        <v>0</v>
      </c>
      <c r="J29" s="40" t="s">
        <v>220</v>
      </c>
      <c r="K29" s="7">
        <f t="shared" si="3"/>
        <v>20000</v>
      </c>
      <c r="L29" s="7">
        <v>3000</v>
      </c>
      <c r="M29" s="7">
        <v>500</v>
      </c>
      <c r="N29" s="7">
        <v>1000</v>
      </c>
      <c r="O29" s="7">
        <v>2500</v>
      </c>
      <c r="P29" s="7"/>
      <c r="Q29" s="2"/>
      <c r="R29" s="7"/>
      <c r="S29" s="2"/>
      <c r="T29" s="2"/>
      <c r="U29" s="2"/>
      <c r="V29" s="7"/>
      <c r="X29" s="1"/>
    </row>
    <row r="30" spans="1:24" x14ac:dyDescent="0.25">
      <c r="A30" s="1" t="s">
        <v>37</v>
      </c>
      <c r="B30" s="1" t="str">
        <f>VLOOKUP(A30,LISTADHERENT!A$5:H$51,2)</f>
        <v>NJEPDJIO MBOUKAM DELUXE</v>
      </c>
      <c r="C30" s="6">
        <f>VLOOKUP(A30,FONDSDECAISSE!A$5:C$52,3,0)</f>
        <v>390000</v>
      </c>
      <c r="D30" s="6">
        <v>1734</v>
      </c>
      <c r="E30" s="6">
        <f t="shared" si="0"/>
        <v>53.479272883268933</v>
      </c>
      <c r="F30" s="6">
        <f>RECAPTONT20000!C32+RECAPTONT20000!D32+TONT20000DEC2016!L30</f>
        <v>394734</v>
      </c>
      <c r="G30" s="6"/>
      <c r="H30" s="7">
        <f t="shared" si="1"/>
        <v>13000</v>
      </c>
      <c r="I30" s="7">
        <f t="shared" si="2"/>
        <v>0</v>
      </c>
      <c r="J30" s="40" t="s">
        <v>220</v>
      </c>
      <c r="K30" s="7">
        <f t="shared" si="3"/>
        <v>20000</v>
      </c>
      <c r="L30" s="7">
        <v>3000</v>
      </c>
      <c r="M30" s="7">
        <v>500</v>
      </c>
      <c r="N30" s="7">
        <v>1000</v>
      </c>
      <c r="O30" s="7">
        <v>2500</v>
      </c>
      <c r="P30" s="7"/>
      <c r="Q30" s="2"/>
      <c r="R30" s="7"/>
      <c r="S30" s="2"/>
      <c r="T30" s="2"/>
      <c r="U30" s="2"/>
      <c r="V30" s="7"/>
      <c r="X30" s="1"/>
    </row>
    <row r="31" spans="1:24" x14ac:dyDescent="0.25">
      <c r="A31" s="1" t="s">
        <v>38</v>
      </c>
      <c r="B31" s="1" t="str">
        <f>VLOOKUP(A31,LISTADHERENT!A$5:H$51,2)</f>
        <v>NKAMGANG JUSTIN DEJOLIE</v>
      </c>
      <c r="C31" s="6">
        <f>VLOOKUP(A31,FONDSDECAISSE!A$5:C$52,3,0)</f>
        <v>0</v>
      </c>
      <c r="D31" s="6">
        <v>0</v>
      </c>
      <c r="E31" s="6">
        <f t="shared" si="0"/>
        <v>0.8128908006394524</v>
      </c>
      <c r="F31" s="6">
        <f>RECAPTONT20000!C33+RECAPTONT20000!D33+TONT20000DEC2016!L31</f>
        <v>6000</v>
      </c>
      <c r="G31" s="6"/>
      <c r="H31" s="7">
        <f t="shared" si="1"/>
        <v>13000</v>
      </c>
      <c r="I31" s="7">
        <f t="shared" si="2"/>
        <v>1000</v>
      </c>
      <c r="J31" s="40" t="s">
        <v>226</v>
      </c>
      <c r="K31" s="7">
        <f t="shared" si="3"/>
        <v>23000</v>
      </c>
      <c r="L31" s="7">
        <v>6000</v>
      </c>
      <c r="M31" s="7">
        <v>500</v>
      </c>
      <c r="N31" s="7">
        <v>1000</v>
      </c>
      <c r="O31" s="7">
        <v>2500</v>
      </c>
      <c r="P31" s="7"/>
      <c r="Q31" s="24"/>
      <c r="R31" s="7"/>
      <c r="S31" s="24"/>
      <c r="T31" s="2"/>
      <c r="U31" s="2"/>
      <c r="V31" s="7"/>
      <c r="X31" s="1"/>
    </row>
    <row r="32" spans="1:24" s="11" customFormat="1" x14ac:dyDescent="0.25">
      <c r="A32" s="1" t="s">
        <v>39</v>
      </c>
      <c r="B32" s="1" t="str">
        <f>VLOOKUP(A32,LISTADHERENT!A$5:H$51,2)</f>
        <v>NKEPSEU DIEUDONNE</v>
      </c>
      <c r="C32" s="6">
        <f>VLOOKUP(A32,FONDSDECAISSE!A$5:C$52,3,0)</f>
        <v>390000</v>
      </c>
      <c r="D32" s="6">
        <v>8739</v>
      </c>
      <c r="E32" s="6">
        <f t="shared" si="0"/>
        <v>68.653911904205913</v>
      </c>
      <c r="F32" s="6">
        <f>RECAPTONT20000!C34+RECAPTONT20000!D34+TONT20000DEC2016!L32</f>
        <v>506739</v>
      </c>
      <c r="G32" s="6"/>
      <c r="H32" s="7">
        <f t="shared" si="1"/>
        <v>13000</v>
      </c>
      <c r="I32" s="7">
        <f t="shared" si="2"/>
        <v>1000</v>
      </c>
      <c r="J32" s="40" t="s">
        <v>226</v>
      </c>
      <c r="K32" s="7">
        <f t="shared" si="3"/>
        <v>125000</v>
      </c>
      <c r="L32" s="7">
        <v>108000</v>
      </c>
      <c r="M32" s="7">
        <v>500</v>
      </c>
      <c r="N32" s="7">
        <v>1000</v>
      </c>
      <c r="O32" s="7">
        <v>2500</v>
      </c>
      <c r="P32" s="7"/>
      <c r="Q32" s="2"/>
      <c r="R32" s="7"/>
      <c r="S32" s="2"/>
      <c r="T32" s="24"/>
      <c r="U32" s="24"/>
      <c r="V32" s="7"/>
      <c r="X32" s="1"/>
    </row>
    <row r="33" spans="1:24" x14ac:dyDescent="0.25">
      <c r="A33" s="1" t="s">
        <v>41</v>
      </c>
      <c r="B33" s="1" t="str">
        <f>VLOOKUP(A33,LISTADHERENT!A$5:H$51,2)</f>
        <v>NTEPDIE TUEMAC MZ</v>
      </c>
      <c r="C33" s="6">
        <f>VLOOKUP(A33,FONDSDECAISSE!A$5:C$52,3,0)</f>
        <v>0</v>
      </c>
      <c r="D33" s="6">
        <v>0</v>
      </c>
      <c r="E33" s="6">
        <f t="shared" si="0"/>
        <v>0</v>
      </c>
      <c r="F33" s="6">
        <f>RECAPTONT20000!C36+RECAPTONT20000!D36+TONT20000DEC2016!L33</f>
        <v>0</v>
      </c>
      <c r="G33" s="6"/>
      <c r="H33" s="7">
        <f t="shared" si="1"/>
        <v>0</v>
      </c>
      <c r="I33" s="7">
        <f t="shared" si="2"/>
        <v>0</v>
      </c>
      <c r="J33" s="40" t="s">
        <v>219</v>
      </c>
      <c r="K33" s="7">
        <f t="shared" si="3"/>
        <v>0</v>
      </c>
      <c r="L33" s="7"/>
      <c r="M33" s="7"/>
      <c r="N33" s="7"/>
      <c r="O33" s="7"/>
      <c r="P33" s="7"/>
      <c r="Q33" s="2"/>
      <c r="R33" s="7"/>
      <c r="S33" s="2"/>
      <c r="T33" s="2"/>
      <c r="U33" s="2"/>
      <c r="V33" s="7"/>
      <c r="X33" s="1"/>
    </row>
    <row r="34" spans="1:24" x14ac:dyDescent="0.25">
      <c r="A34" s="1" t="s">
        <v>43</v>
      </c>
      <c r="B34" s="1" t="str">
        <f>VLOOKUP(A34,LISTADHERENT!A$5:H$51,2)</f>
        <v>PATEGO NJOSSU GUSTAVE</v>
      </c>
      <c r="C34" s="6">
        <f>VLOOKUP(A34,FONDSDECAISSE!A$5:C$52,3,0)</f>
        <v>390000</v>
      </c>
      <c r="D34" s="6">
        <v>140</v>
      </c>
      <c r="E34" s="6">
        <f t="shared" si="0"/>
        <v>53.263314893899057</v>
      </c>
      <c r="F34" s="6">
        <f>RECAPTONT20000!C38+RECAPTONT20000!D38+TONT20000DEC2016!L34</f>
        <v>393140</v>
      </c>
      <c r="G34" s="6"/>
      <c r="H34" s="7">
        <f t="shared" si="1"/>
        <v>13000</v>
      </c>
      <c r="I34" s="7">
        <f t="shared" si="2"/>
        <v>0</v>
      </c>
      <c r="J34" s="40" t="s">
        <v>220</v>
      </c>
      <c r="K34" s="7">
        <f t="shared" si="3"/>
        <v>20000</v>
      </c>
      <c r="L34" s="7">
        <v>3000</v>
      </c>
      <c r="M34" s="7">
        <v>500</v>
      </c>
      <c r="N34" s="7">
        <v>1000</v>
      </c>
      <c r="O34" s="7">
        <v>2500</v>
      </c>
      <c r="P34" s="7"/>
      <c r="Q34" s="2"/>
      <c r="R34" s="7"/>
      <c r="S34" s="2"/>
      <c r="T34" s="2"/>
      <c r="U34" s="2"/>
      <c r="V34" s="7"/>
      <c r="X34" s="1"/>
    </row>
    <row r="35" spans="1:24" x14ac:dyDescent="0.25">
      <c r="A35" s="1" t="s">
        <v>44</v>
      </c>
      <c r="B35" s="1" t="str">
        <f>VLOOKUP(A35,LISTADHERENT!A$5:H$51,2)</f>
        <v>SEUNOU RICHELOT</v>
      </c>
      <c r="C35" s="6">
        <f>VLOOKUP(A35,FONDSDECAISSE!A$5:C$52,3,0)</f>
        <v>390000</v>
      </c>
      <c r="D35" s="6">
        <v>2632</v>
      </c>
      <c r="E35" s="6">
        <f t="shared" si="0"/>
        <v>53.600935539764642</v>
      </c>
      <c r="F35" s="6">
        <f>RECAPTONT20000!C39+RECAPTONT20000!D39+TONT20000DEC2016!L35</f>
        <v>395632</v>
      </c>
      <c r="G35" s="6"/>
      <c r="H35" s="7">
        <f t="shared" si="1"/>
        <v>13000</v>
      </c>
      <c r="I35" s="7">
        <f t="shared" si="2"/>
        <v>1000</v>
      </c>
      <c r="J35" s="40" t="s">
        <v>226</v>
      </c>
      <c r="K35" s="7">
        <f t="shared" si="3"/>
        <v>20000</v>
      </c>
      <c r="L35" s="7">
        <v>3000</v>
      </c>
      <c r="M35" s="7">
        <v>500</v>
      </c>
      <c r="N35" s="7">
        <v>1000</v>
      </c>
      <c r="O35" s="7">
        <v>2500</v>
      </c>
      <c r="P35" s="7"/>
      <c r="Q35" s="2"/>
      <c r="R35" s="7"/>
      <c r="S35" s="2"/>
      <c r="T35" s="2"/>
      <c r="U35" s="2"/>
      <c r="V35" s="7">
        <v>12000</v>
      </c>
      <c r="X35" s="1" t="s">
        <v>86</v>
      </c>
    </row>
    <row r="36" spans="1:24" x14ac:dyDescent="0.25">
      <c r="A36" s="1" t="s">
        <v>45</v>
      </c>
      <c r="B36" s="1" t="str">
        <f>VLOOKUP(A36,LISTADHERENT!A$5:H$51,2)</f>
        <v>SIME ABEL</v>
      </c>
      <c r="C36" s="6">
        <f>VLOOKUP(A36,FONDSDECAISSE!A$5:C$52,3,0)</f>
        <v>0</v>
      </c>
      <c r="D36" s="6">
        <v>0</v>
      </c>
      <c r="E36" s="6">
        <f t="shared" si="0"/>
        <v>0.4064454003197262</v>
      </c>
      <c r="F36" s="6">
        <f>RECAPTONT20000!C40+RECAPTONT20000!D40+TONT20000DEC2016!L36</f>
        <v>3000</v>
      </c>
      <c r="G36" s="6"/>
      <c r="H36" s="7">
        <f t="shared" si="1"/>
        <v>13000</v>
      </c>
      <c r="I36" s="7">
        <f t="shared" si="2"/>
        <v>1000</v>
      </c>
      <c r="J36" s="40" t="s">
        <v>226</v>
      </c>
      <c r="K36" s="7">
        <f t="shared" si="3"/>
        <v>20000</v>
      </c>
      <c r="L36" s="7">
        <v>3000</v>
      </c>
      <c r="M36" s="7">
        <v>500</v>
      </c>
      <c r="N36" s="7">
        <v>1000</v>
      </c>
      <c r="O36" s="7">
        <v>2500</v>
      </c>
      <c r="P36" s="7"/>
      <c r="Q36" s="2"/>
      <c r="R36" s="7"/>
      <c r="S36" s="2"/>
      <c r="T36" s="2"/>
      <c r="U36" s="2"/>
      <c r="V36" s="7"/>
      <c r="X36" s="1"/>
    </row>
    <row r="37" spans="1:24" x14ac:dyDescent="0.25">
      <c r="A37" s="1" t="s">
        <v>46</v>
      </c>
      <c r="B37" s="1" t="str">
        <f>VLOOKUP(A37,LISTADHERENT!A$5:H$51,2)</f>
        <v>SIME FONGANG ERIC</v>
      </c>
      <c r="C37" s="6">
        <f>VLOOKUP(A37,FONDSDECAISSE!A$5:C$52,3,0)</f>
        <v>390000</v>
      </c>
      <c r="D37" s="6">
        <v>982</v>
      </c>
      <c r="E37" s="6">
        <f t="shared" si="0"/>
        <v>53.37739056958879</v>
      </c>
      <c r="F37" s="6">
        <f>RECAPTONT20000!C41+RECAPTONT20000!D41+TONT20000DEC2016!L37</f>
        <v>393982</v>
      </c>
      <c r="G37" s="6"/>
      <c r="H37" s="7">
        <f t="shared" si="1"/>
        <v>13000</v>
      </c>
      <c r="I37" s="7">
        <f t="shared" si="2"/>
        <v>0</v>
      </c>
      <c r="J37" s="40" t="s">
        <v>220</v>
      </c>
      <c r="K37" s="7">
        <f t="shared" si="3"/>
        <v>20000</v>
      </c>
      <c r="L37" s="7">
        <v>3000</v>
      </c>
      <c r="M37" s="7">
        <v>500</v>
      </c>
      <c r="N37" s="7">
        <v>1000</v>
      </c>
      <c r="O37" s="7">
        <v>2500</v>
      </c>
      <c r="P37" s="7"/>
      <c r="Q37" s="2"/>
      <c r="R37" s="7"/>
      <c r="S37" s="2"/>
      <c r="T37" s="2"/>
      <c r="U37" s="2"/>
      <c r="V37" s="7"/>
      <c r="X37" s="1"/>
    </row>
    <row r="38" spans="1:24" x14ac:dyDescent="0.25">
      <c r="A38" s="1" t="s">
        <v>47</v>
      </c>
      <c r="B38" s="1" t="str">
        <f>VLOOKUP(A38,LISTADHERENT!A$5:H$51,2)</f>
        <v>SIME MATHIEU</v>
      </c>
      <c r="C38" s="6">
        <f>VLOOKUP(A38,FONDSDECAISSE!A$5:C$52,3,0)</f>
        <v>390000</v>
      </c>
      <c r="D38" s="6">
        <v>636</v>
      </c>
      <c r="E38" s="6">
        <f t="shared" si="0"/>
        <v>53.330513866751915</v>
      </c>
      <c r="F38" s="6">
        <f>RECAPTONT20000!C42+RECAPTONT20000!D42+TONT20000DEC2016!L38</f>
        <v>393636</v>
      </c>
      <c r="G38" s="6"/>
      <c r="H38" s="7">
        <f t="shared" si="1"/>
        <v>13000</v>
      </c>
      <c r="I38" s="7">
        <f t="shared" si="2"/>
        <v>1000</v>
      </c>
      <c r="J38" s="40" t="s">
        <v>226</v>
      </c>
      <c r="K38" s="7">
        <f t="shared" si="3"/>
        <v>20000</v>
      </c>
      <c r="L38" s="7">
        <v>3000</v>
      </c>
      <c r="M38" s="7">
        <v>500</v>
      </c>
      <c r="N38" s="7">
        <v>1000</v>
      </c>
      <c r="O38" s="7">
        <v>2500</v>
      </c>
      <c r="P38" s="7"/>
      <c r="Q38" s="2"/>
      <c r="R38" s="7"/>
      <c r="S38" s="2"/>
      <c r="T38" s="2"/>
      <c r="U38" s="2"/>
      <c r="V38" s="7"/>
      <c r="X38" s="1"/>
    </row>
    <row r="39" spans="1:24" x14ac:dyDescent="0.25">
      <c r="A39" s="1" t="s">
        <v>48</v>
      </c>
      <c r="B39" s="1" t="str">
        <f>VLOOKUP(A39,LISTADHERENT!A$5:H$51,2)</f>
        <v>SIME PIERRE</v>
      </c>
      <c r="C39" s="6">
        <f>VLOOKUP(A39,FONDSDECAISSE!A$5:C$52,3,0)</f>
        <v>390000</v>
      </c>
      <c r="D39" s="6">
        <v>146079</v>
      </c>
      <c r="E39" s="6">
        <f t="shared" si="0"/>
        <v>73.712802320185446</v>
      </c>
      <c r="F39" s="6">
        <f>RECAPTONT20000!C43+RECAPTONT20000!D43+TONT20000DEC2016!L39</f>
        <v>544079</v>
      </c>
      <c r="G39" s="6"/>
      <c r="H39" s="7">
        <f t="shared" si="1"/>
        <v>13000</v>
      </c>
      <c r="I39" s="7">
        <f t="shared" si="2"/>
        <v>0</v>
      </c>
      <c r="J39" s="40" t="s">
        <v>220</v>
      </c>
      <c r="K39" s="7">
        <f t="shared" si="3"/>
        <v>25000</v>
      </c>
      <c r="L39" s="7">
        <v>8000</v>
      </c>
      <c r="M39" s="7">
        <v>500</v>
      </c>
      <c r="N39" s="7">
        <v>1000</v>
      </c>
      <c r="O39" s="7">
        <v>2500</v>
      </c>
      <c r="P39" s="7"/>
      <c r="Q39" s="2"/>
      <c r="R39" s="7"/>
      <c r="S39" s="2"/>
      <c r="T39" s="2"/>
      <c r="U39" s="2"/>
      <c r="V39" s="7"/>
      <c r="X39" s="1"/>
    </row>
    <row r="40" spans="1:24" x14ac:dyDescent="0.25">
      <c r="A40" s="1" t="s">
        <v>49</v>
      </c>
      <c r="B40" s="1" t="str">
        <f>VLOOKUP(A40,LISTADHERENT!A$5:H$51,2)</f>
        <v>TAGNE NANGUEN MARTIN</v>
      </c>
      <c r="C40" s="6">
        <f>VLOOKUP(A40,FONDSDECAISSE!A$5:C$52,3,0)</f>
        <v>0</v>
      </c>
      <c r="D40" s="6">
        <v>0</v>
      </c>
      <c r="E40" s="6">
        <f t="shared" si="0"/>
        <v>0.4064454003197262</v>
      </c>
      <c r="F40" s="6">
        <f>RECAPTONT20000!C44+RECAPTONT20000!D44+TONT20000DEC2016!L40</f>
        <v>3000</v>
      </c>
      <c r="G40" s="6"/>
      <c r="H40" s="7">
        <f t="shared" si="1"/>
        <v>13000</v>
      </c>
      <c r="I40" s="7">
        <f t="shared" si="2"/>
        <v>0</v>
      </c>
      <c r="J40" s="40" t="s">
        <v>220</v>
      </c>
      <c r="K40" s="7">
        <f t="shared" si="3"/>
        <v>20000</v>
      </c>
      <c r="L40" s="7">
        <v>3000</v>
      </c>
      <c r="M40" s="7">
        <v>500</v>
      </c>
      <c r="N40" s="7">
        <v>1000</v>
      </c>
      <c r="O40" s="7">
        <v>2500</v>
      </c>
      <c r="P40" s="7"/>
      <c r="Q40" s="2"/>
      <c r="R40" s="7"/>
      <c r="S40" s="2"/>
      <c r="T40" s="2"/>
      <c r="U40" s="2"/>
      <c r="V40" s="7"/>
      <c r="X40" s="1"/>
    </row>
    <row r="41" spans="1:24" x14ac:dyDescent="0.25">
      <c r="A41" s="1" t="s">
        <v>50</v>
      </c>
      <c r="B41" s="1" t="str">
        <f>VLOOKUP(A41,LISTADHERENT!A$5:H$51,2)</f>
        <v>TCHOUAMOU JEAN PAUL</v>
      </c>
      <c r="C41" s="6">
        <f>VLOOKUP(A41,FONDSDECAISSE!A$5:C$52,3,0)</f>
        <v>0</v>
      </c>
      <c r="D41" s="6">
        <v>0</v>
      </c>
      <c r="E41" s="6">
        <f t="shared" si="0"/>
        <v>0.4064454003197262</v>
      </c>
      <c r="F41" s="6">
        <f>RECAPTONT20000!C45+RECAPTONT20000!D45+TONT20000DEC2016!L41</f>
        <v>3000</v>
      </c>
      <c r="G41" s="6"/>
      <c r="H41" s="7">
        <f t="shared" si="1"/>
        <v>13000</v>
      </c>
      <c r="I41" s="7">
        <f t="shared" si="2"/>
        <v>0</v>
      </c>
      <c r="J41" s="40" t="s">
        <v>220</v>
      </c>
      <c r="K41" s="7">
        <f t="shared" si="3"/>
        <v>20000</v>
      </c>
      <c r="L41" s="7">
        <v>3000</v>
      </c>
      <c r="M41" s="7">
        <v>500</v>
      </c>
      <c r="N41" s="7">
        <v>1000</v>
      </c>
      <c r="O41" s="7">
        <v>2500</v>
      </c>
      <c r="P41" s="7"/>
      <c r="Q41" s="2"/>
      <c r="R41" s="7"/>
      <c r="S41" s="2"/>
      <c r="T41" s="2"/>
      <c r="U41" s="2"/>
      <c r="V41" s="7"/>
      <c r="X41" s="1"/>
    </row>
    <row r="42" spans="1:24" x14ac:dyDescent="0.25">
      <c r="A42" s="1" t="s">
        <v>51</v>
      </c>
      <c r="B42" s="1" t="str">
        <f>VLOOKUP(A42,LISTADHERENT!A$5:H$51,2)</f>
        <v>TCHOUAMOU MATHIEU</v>
      </c>
      <c r="C42" s="6">
        <f>VLOOKUP(A42,FONDSDECAISSE!A$5:C$52,3,0)</f>
        <v>390000</v>
      </c>
      <c r="D42" s="6">
        <v>3437</v>
      </c>
      <c r="E42" s="6">
        <f t="shared" si="0"/>
        <v>53.709998388850437</v>
      </c>
      <c r="F42" s="6">
        <f>RECAPTONT20000!C46+RECAPTONT20000!D46+TONT20000DEC2016!L42</f>
        <v>396437</v>
      </c>
      <c r="G42" s="6"/>
      <c r="H42" s="7">
        <f t="shared" si="1"/>
        <v>13000</v>
      </c>
      <c r="I42" s="7">
        <f t="shared" si="2"/>
        <v>0</v>
      </c>
      <c r="J42" s="40" t="s">
        <v>220</v>
      </c>
      <c r="K42" s="7">
        <f t="shared" si="3"/>
        <v>20000</v>
      </c>
      <c r="L42" s="7">
        <v>3000</v>
      </c>
      <c r="M42" s="7">
        <v>500</v>
      </c>
      <c r="N42" s="7">
        <v>1000</v>
      </c>
      <c r="O42" s="7">
        <v>2500</v>
      </c>
      <c r="P42" s="7"/>
      <c r="Q42" s="7"/>
      <c r="R42" s="7"/>
      <c r="S42" s="2"/>
      <c r="T42" s="2"/>
      <c r="U42" s="2"/>
      <c r="V42" s="7"/>
      <c r="X42" s="1"/>
    </row>
    <row r="43" spans="1:24" x14ac:dyDescent="0.25">
      <c r="A43" s="1" t="s">
        <v>52</v>
      </c>
      <c r="B43" s="1" t="str">
        <f>VLOOKUP(A43,LISTADHERENT!A$5:H$51,2)</f>
        <v>TCHOUANTE FRANCOIS</v>
      </c>
      <c r="C43" s="6">
        <f>VLOOKUP(A43,FONDSDECAISSE!A$5:C$52,3,0)</f>
        <v>257119</v>
      </c>
      <c r="D43" s="6">
        <v>4925</v>
      </c>
      <c r="E43" s="6">
        <f t="shared" si="0"/>
        <v>35.90863822744717</v>
      </c>
      <c r="F43" s="6">
        <f>RECAPTONT20000!C47+RECAPTONT20000!D47+TONT20000DEC2016!L43</f>
        <v>265044</v>
      </c>
      <c r="G43" s="6"/>
      <c r="H43" s="7">
        <f t="shared" si="1"/>
        <v>13000</v>
      </c>
      <c r="I43" s="7">
        <f t="shared" si="2"/>
        <v>1000</v>
      </c>
      <c r="J43" s="40" t="s">
        <v>226</v>
      </c>
      <c r="K43" s="7">
        <f t="shared" si="3"/>
        <v>20000</v>
      </c>
      <c r="L43" s="7">
        <v>3000</v>
      </c>
      <c r="M43" s="7">
        <v>500</v>
      </c>
      <c r="N43" s="7">
        <v>1000</v>
      </c>
      <c r="O43" s="7">
        <v>2500</v>
      </c>
      <c r="P43" s="7"/>
      <c r="Q43" s="2"/>
      <c r="R43" s="7"/>
      <c r="S43" s="2"/>
      <c r="T43" s="2"/>
      <c r="U43" s="2"/>
      <c r="V43" s="7"/>
      <c r="X43" s="1"/>
    </row>
    <row r="44" spans="1:24" x14ac:dyDescent="0.25">
      <c r="A44" s="1" t="s">
        <v>53</v>
      </c>
      <c r="B44" s="1" t="str">
        <f>VLOOKUP(A44,LISTADHERENT!A$5:H$51,2)</f>
        <v>TCHOUTOU NANA CLAUDE</v>
      </c>
      <c r="C44" s="6">
        <f>VLOOKUP(A44,FONDSDECAISSE!A$5:C$52,3,0)</f>
        <v>0</v>
      </c>
      <c r="D44" s="6">
        <v>0</v>
      </c>
      <c r="E44" s="6">
        <f t="shared" si="0"/>
        <v>0.4064454003197262</v>
      </c>
      <c r="F44" s="6">
        <f>RECAPTONT20000!C48+RECAPTONT20000!D48+TONT20000DEC2016!L44</f>
        <v>3000</v>
      </c>
      <c r="G44" s="6"/>
      <c r="H44" s="7">
        <f t="shared" si="1"/>
        <v>13000</v>
      </c>
      <c r="I44" s="7">
        <f t="shared" si="2"/>
        <v>1000</v>
      </c>
      <c r="J44" s="40" t="s">
        <v>226</v>
      </c>
      <c r="K44" s="7">
        <f t="shared" si="3"/>
        <v>20000</v>
      </c>
      <c r="L44" s="7">
        <v>3000</v>
      </c>
      <c r="M44" s="7">
        <v>500</v>
      </c>
      <c r="N44" s="7">
        <v>1000</v>
      </c>
      <c r="O44" s="7">
        <v>2500</v>
      </c>
      <c r="P44" s="7"/>
      <c r="Q44" s="2"/>
      <c r="R44" s="7"/>
      <c r="S44" s="2"/>
      <c r="T44" s="2"/>
      <c r="U44" s="2"/>
      <c r="V44" s="7"/>
      <c r="X44" s="1"/>
    </row>
    <row r="45" spans="1:24" x14ac:dyDescent="0.25">
      <c r="A45" s="1" t="s">
        <v>54</v>
      </c>
      <c r="B45" s="1" t="str">
        <f>VLOOKUP(A45,LISTADHERENT!A$5:H$51,2)</f>
        <v>TIEYAM ERNEST</v>
      </c>
      <c r="C45" s="6">
        <f>VLOOKUP(A45,FONDSDECAISSE!A$5:C$52,3,0)</f>
        <v>390000</v>
      </c>
      <c r="D45" s="6">
        <v>804</v>
      </c>
      <c r="E45" s="6">
        <f t="shared" si="0"/>
        <v>53.353274809169825</v>
      </c>
      <c r="F45" s="6">
        <f>RECAPTONT20000!C49+RECAPTONT20000!D49+TONT20000DEC2016!L45</f>
        <v>393804</v>
      </c>
      <c r="G45" s="6"/>
      <c r="H45" s="7">
        <f t="shared" si="1"/>
        <v>13000</v>
      </c>
      <c r="I45" s="7">
        <f t="shared" si="2"/>
        <v>0</v>
      </c>
      <c r="J45" s="40" t="s">
        <v>220</v>
      </c>
      <c r="K45" s="7">
        <f t="shared" si="3"/>
        <v>20000</v>
      </c>
      <c r="L45" s="7">
        <v>3000</v>
      </c>
      <c r="M45" s="7">
        <v>500</v>
      </c>
      <c r="N45" s="7">
        <v>1000</v>
      </c>
      <c r="O45" s="7">
        <v>2500</v>
      </c>
      <c r="P45" s="7"/>
      <c r="Q45" s="2"/>
      <c r="R45" s="7">
        <v>2500</v>
      </c>
      <c r="S45" s="7">
        <v>16500</v>
      </c>
      <c r="T45" s="2"/>
      <c r="U45" s="2"/>
      <c r="V45" s="7"/>
      <c r="X45" s="1"/>
    </row>
    <row r="46" spans="1:24" x14ac:dyDescent="0.25">
      <c r="A46" s="1" t="s">
        <v>55</v>
      </c>
      <c r="B46" s="1" t="str">
        <f>VLOOKUP(A46,LISTADHERENT!A$5:H$51,2)</f>
        <v>TUGMA PIERRE LOTI</v>
      </c>
      <c r="C46" s="6">
        <f>VLOOKUP(A46,FONDSDECAISSE!A$5:C$52,3,0)</f>
        <v>390000</v>
      </c>
      <c r="D46" s="6">
        <v>17636</v>
      </c>
      <c r="E46" s="6">
        <f t="shared" si="0"/>
        <v>55.6337044685637</v>
      </c>
      <c r="F46" s="6">
        <f>RECAPTONT20000!C50+RECAPTONT20000!D50+TONT20000DEC2016!L46</f>
        <v>410636</v>
      </c>
      <c r="G46" s="6"/>
      <c r="H46" s="7">
        <f>IF(J46="ECHEC",0,13000)</f>
        <v>13000</v>
      </c>
      <c r="I46" s="7">
        <f t="shared" si="2"/>
        <v>0</v>
      </c>
      <c r="J46" s="40" t="s">
        <v>220</v>
      </c>
      <c r="K46" s="7">
        <f t="shared" si="3"/>
        <v>20000</v>
      </c>
      <c r="L46" s="7">
        <v>3000</v>
      </c>
      <c r="M46" s="7">
        <v>500</v>
      </c>
      <c r="N46" s="7">
        <v>1000</v>
      </c>
      <c r="O46" s="7">
        <v>2500</v>
      </c>
      <c r="P46" s="7"/>
      <c r="Q46" s="2"/>
      <c r="R46" s="7"/>
      <c r="S46" s="2"/>
      <c r="T46" s="2"/>
      <c r="U46" s="2"/>
      <c r="V46" s="7"/>
      <c r="X46" s="1"/>
    </row>
    <row r="47" spans="1:24" ht="18" x14ac:dyDescent="0.25">
      <c r="A47" s="1" t="s">
        <v>66</v>
      </c>
      <c r="B47" s="1" t="str">
        <f>VLOOKUP(A47,LISTADHERENT!A$5:H$51,2)</f>
        <v>YEPMOU JEAN JACQUES</v>
      </c>
      <c r="C47" s="6">
        <f>VLOOKUP(A47,FONDSDECAISSE!A$5:C$52,3,0)</f>
        <v>390000</v>
      </c>
      <c r="D47" s="6">
        <v>421237</v>
      </c>
      <c r="E47" s="6">
        <f t="shared" si="0"/>
        <v>110.31429447337764</v>
      </c>
      <c r="F47" s="6">
        <f>RECAPTONT20000!C51+RECAPTONT20000!D51+TONT20000DEC2016!L47</f>
        <v>814237</v>
      </c>
      <c r="G47" s="6"/>
      <c r="H47" s="7">
        <f t="shared" si="1"/>
        <v>13000</v>
      </c>
      <c r="I47" s="7">
        <f t="shared" si="2"/>
        <v>1000</v>
      </c>
      <c r="J47" s="40" t="s">
        <v>226</v>
      </c>
      <c r="K47" s="7">
        <f t="shared" si="3"/>
        <v>20000</v>
      </c>
      <c r="L47" s="7">
        <v>3000</v>
      </c>
      <c r="M47" s="7">
        <v>500</v>
      </c>
      <c r="N47" s="7">
        <v>1000</v>
      </c>
      <c r="O47" s="7">
        <v>2500</v>
      </c>
      <c r="P47" s="7"/>
      <c r="Q47" s="9"/>
      <c r="R47" s="7"/>
      <c r="S47" s="9"/>
      <c r="T47" s="2"/>
      <c r="U47" s="2"/>
      <c r="V47" s="7"/>
      <c r="X47" s="1"/>
    </row>
    <row r="48" spans="1:24" x14ac:dyDescent="0.25">
      <c r="A48" s="1" t="s">
        <v>178</v>
      </c>
      <c r="B48" s="1" t="str">
        <f>VLOOKUP(A48,LISTADHERENT!A$5:H$51,2)</f>
        <v>YOUMBI EMMANUEL</v>
      </c>
      <c r="C48" s="6">
        <f>VLOOKUP(A48,FONDSDECAISSE!A$5:C$52,3,0)</f>
        <v>390000</v>
      </c>
      <c r="D48" s="6">
        <v>1003279</v>
      </c>
      <c r="E48" s="6">
        <f t="shared" si="0"/>
        <v>189.170392371009</v>
      </c>
      <c r="F48" s="6">
        <f>RECAPTONT20000!C52+RECAPTONT20000!D52+TONT20000DEC2016!L48</f>
        <v>1396279</v>
      </c>
      <c r="G48" s="6"/>
      <c r="H48" s="7">
        <f t="shared" si="1"/>
        <v>13000</v>
      </c>
      <c r="I48" s="7">
        <f t="shared" si="2"/>
        <v>1000</v>
      </c>
      <c r="J48" s="40" t="s">
        <v>226</v>
      </c>
      <c r="K48" s="7">
        <f t="shared" si="3"/>
        <v>20000</v>
      </c>
      <c r="L48" s="7">
        <v>3000</v>
      </c>
      <c r="M48" s="7">
        <v>500</v>
      </c>
      <c r="N48" s="7">
        <v>1000</v>
      </c>
      <c r="O48" s="7">
        <v>2500</v>
      </c>
      <c r="Q48" s="2"/>
      <c r="R48" s="7"/>
      <c r="S48" s="2"/>
      <c r="T48" s="2"/>
      <c r="U48" s="2"/>
      <c r="V48" s="7"/>
      <c r="X48" s="1"/>
    </row>
    <row r="49" spans="1:21" x14ac:dyDescent="0.25">
      <c r="A49" s="1"/>
      <c r="B49" s="1"/>
      <c r="C49" s="6"/>
      <c r="D49" s="6"/>
      <c r="E49" s="6"/>
      <c r="F49" s="6"/>
      <c r="G49" s="6"/>
      <c r="H49" s="6"/>
      <c r="I49" s="6"/>
      <c r="J49" s="6"/>
      <c r="K49" s="7"/>
      <c r="L49" s="7"/>
      <c r="M49" s="7"/>
      <c r="N49" s="7"/>
      <c r="O49" s="7"/>
      <c r="Q49" s="2"/>
      <c r="R49" s="7"/>
      <c r="S49" s="2"/>
      <c r="T49" s="2"/>
      <c r="U49" s="2"/>
    </row>
    <row r="50" spans="1:21" x14ac:dyDescent="0.25">
      <c r="A50" s="1"/>
      <c r="B50" s="1"/>
      <c r="C50" s="6"/>
      <c r="D50" s="6"/>
      <c r="E50" s="6"/>
      <c r="F50" s="6"/>
      <c r="G50" s="6"/>
      <c r="H50" s="6"/>
      <c r="I50" s="6"/>
      <c r="J50" s="6"/>
      <c r="L50" s="2"/>
      <c r="M50" s="25"/>
      <c r="Q50" s="2"/>
      <c r="R50" s="7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21" ht="18" x14ac:dyDescent="0.25">
      <c r="A52" s="1" t="s">
        <v>56</v>
      </c>
      <c r="B52" s="1"/>
      <c r="C52" s="9">
        <f>SUM(C5:C48)</f>
        <v>12606142</v>
      </c>
      <c r="D52" s="9">
        <f t="shared" ref="D52:T52" si="4">SUM(D5:D48)</f>
        <v>4609226</v>
      </c>
      <c r="E52" s="9">
        <f t="shared" si="4"/>
        <v>2499.9999999999995</v>
      </c>
      <c r="F52" s="9">
        <f t="shared" si="4"/>
        <v>18452663</v>
      </c>
      <c r="G52" s="9">
        <f t="shared" si="4"/>
        <v>0</v>
      </c>
      <c r="H52" s="9">
        <f t="shared" si="4"/>
        <v>546000</v>
      </c>
      <c r="I52" s="9">
        <f t="shared" si="4"/>
        <v>16000</v>
      </c>
      <c r="J52" s="9"/>
      <c r="K52" s="9">
        <f t="shared" si="4"/>
        <v>2021000</v>
      </c>
      <c r="L52" s="9">
        <f t="shared" si="4"/>
        <v>1307000</v>
      </c>
      <c r="M52" s="9">
        <f t="shared" si="4"/>
        <v>21000</v>
      </c>
      <c r="N52" s="9">
        <f t="shared" si="4"/>
        <v>42000</v>
      </c>
      <c r="O52" s="9">
        <f t="shared" si="4"/>
        <v>105000</v>
      </c>
      <c r="P52" s="9">
        <f t="shared" si="4"/>
        <v>0</v>
      </c>
      <c r="Q52" s="9">
        <f t="shared" si="4"/>
        <v>0</v>
      </c>
      <c r="R52" s="9">
        <f t="shared" si="4"/>
        <v>2500</v>
      </c>
      <c r="S52" s="9">
        <f t="shared" si="4"/>
        <v>16500</v>
      </c>
      <c r="T52" s="9">
        <f t="shared" si="4"/>
        <v>0</v>
      </c>
    </row>
  </sheetData>
  <autoFilter ref="A4:S45">
    <sortState ref="A5:L48">
      <sortCondition ref="B5:B48"/>
    </sortState>
  </autoFilter>
  <dataValidations count="1">
    <dataValidation type="list" allowBlank="1" showInputMessage="1" showErrorMessage="1" sqref="J5:J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"/>
  <sheetViews>
    <sheetView workbookViewId="0">
      <pane xSplit="2" ySplit="4" topLeftCell="E5" activePane="bottomRight" state="frozen"/>
      <selection activeCell="B22" sqref="B22"/>
      <selection pane="topRight" activeCell="B22" sqref="B22"/>
      <selection pane="bottomLeft" activeCell="B22" sqref="B22"/>
      <selection pane="bottomRight" activeCell="I69" sqref="I69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21.42578125" bestFit="1" customWidth="1"/>
    <col min="7" max="7" width="16.85546875" customWidth="1"/>
    <col min="8" max="10" width="13" customWidth="1"/>
    <col min="11" max="11" width="15" style="2" bestFit="1" customWidth="1"/>
    <col min="12" max="12" width="15" bestFit="1" customWidth="1"/>
    <col min="13" max="13" width="17.5703125" style="4" bestFit="1" customWidth="1"/>
    <col min="14" max="14" width="15.7109375" style="2" customWidth="1"/>
    <col min="15" max="15" width="12.42578125" style="2" customWidth="1"/>
    <col min="16" max="16" width="9.7109375" style="2" customWidth="1"/>
    <col min="17" max="17" width="15" bestFit="1" customWidth="1"/>
    <col min="18" max="18" width="12.5703125" bestFit="1" customWidth="1"/>
    <col min="19" max="19" width="18.140625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24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24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24" ht="29.25" x14ac:dyDescent="0.25">
      <c r="A4" s="1" t="s">
        <v>6</v>
      </c>
      <c r="B4" s="1" t="s">
        <v>7</v>
      </c>
      <c r="C4" s="6" t="s">
        <v>188</v>
      </c>
      <c r="D4" s="1" t="s">
        <v>224</v>
      </c>
      <c r="E4" s="5" t="s">
        <v>186</v>
      </c>
      <c r="F4" s="5" t="s">
        <v>187</v>
      </c>
      <c r="G4" s="1" t="s">
        <v>184</v>
      </c>
      <c r="H4" s="5" t="s">
        <v>221</v>
      </c>
      <c r="I4" s="1" t="s">
        <v>222</v>
      </c>
      <c r="J4" s="40" t="s">
        <v>223</v>
      </c>
      <c r="K4" s="5" t="s">
        <v>65</v>
      </c>
      <c r="L4" s="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63</v>
      </c>
      <c r="R4" s="5" t="s">
        <v>64</v>
      </c>
      <c r="S4" s="5" t="s">
        <v>8</v>
      </c>
      <c r="T4" s="5" t="s">
        <v>182</v>
      </c>
      <c r="U4" s="5" t="s">
        <v>181</v>
      </c>
      <c r="V4" s="6" t="s">
        <v>9</v>
      </c>
      <c r="W4" s="1" t="s">
        <v>10</v>
      </c>
      <c r="X4" s="5" t="s">
        <v>225</v>
      </c>
    </row>
    <row r="5" spans="1:24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48" si="0">$R$52/$F$52*F5</f>
        <v>45.341339643795465</v>
      </c>
      <c r="F5" s="6">
        <f>RECAPTONT20000!C5+RECAPTONT20000!D5+TONT20000JANV2017!L5</f>
        <v>318145</v>
      </c>
      <c r="G5" s="6"/>
      <c r="H5" s="7"/>
      <c r="I5" s="7"/>
      <c r="J5" s="4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"/>
    </row>
    <row r="6" spans="1:24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60.361437795264912</v>
      </c>
      <c r="F6" s="6">
        <f>RECAPTONT20000!C6+RECAPTONT20000!D6+TONT20000JANV2017!L6</f>
        <v>423536</v>
      </c>
      <c r="G6" s="6"/>
      <c r="H6" s="7">
        <f>IF(J6="ECHEC",0,13000)</f>
        <v>0</v>
      </c>
      <c r="I6" s="7">
        <f>IF(J6="ESPECES",1000,0)</f>
        <v>0</v>
      </c>
      <c r="J6" s="40" t="s">
        <v>219</v>
      </c>
      <c r="K6" s="7">
        <f>IF(H6=0,0,L6+M6+N6+O6+P6+#REF!)</f>
        <v>0</v>
      </c>
      <c r="L6" s="7"/>
      <c r="M6" s="7"/>
      <c r="N6" s="7"/>
      <c r="O6" s="7"/>
      <c r="P6" s="7"/>
      <c r="Q6" s="7"/>
      <c r="R6" s="7">
        <f>IF(Q6&lt;=500000,(Q6*1*3/100),(Q6*12/100))</f>
        <v>0</v>
      </c>
      <c r="S6" s="2"/>
      <c r="T6" s="2"/>
      <c r="U6" s="2"/>
      <c r="V6" s="7"/>
      <c r="X6" s="1"/>
    </row>
    <row r="7" spans="1:24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56.252363302156702</v>
      </c>
      <c r="F7" s="6">
        <f>RECAPTONT20000!C7+RECAPTONT20000!D7+TONT20000JANV2017!L7</f>
        <v>394704</v>
      </c>
      <c r="G7" s="6"/>
      <c r="H7" s="7">
        <f t="shared" ref="H7:H48" si="1">IF(J7="ECHEC",0,13000)</f>
        <v>13000</v>
      </c>
      <c r="I7" s="7">
        <f t="shared" ref="I7:I48" si="2">IF(J7="ESPECES",1000,0)</f>
        <v>1000</v>
      </c>
      <c r="J7" s="40" t="s">
        <v>226</v>
      </c>
      <c r="K7" s="7">
        <f>IF(H7=0,0,H7+L7+M7+N7+O7+P7)</f>
        <v>20000</v>
      </c>
      <c r="L7" s="7">
        <v>3000</v>
      </c>
      <c r="M7" s="7">
        <v>500</v>
      </c>
      <c r="N7" s="7">
        <v>1000</v>
      </c>
      <c r="O7" s="7">
        <v>2500</v>
      </c>
      <c r="P7" s="7"/>
      <c r="Q7" s="7"/>
      <c r="R7" s="7"/>
      <c r="S7" s="2"/>
      <c r="T7" s="2"/>
      <c r="U7" s="2"/>
      <c r="V7" s="7"/>
      <c r="X7" s="1"/>
    </row>
    <row r="8" spans="1:24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56.27203076470002</v>
      </c>
      <c r="F8" s="6">
        <f>RECAPTONT20000!C8+RECAPTONT20000!D8+TONT20000JANV2017!L8</f>
        <v>394842</v>
      </c>
      <c r="G8" s="6"/>
      <c r="H8" s="7">
        <f t="shared" si="1"/>
        <v>13000</v>
      </c>
      <c r="I8" s="7">
        <f t="shared" si="2"/>
        <v>1000</v>
      </c>
      <c r="J8" s="40" t="s">
        <v>226</v>
      </c>
      <c r="K8" s="7">
        <f t="shared" ref="K8:K48" si="3">IF(H8=0,0,H8+L8+M8+N8+O8+P8)</f>
        <v>20000</v>
      </c>
      <c r="L8" s="7">
        <v>3000</v>
      </c>
      <c r="M8" s="7">
        <v>500</v>
      </c>
      <c r="N8" s="7">
        <v>1000</v>
      </c>
      <c r="O8" s="7">
        <v>2500</v>
      </c>
      <c r="P8" s="7"/>
      <c r="Q8" s="2"/>
      <c r="R8" s="7"/>
      <c r="S8" s="2"/>
      <c r="T8" s="2"/>
      <c r="U8" s="2"/>
      <c r="V8" s="7"/>
      <c r="X8" s="1"/>
    </row>
    <row r="9" spans="1:24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57.17188843497906</v>
      </c>
      <c r="F9" s="6">
        <f>RECAPTONT20000!C9+RECAPTONT20000!D9+TONT20000JANV2017!L9</f>
        <v>401156</v>
      </c>
      <c r="G9" s="6"/>
      <c r="H9" s="7">
        <f t="shared" si="1"/>
        <v>13000</v>
      </c>
      <c r="I9" s="7">
        <f t="shared" si="2"/>
        <v>0</v>
      </c>
      <c r="J9" s="40" t="s">
        <v>220</v>
      </c>
      <c r="K9" s="7">
        <f t="shared" si="3"/>
        <v>20000</v>
      </c>
      <c r="L9" s="7">
        <v>3000</v>
      </c>
      <c r="M9" s="7">
        <v>500</v>
      </c>
      <c r="N9" s="7">
        <v>1000</v>
      </c>
      <c r="O9" s="7">
        <v>2500</v>
      </c>
      <c r="P9" s="7"/>
      <c r="Q9" s="2"/>
      <c r="R9" s="7"/>
      <c r="S9" s="2"/>
      <c r="T9" s="2"/>
      <c r="U9" s="2"/>
      <c r="V9" s="7"/>
      <c r="X9" s="1" t="s">
        <v>84</v>
      </c>
    </row>
    <row r="10" spans="1:24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56.851080766971755</v>
      </c>
      <c r="F10" s="6">
        <f>RECAPTONT20000!C10+RECAPTONT20000!D10+TONT20000JANV2017!L10</f>
        <v>398905</v>
      </c>
      <c r="G10" s="6"/>
      <c r="H10" s="7">
        <f t="shared" si="1"/>
        <v>13000</v>
      </c>
      <c r="I10" s="7">
        <f t="shared" si="2"/>
        <v>1000</v>
      </c>
      <c r="J10" s="40" t="s">
        <v>226</v>
      </c>
      <c r="K10" s="7">
        <f t="shared" si="3"/>
        <v>20000</v>
      </c>
      <c r="L10" s="7">
        <v>3000</v>
      </c>
      <c r="M10" s="7">
        <v>500</v>
      </c>
      <c r="N10" s="7">
        <v>1000</v>
      </c>
      <c r="O10" s="7">
        <v>2500</v>
      </c>
      <c r="P10" s="7"/>
      <c r="Q10" s="2"/>
      <c r="R10" s="7"/>
      <c r="S10" s="2"/>
      <c r="T10" s="2"/>
      <c r="U10" s="2"/>
      <c r="V10" s="7"/>
      <c r="X10" s="1"/>
    </row>
    <row r="11" spans="1:24" x14ac:dyDescent="0.25">
      <c r="A11" s="1" t="s">
        <v>17</v>
      </c>
      <c r="B11" s="1" t="str">
        <f>VLOOKUP(A11,LISTADHERENT!A$5:H$51,2)</f>
        <v>DJOUNKEP SAMUEL</v>
      </c>
      <c r="C11" s="6">
        <f>VLOOKUP(A11,FONDSDECAISSE!A$5:C$52,3,0)</f>
        <v>390000</v>
      </c>
      <c r="D11" s="6">
        <v>1055294</v>
      </c>
      <c r="E11" s="6">
        <f t="shared" si="0"/>
        <v>196.47353275456268</v>
      </c>
      <c r="F11" s="6">
        <f>RECAPTONT20000!C12+RECAPTONT20000!D12+TONT20000JANV2017!L11</f>
        <v>1378589</v>
      </c>
      <c r="G11" s="6"/>
      <c r="H11" s="7">
        <f t="shared" si="1"/>
        <v>13000</v>
      </c>
      <c r="I11" s="7">
        <f t="shared" si="2"/>
        <v>0</v>
      </c>
      <c r="J11" s="40" t="s">
        <v>220</v>
      </c>
      <c r="K11" s="7">
        <f t="shared" si="3"/>
        <v>20000</v>
      </c>
      <c r="L11" s="7">
        <v>3000</v>
      </c>
      <c r="M11" s="7">
        <v>500</v>
      </c>
      <c r="N11" s="7">
        <v>1000</v>
      </c>
      <c r="O11" s="7">
        <v>2500</v>
      </c>
      <c r="P11" s="7"/>
      <c r="Q11" s="2"/>
      <c r="R11" s="7"/>
      <c r="S11" s="2"/>
      <c r="T11" s="2"/>
      <c r="U11" s="2"/>
      <c r="V11" s="7"/>
      <c r="X11" s="1"/>
    </row>
    <row r="12" spans="1:24" x14ac:dyDescent="0.25">
      <c r="A12" s="1" t="s">
        <v>18</v>
      </c>
      <c r="B12" s="1" t="str">
        <f>VLOOKUP(A12,LISTADHERENT!A$5:H$51,2)</f>
        <v>DJUOMBESSY ANTOINE</v>
      </c>
      <c r="C12" s="6">
        <f>VLOOKUP(A12,FONDSDECAISSE!A$5:C$52,3,0)</f>
        <v>319134</v>
      </c>
      <c r="D12" s="6">
        <v>0</v>
      </c>
      <c r="E12" s="6">
        <f t="shared" si="0"/>
        <v>45.90984332557295</v>
      </c>
      <c r="F12" s="6">
        <f>RECAPTONT20000!C13+RECAPTONT20000!D13+TONT20000JANV2017!L12</f>
        <v>322134</v>
      </c>
      <c r="G12" s="6"/>
      <c r="H12" s="7">
        <f t="shared" si="1"/>
        <v>13000</v>
      </c>
      <c r="I12" s="7">
        <f t="shared" si="2"/>
        <v>0</v>
      </c>
      <c r="J12" s="40" t="s">
        <v>220</v>
      </c>
      <c r="K12" s="7">
        <f t="shared" si="3"/>
        <v>20000</v>
      </c>
      <c r="L12" s="7">
        <v>3000</v>
      </c>
      <c r="M12" s="7">
        <v>500</v>
      </c>
      <c r="N12" s="7">
        <v>1000</v>
      </c>
      <c r="O12" s="7">
        <v>2500</v>
      </c>
      <c r="P12" s="7"/>
      <c r="Q12" s="2"/>
      <c r="R12" s="7"/>
      <c r="S12" s="2"/>
      <c r="T12" s="2"/>
      <c r="U12" s="2"/>
      <c r="V12" s="7"/>
      <c r="X12" s="1"/>
    </row>
    <row r="13" spans="1:24" x14ac:dyDescent="0.25">
      <c r="A13" s="1" t="s">
        <v>19</v>
      </c>
      <c r="B13" s="1" t="str">
        <f>VLOOKUP(A13,LISTADHERENT!A$5:H$51,2)</f>
        <v>DONHOU DAVID</v>
      </c>
      <c r="C13" s="6">
        <f>VLOOKUP(A13,FONDSDECAISSE!A$5:C$52,3,0)</f>
        <v>390000</v>
      </c>
      <c r="D13" s="6">
        <v>44734</v>
      </c>
      <c r="E13" s="6">
        <f t="shared" si="0"/>
        <v>62.384906151714354</v>
      </c>
      <c r="F13" s="6">
        <f>RECAPTONT20000!C14+RECAPTONT20000!D14+TONT20000JANV2017!L13</f>
        <v>437734</v>
      </c>
      <c r="G13" s="6"/>
      <c r="H13" s="7">
        <f t="shared" si="1"/>
        <v>13000</v>
      </c>
      <c r="I13" s="7">
        <f t="shared" si="2"/>
        <v>1000</v>
      </c>
      <c r="J13" s="40" t="s">
        <v>226</v>
      </c>
      <c r="K13" s="7">
        <f t="shared" si="3"/>
        <v>20000</v>
      </c>
      <c r="L13" s="7">
        <v>3000</v>
      </c>
      <c r="M13" s="7">
        <v>500</v>
      </c>
      <c r="N13" s="7">
        <v>1000</v>
      </c>
      <c r="O13" s="7">
        <v>2500</v>
      </c>
      <c r="P13" s="7"/>
      <c r="Q13" s="2"/>
      <c r="R13" s="7"/>
      <c r="S13" s="2"/>
      <c r="T13" s="2"/>
      <c r="U13" s="2"/>
      <c r="V13" s="7"/>
      <c r="X13" s="1"/>
    </row>
    <row r="14" spans="1:24" x14ac:dyDescent="0.25">
      <c r="A14" s="1" t="s">
        <v>20</v>
      </c>
      <c r="B14" s="1" t="str">
        <f>VLOOKUP(A14,LISTADHERENT!A$5:H$51,2)</f>
        <v>FOTSO THOMAS</v>
      </c>
      <c r="C14" s="6">
        <f>VLOOKUP(A14,FONDSDECAISSE!A$5:C$52,3,0)</f>
        <v>390000</v>
      </c>
      <c r="D14" s="6">
        <v>3318</v>
      </c>
      <c r="E14" s="6">
        <f t="shared" si="0"/>
        <v>56.482387103206804</v>
      </c>
      <c r="F14" s="6">
        <f>RECAPTONT20000!C15+RECAPTONT20000!D15+TONT20000JANV2017!L14</f>
        <v>396318</v>
      </c>
      <c r="G14" s="6"/>
      <c r="H14" s="7">
        <f t="shared" si="1"/>
        <v>13000</v>
      </c>
      <c r="I14" s="7">
        <f t="shared" si="2"/>
        <v>1000</v>
      </c>
      <c r="J14" s="40" t="s">
        <v>226</v>
      </c>
      <c r="K14" s="7">
        <f t="shared" si="3"/>
        <v>20000</v>
      </c>
      <c r="L14" s="7">
        <v>3000</v>
      </c>
      <c r="M14" s="7">
        <v>500</v>
      </c>
      <c r="N14" s="7">
        <v>1000</v>
      </c>
      <c r="O14" s="7">
        <v>2500</v>
      </c>
      <c r="P14" s="7"/>
      <c r="Q14" s="2"/>
      <c r="R14" s="7"/>
      <c r="S14" s="2"/>
      <c r="T14" s="2"/>
      <c r="U14" s="2"/>
      <c r="V14" s="7"/>
      <c r="X14" s="1"/>
    </row>
    <row r="15" spans="1:24" x14ac:dyDescent="0.25">
      <c r="A15" s="1" t="s">
        <v>21</v>
      </c>
      <c r="B15" s="1" t="str">
        <f>VLOOKUP(A15,LISTADHERENT!A$5:H$51,2)</f>
        <v>HENGUE PAUL OMER</v>
      </c>
      <c r="C15" s="6">
        <f>VLOOKUP(A15,FONDSDECAISSE!A$5:C$52,3,0)</f>
        <v>390000</v>
      </c>
      <c r="D15" s="6">
        <v>1083990</v>
      </c>
      <c r="E15" s="6">
        <f t="shared" si="0"/>
        <v>210.49743117285973</v>
      </c>
      <c r="F15" s="6">
        <f>RECAPTONT20000!C16+RECAPTONT20000!D16+TONT20000JANV2017!L15</f>
        <v>1476990</v>
      </c>
      <c r="G15" s="6"/>
      <c r="H15" s="7">
        <v>13000</v>
      </c>
      <c r="I15" s="7">
        <f t="shared" si="2"/>
        <v>1000</v>
      </c>
      <c r="J15" s="40" t="s">
        <v>226</v>
      </c>
      <c r="K15" s="7">
        <f t="shared" si="3"/>
        <v>20000</v>
      </c>
      <c r="L15" s="7">
        <v>3000</v>
      </c>
      <c r="M15" s="7">
        <v>500</v>
      </c>
      <c r="N15" s="7">
        <v>1000</v>
      </c>
      <c r="O15" s="7">
        <v>2500</v>
      </c>
      <c r="P15" s="7"/>
      <c r="Q15" s="2"/>
      <c r="R15" s="7"/>
      <c r="S15" s="2"/>
      <c r="T15" s="2"/>
      <c r="U15" s="2"/>
      <c r="V15" s="7"/>
      <c r="X15" s="1"/>
    </row>
    <row r="16" spans="1:24" x14ac:dyDescent="0.25">
      <c r="A16" s="1" t="s">
        <v>22</v>
      </c>
      <c r="B16" s="1" t="str">
        <f>VLOOKUP(A16,LISTADHERENT!A$5:H$51,2)</f>
        <v>HODIEP JULES</v>
      </c>
      <c r="C16" s="6">
        <f>VLOOKUP(A16,FONDSDECAISSE!A$5:C$52,3,0)</f>
        <v>0</v>
      </c>
      <c r="D16" s="6">
        <v>0</v>
      </c>
      <c r="E16" s="6">
        <f t="shared" si="0"/>
        <v>0</v>
      </c>
      <c r="F16" s="6">
        <f>RECAPTONT20000!C17+RECAPTONT20000!D17+TONT20000JANV2017!L16</f>
        <v>0</v>
      </c>
      <c r="G16" s="6"/>
      <c r="H16" s="7">
        <f t="shared" si="1"/>
        <v>0</v>
      </c>
      <c r="I16" s="7">
        <f t="shared" si="2"/>
        <v>0</v>
      </c>
      <c r="J16" s="40" t="s">
        <v>219</v>
      </c>
      <c r="K16" s="7">
        <f t="shared" si="3"/>
        <v>0</v>
      </c>
      <c r="L16" s="7"/>
      <c r="M16" s="7"/>
      <c r="N16" s="7"/>
      <c r="O16" s="7"/>
      <c r="P16" s="7"/>
      <c r="Q16" s="2"/>
      <c r="R16" s="7"/>
      <c r="S16" s="2"/>
      <c r="T16" s="2"/>
      <c r="U16" s="2"/>
      <c r="V16" s="7"/>
      <c r="X16" s="1"/>
    </row>
    <row r="17" spans="1:24" x14ac:dyDescent="0.25">
      <c r="A17" s="1" t="s">
        <v>23</v>
      </c>
      <c r="B17" s="1" t="str">
        <f>VLOOKUP(A17,LISTADHERENT!A$5:H$51,2)</f>
        <v>HOTCHO BENJAMIN</v>
      </c>
      <c r="C17" s="6">
        <f>VLOOKUP(A17,FONDSDECAISSE!A$5:C$52,3,0)</f>
        <v>390000</v>
      </c>
      <c r="D17" s="6">
        <v>8723</v>
      </c>
      <c r="E17" s="6">
        <f t="shared" si="0"/>
        <v>57.252696052820077</v>
      </c>
      <c r="F17" s="6">
        <f>RECAPTONT20000!C18+RECAPTONT20000!D18+TONT20000JANV2017!L17</f>
        <v>401723</v>
      </c>
      <c r="G17" s="6"/>
      <c r="H17" s="7">
        <f t="shared" si="1"/>
        <v>13000</v>
      </c>
      <c r="I17" s="7">
        <f t="shared" si="2"/>
        <v>0</v>
      </c>
      <c r="J17" s="40" t="s">
        <v>220</v>
      </c>
      <c r="K17" s="7">
        <f t="shared" si="3"/>
        <v>20000</v>
      </c>
      <c r="L17" s="7">
        <v>3000</v>
      </c>
      <c r="M17" s="7">
        <v>500</v>
      </c>
      <c r="N17" s="7">
        <v>1000</v>
      </c>
      <c r="O17" s="7">
        <v>2500</v>
      </c>
      <c r="P17" s="7"/>
      <c r="Q17" s="2"/>
      <c r="R17" s="7"/>
      <c r="S17" s="2"/>
      <c r="T17" s="2"/>
      <c r="U17" s="2"/>
      <c r="V17" s="7"/>
      <c r="X17" s="1"/>
    </row>
    <row r="18" spans="1:24" x14ac:dyDescent="0.25">
      <c r="A18" s="1" t="s">
        <v>24</v>
      </c>
      <c r="B18" s="1" t="str">
        <f>VLOOKUP(A18,LISTADHERENT!A$5:H$51,2)</f>
        <v>KEPHE DAVID</v>
      </c>
      <c r="C18" s="6">
        <f>VLOOKUP(A18,FONDSDECAISSE!A$5:C$52,3,0)</f>
        <v>0</v>
      </c>
      <c r="D18" s="6">
        <v>12795</v>
      </c>
      <c r="E18" s="6">
        <f t="shared" si="0"/>
        <v>2.2510693541427629</v>
      </c>
      <c r="F18" s="6">
        <f>RECAPTONT20000!C19+RECAPTONT20000!D19+TONT20000JANV2017!L18</f>
        <v>15795</v>
      </c>
      <c r="G18" s="6"/>
      <c r="H18" s="7">
        <f t="shared" si="1"/>
        <v>13000</v>
      </c>
      <c r="I18" s="7">
        <f t="shared" si="2"/>
        <v>0</v>
      </c>
      <c r="J18" s="40" t="s">
        <v>220</v>
      </c>
      <c r="K18" s="7">
        <f t="shared" si="3"/>
        <v>20000</v>
      </c>
      <c r="L18" s="7">
        <v>3000</v>
      </c>
      <c r="M18" s="7">
        <v>500</v>
      </c>
      <c r="N18" s="7">
        <v>1000</v>
      </c>
      <c r="O18" s="7">
        <v>2500</v>
      </c>
      <c r="P18" s="7"/>
      <c r="Q18" s="2"/>
      <c r="R18" s="7"/>
      <c r="S18" s="2"/>
      <c r="T18" s="2"/>
      <c r="U18" s="2"/>
      <c r="V18" s="7"/>
      <c r="X18" s="1"/>
    </row>
    <row r="19" spans="1:24" x14ac:dyDescent="0.25">
      <c r="A19" s="1" t="s">
        <v>25</v>
      </c>
      <c r="B19" s="1" t="str">
        <f>VLOOKUP(A19,LISTADHERENT!A$5:H$51,2)</f>
        <v>KEPSEU FRANCIS</v>
      </c>
      <c r="C19" s="6">
        <f>VLOOKUP(A19,FONDSDECAISSE!A$5:C$52,3,0)</f>
        <v>390000</v>
      </c>
      <c r="D19" s="6">
        <v>186997</v>
      </c>
      <c r="E19" s="6">
        <f t="shared" si="0"/>
        <v>83.087475799757414</v>
      </c>
      <c r="F19" s="6">
        <f>RECAPTONT20000!C20+RECAPTONT20000!D20+TONT20000JANV2017!L19</f>
        <v>582997</v>
      </c>
      <c r="G19" s="6"/>
      <c r="H19" s="7">
        <f t="shared" si="1"/>
        <v>13000</v>
      </c>
      <c r="I19" s="7">
        <f t="shared" si="2"/>
        <v>0</v>
      </c>
      <c r="J19" s="40" t="s">
        <v>220</v>
      </c>
      <c r="K19" s="7">
        <f t="shared" si="3"/>
        <v>23000</v>
      </c>
      <c r="L19" s="7">
        <v>6000</v>
      </c>
      <c r="M19" s="7">
        <v>500</v>
      </c>
      <c r="N19" s="7">
        <v>1000</v>
      </c>
      <c r="O19" s="7">
        <v>2500</v>
      </c>
      <c r="P19" s="7"/>
      <c r="Q19" s="2"/>
      <c r="R19" s="7"/>
      <c r="S19" s="2"/>
      <c r="T19" s="2"/>
      <c r="U19" s="2"/>
      <c r="V19" s="7">
        <v>10000</v>
      </c>
      <c r="X19" s="1" t="s">
        <v>86</v>
      </c>
    </row>
    <row r="20" spans="1:24" x14ac:dyDescent="0.25">
      <c r="A20" s="1" t="s">
        <v>26</v>
      </c>
      <c r="B20" s="1" t="str">
        <f>VLOOKUP(A20,LISTADHERENT!A$5:H$51,2)</f>
        <v>KOUAMOU EMMANUEL</v>
      </c>
      <c r="C20" s="6">
        <f>VLOOKUP(A20,FONDSDECAISSE!A$5:C$52,3,0)</f>
        <v>390000</v>
      </c>
      <c r="D20" s="6">
        <v>2723</v>
      </c>
      <c r="E20" s="6">
        <f t="shared" si="0"/>
        <v>56.397588985719317</v>
      </c>
      <c r="F20" s="6">
        <f>RECAPTONT20000!C21+RECAPTONT20000!D21+TONT20000JANV2017!L20</f>
        <v>395723</v>
      </c>
      <c r="G20" s="6"/>
      <c r="H20" s="7">
        <f t="shared" si="1"/>
        <v>13000</v>
      </c>
      <c r="I20" s="7">
        <f t="shared" si="2"/>
        <v>0</v>
      </c>
      <c r="J20" s="40" t="s">
        <v>220</v>
      </c>
      <c r="K20" s="7">
        <f t="shared" si="3"/>
        <v>20000</v>
      </c>
      <c r="L20" s="7">
        <v>3000</v>
      </c>
      <c r="M20" s="7">
        <v>500</v>
      </c>
      <c r="N20" s="7">
        <v>1000</v>
      </c>
      <c r="O20" s="7">
        <v>2500</v>
      </c>
      <c r="P20" s="7"/>
      <c r="Q20" s="2"/>
      <c r="R20" s="7"/>
      <c r="S20" s="2"/>
      <c r="T20" s="2"/>
      <c r="U20" s="2"/>
      <c r="V20" s="7"/>
      <c r="X20" s="1"/>
    </row>
    <row r="21" spans="1:24" x14ac:dyDescent="0.25">
      <c r="A21" s="1" t="s">
        <v>27</v>
      </c>
      <c r="B21" s="1" t="str">
        <f>VLOOKUP(A21,LISTADHERENT!A$5:H$51,2)</f>
        <v>KOUAMOU MOISE</v>
      </c>
      <c r="C21" s="6">
        <f>VLOOKUP(A21,FONDSDECAISSE!A$5:C$52,3,0)</f>
        <v>315000</v>
      </c>
      <c r="D21" s="6">
        <v>2099</v>
      </c>
      <c r="E21" s="6">
        <f t="shared" si="0"/>
        <v>45.619819511981277</v>
      </c>
      <c r="F21" s="6">
        <f>RECAPTONT20000!C22+RECAPTONT20000!D22+TONT20000JANV2017!L21</f>
        <v>320099</v>
      </c>
      <c r="G21" s="6"/>
      <c r="H21" s="7">
        <f t="shared" si="1"/>
        <v>13000</v>
      </c>
      <c r="I21" s="7">
        <f t="shared" si="2"/>
        <v>0</v>
      </c>
      <c r="J21" s="40" t="s">
        <v>220</v>
      </c>
      <c r="K21" s="7">
        <f t="shared" si="3"/>
        <v>20000</v>
      </c>
      <c r="L21" s="7">
        <v>3000</v>
      </c>
      <c r="M21" s="7">
        <v>500</v>
      </c>
      <c r="N21" s="7">
        <v>1000</v>
      </c>
      <c r="O21" s="7">
        <v>2500</v>
      </c>
      <c r="P21" s="7"/>
      <c r="Q21" s="2"/>
      <c r="R21" s="7"/>
      <c r="S21" s="2"/>
      <c r="T21" s="2"/>
      <c r="U21" s="2"/>
      <c r="V21" s="7"/>
      <c r="X21" s="1" t="s">
        <v>103</v>
      </c>
    </row>
    <row r="22" spans="1:24" x14ac:dyDescent="0.25">
      <c r="A22" s="1" t="s">
        <v>28</v>
      </c>
      <c r="B22" s="1" t="str">
        <f>VLOOKUP(A22,LISTADHERENT!A$5:H$51,2)</f>
        <v>KOUAMOU VICTOR PEGUY</v>
      </c>
      <c r="C22" s="6">
        <f>VLOOKUP(A22,FONDSDECAISSE!A$5:C$52,3,0)</f>
        <v>390000</v>
      </c>
      <c r="D22" s="6">
        <v>36629</v>
      </c>
      <c r="E22" s="6">
        <f t="shared" si="0"/>
        <v>61.229799021905734</v>
      </c>
      <c r="F22" s="6">
        <f>RECAPTONT20000!C23+RECAPTONT20000!D23+TONT20000JANV2017!L22</f>
        <v>429629</v>
      </c>
      <c r="G22" s="6"/>
      <c r="H22" s="7">
        <f t="shared" si="1"/>
        <v>13000</v>
      </c>
      <c r="I22" s="7">
        <f t="shared" si="2"/>
        <v>1000</v>
      </c>
      <c r="J22" s="40" t="s">
        <v>226</v>
      </c>
      <c r="K22" s="7">
        <f t="shared" si="3"/>
        <v>20000</v>
      </c>
      <c r="L22" s="7">
        <v>3000</v>
      </c>
      <c r="M22" s="7">
        <v>500</v>
      </c>
      <c r="N22" s="7">
        <v>1000</v>
      </c>
      <c r="O22" s="7">
        <v>2500</v>
      </c>
      <c r="P22" s="7"/>
      <c r="Q22" s="2"/>
      <c r="R22" s="7"/>
      <c r="S22" s="2"/>
      <c r="T22" s="2"/>
      <c r="U22" s="2"/>
      <c r="V22" s="7"/>
      <c r="X22" s="1" t="s">
        <v>85</v>
      </c>
    </row>
    <row r="23" spans="1:24" x14ac:dyDescent="0.25">
      <c r="A23" s="1" t="s">
        <v>29</v>
      </c>
      <c r="B23" s="1" t="str">
        <f>VLOOKUP(A23,LISTADHERENT!A$5:H$51,2)</f>
        <v>KOUATCHO MESSACK</v>
      </c>
      <c r="C23" s="6">
        <f>VLOOKUP(A23,FONDSDECAISSE!A$5:C$52,3,0)</f>
        <v>390000</v>
      </c>
      <c r="D23" s="6">
        <v>0</v>
      </c>
      <c r="E23" s="6">
        <f t="shared" si="0"/>
        <v>56.009512895100087</v>
      </c>
      <c r="F23" s="6">
        <f>RECAPTONT20000!C24+RECAPTONT20000!D24+TONT20000JANV2017!L23</f>
        <v>393000</v>
      </c>
      <c r="G23" s="6"/>
      <c r="H23" s="7">
        <f t="shared" si="1"/>
        <v>13000</v>
      </c>
      <c r="I23" s="7">
        <f t="shared" si="2"/>
        <v>1000</v>
      </c>
      <c r="J23" s="40" t="s">
        <v>226</v>
      </c>
      <c r="K23" s="7">
        <f t="shared" si="3"/>
        <v>20000</v>
      </c>
      <c r="L23" s="7">
        <v>3000</v>
      </c>
      <c r="M23" s="7">
        <v>500</v>
      </c>
      <c r="N23" s="7">
        <v>1000</v>
      </c>
      <c r="O23" s="7">
        <v>2500</v>
      </c>
      <c r="P23" s="7"/>
      <c r="Q23" s="7"/>
      <c r="R23" s="7"/>
      <c r="S23" s="2"/>
      <c r="T23" s="2"/>
      <c r="U23" s="2"/>
      <c r="V23" s="7"/>
      <c r="X23" s="1"/>
    </row>
    <row r="24" spans="1:24" x14ac:dyDescent="0.25">
      <c r="A24" s="1" t="s">
        <v>30</v>
      </c>
      <c r="B24" s="1" t="str">
        <f>VLOOKUP(A24,LISTADHERENT!A$5:H$51,2)</f>
        <v>LOWE JEAN</v>
      </c>
      <c r="C24" s="6">
        <f>VLOOKUP(A24,FONDSDECAISSE!A$5:C$52,3,0)</f>
        <v>390000</v>
      </c>
      <c r="D24" s="6">
        <v>4331</v>
      </c>
      <c r="E24" s="6">
        <f t="shared" si="0"/>
        <v>56.626757679702322</v>
      </c>
      <c r="F24" s="6">
        <f>RECAPTONT20000!C25+RECAPTONT20000!D25+TONT20000JANV2017!L24</f>
        <v>397331</v>
      </c>
      <c r="G24" s="6"/>
      <c r="H24" s="7">
        <f t="shared" si="1"/>
        <v>13000</v>
      </c>
      <c r="I24" s="7">
        <f t="shared" si="2"/>
        <v>0</v>
      </c>
      <c r="J24" s="40" t="s">
        <v>220</v>
      </c>
      <c r="K24" s="7">
        <f t="shared" si="3"/>
        <v>20000</v>
      </c>
      <c r="L24" s="7">
        <v>3000</v>
      </c>
      <c r="M24" s="7">
        <v>500</v>
      </c>
      <c r="N24" s="7">
        <v>1000</v>
      </c>
      <c r="O24" s="7">
        <v>2500</v>
      </c>
      <c r="P24" s="7"/>
      <c r="Q24" s="2"/>
      <c r="R24" s="7"/>
      <c r="S24" s="2"/>
      <c r="T24" s="2"/>
      <c r="U24" s="2"/>
      <c r="V24" s="7"/>
      <c r="X24" s="1"/>
    </row>
    <row r="25" spans="1:24" x14ac:dyDescent="0.25">
      <c r="A25" s="1" t="s">
        <v>31</v>
      </c>
      <c r="B25" s="1" t="str">
        <f>VLOOKUP(A25,LISTADHERENT!A$5:H$51,2)</f>
        <v>NANKAM APPOLINAIRE</v>
      </c>
      <c r="C25" s="6">
        <f>VLOOKUP(A25,FONDSDECAISSE!A$5:C$52,3,0)</f>
        <v>390000</v>
      </c>
      <c r="D25" s="6">
        <v>4411</v>
      </c>
      <c r="E25" s="6">
        <f t="shared" si="0"/>
        <v>56.638159107263661</v>
      </c>
      <c r="F25" s="6">
        <f>RECAPTONT20000!C26+RECAPTONT20000!D26+TONT20000JANV2017!L25</f>
        <v>397411</v>
      </c>
      <c r="G25" s="6"/>
      <c r="H25" s="7">
        <f t="shared" si="1"/>
        <v>13000</v>
      </c>
      <c r="I25" s="7">
        <f t="shared" si="2"/>
        <v>0</v>
      </c>
      <c r="J25" s="40" t="s">
        <v>220</v>
      </c>
      <c r="K25" s="7">
        <f t="shared" si="3"/>
        <v>20000</v>
      </c>
      <c r="L25" s="7">
        <v>3000</v>
      </c>
      <c r="M25" s="7">
        <v>500</v>
      </c>
      <c r="N25" s="7">
        <v>1000</v>
      </c>
      <c r="O25" s="7">
        <v>2500</v>
      </c>
      <c r="P25" s="7"/>
      <c r="Q25" s="2"/>
      <c r="R25" s="7"/>
      <c r="S25" s="2"/>
      <c r="T25" s="2"/>
      <c r="U25" s="2"/>
      <c r="V25" s="7"/>
      <c r="X25" s="1"/>
    </row>
    <row r="26" spans="1:24" x14ac:dyDescent="0.25">
      <c r="A26" s="1" t="s">
        <v>32</v>
      </c>
      <c r="B26" s="1" t="str">
        <f>VLOOKUP(A26,LISTADHERENT!A$5:H$51,2)</f>
        <v>NDJOMO ETIENNE</v>
      </c>
      <c r="C26" s="6">
        <f>VLOOKUP(A26,FONDSDECAISSE!A$5:C$52,3,0)</f>
        <v>390000</v>
      </c>
      <c r="D26" s="6">
        <v>2060</v>
      </c>
      <c r="E26" s="6">
        <f t="shared" si="0"/>
        <v>57.015688877388648</v>
      </c>
      <c r="F26" s="6">
        <f>RECAPTONT20000!C27+RECAPTONT20000!D27+TONT20000JANV2017!L26</f>
        <v>400060</v>
      </c>
      <c r="G26" s="6"/>
      <c r="H26" s="7">
        <f t="shared" si="1"/>
        <v>13000</v>
      </c>
      <c r="I26" s="7">
        <f t="shared" si="2"/>
        <v>0</v>
      </c>
      <c r="J26" s="40" t="s">
        <v>220</v>
      </c>
      <c r="K26" s="7">
        <f t="shared" si="3"/>
        <v>25000</v>
      </c>
      <c r="L26" s="7">
        <v>8000</v>
      </c>
      <c r="M26" s="7">
        <v>500</v>
      </c>
      <c r="N26" s="7">
        <v>1000</v>
      </c>
      <c r="O26" s="7">
        <v>2500</v>
      </c>
      <c r="P26" s="7"/>
      <c r="Q26" s="7"/>
      <c r="R26" s="7"/>
      <c r="S26" s="2"/>
      <c r="T26" s="2"/>
      <c r="U26" s="2"/>
      <c r="V26" s="7">
        <v>10000</v>
      </c>
      <c r="X26" s="1" t="s">
        <v>228</v>
      </c>
    </row>
    <row r="27" spans="1:24" x14ac:dyDescent="0.25">
      <c r="A27" s="1" t="s">
        <v>34</v>
      </c>
      <c r="B27" s="1" t="str">
        <f>VLOOKUP(A27,LISTADHERENT!A$5:H$51,2)</f>
        <v>NGONDIEP CLAUDE</v>
      </c>
      <c r="C27" s="6">
        <f>VLOOKUP(A27,FONDSDECAISSE!A$5:C$52,3,0)</f>
        <v>390000</v>
      </c>
      <c r="D27" s="6">
        <v>179574</v>
      </c>
      <c r="E27" s="6">
        <f t="shared" si="0"/>
        <v>82.884672907010014</v>
      </c>
      <c r="F27" s="6">
        <f>RECAPTONT20000!C29+RECAPTONT20000!D29+TONT20000JANV2017!L27</f>
        <v>581574</v>
      </c>
      <c r="G27" s="6"/>
      <c r="H27" s="7">
        <f t="shared" si="1"/>
        <v>13000</v>
      </c>
      <c r="I27" s="7">
        <f t="shared" si="2"/>
        <v>0</v>
      </c>
      <c r="J27" s="40" t="s">
        <v>220</v>
      </c>
      <c r="K27" s="7">
        <f t="shared" si="3"/>
        <v>29000</v>
      </c>
      <c r="L27" s="7">
        <v>12000</v>
      </c>
      <c r="M27" s="7">
        <v>500</v>
      </c>
      <c r="N27" s="7">
        <v>1000</v>
      </c>
      <c r="O27" s="7">
        <v>2500</v>
      </c>
      <c r="P27" s="7"/>
      <c r="Q27" s="2"/>
      <c r="R27" s="7"/>
      <c r="S27" s="2"/>
      <c r="T27" s="2"/>
      <c r="U27" s="2"/>
      <c r="V27" s="7"/>
      <c r="X27" s="1"/>
    </row>
    <row r="28" spans="1:24" x14ac:dyDescent="0.25">
      <c r="A28" s="1" t="s">
        <v>35</v>
      </c>
      <c r="B28" s="1" t="str">
        <f>VLOOKUP(A28,LISTADHERENT!A$5:H$51,2)</f>
        <v>NGONGANG JEAN THEODORE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RECAPTONT20000!C30+RECAPTONT20000!D30+TONT20000JANV2017!L28</f>
        <v>0</v>
      </c>
      <c r="G28" s="6"/>
      <c r="H28" s="7">
        <f t="shared" si="1"/>
        <v>0</v>
      </c>
      <c r="I28" s="7">
        <f t="shared" si="2"/>
        <v>0</v>
      </c>
      <c r="J28" s="40" t="s">
        <v>219</v>
      </c>
      <c r="K28" s="7">
        <f t="shared" si="3"/>
        <v>0</v>
      </c>
      <c r="L28" s="7"/>
      <c r="M28" s="7"/>
      <c r="N28" s="7"/>
      <c r="O28" s="7"/>
      <c r="P28" s="7"/>
      <c r="Q28" s="2"/>
      <c r="R28" s="7"/>
      <c r="S28" s="2"/>
      <c r="T28" s="2"/>
      <c r="U28" s="2"/>
      <c r="V28" s="7"/>
      <c r="X28" s="1"/>
    </row>
    <row r="29" spans="1:24" x14ac:dyDescent="0.25">
      <c r="A29" s="1" t="s">
        <v>36</v>
      </c>
      <c r="B29" s="1" t="str">
        <f>VLOOKUP(A29,LISTADHERENT!A$5:H$51,2)</f>
        <v>NGUIEMEGNI MATHIEU BLAISE</v>
      </c>
      <c r="C29" s="6">
        <f>VLOOKUP(A29,FONDSDECAISSE!A$5:C$52,3,0)</f>
        <v>14889</v>
      </c>
      <c r="D29" s="6">
        <v>0</v>
      </c>
      <c r="E29" s="6">
        <f t="shared" si="0"/>
        <v>2.5495017205609298</v>
      </c>
      <c r="F29" s="6">
        <f>RECAPTONT20000!C31+RECAPTONT20000!D31+TONT20000JANV2017!L29</f>
        <v>17889</v>
      </c>
      <c r="G29" s="6"/>
      <c r="H29" s="7">
        <f t="shared" si="1"/>
        <v>13000</v>
      </c>
      <c r="I29" s="7">
        <f t="shared" si="2"/>
        <v>0</v>
      </c>
      <c r="J29" s="40" t="s">
        <v>220</v>
      </c>
      <c r="K29" s="7">
        <f t="shared" si="3"/>
        <v>20000</v>
      </c>
      <c r="L29" s="7">
        <v>3000</v>
      </c>
      <c r="M29" s="7">
        <v>500</v>
      </c>
      <c r="N29" s="7">
        <v>1000</v>
      </c>
      <c r="O29" s="7">
        <v>2500</v>
      </c>
      <c r="P29" s="7"/>
      <c r="Q29" s="2"/>
      <c r="R29" s="7"/>
      <c r="S29" s="2"/>
      <c r="T29" s="2"/>
      <c r="U29" s="2"/>
      <c r="V29" s="7"/>
      <c r="X29" s="1"/>
    </row>
    <row r="30" spans="1:24" x14ac:dyDescent="0.25">
      <c r="A30" s="1" t="s">
        <v>37</v>
      </c>
      <c r="B30" s="1" t="str">
        <f>VLOOKUP(A30,LISTADHERENT!A$5:H$51,2)</f>
        <v>NJEPDJIO MBOUKAM DELUXE</v>
      </c>
      <c r="C30" s="6">
        <f>VLOOKUP(A30,FONDSDECAISSE!A$5:C$52,3,0)</f>
        <v>390000</v>
      </c>
      <c r="D30" s="6">
        <v>1734</v>
      </c>
      <c r="E30" s="6">
        <f t="shared" si="0"/>
        <v>56.969228060076176</v>
      </c>
      <c r="F30" s="6">
        <f>RECAPTONT20000!C32+RECAPTONT20000!D32+TONT20000JANV2017!L30</f>
        <v>399734</v>
      </c>
      <c r="G30" s="6"/>
      <c r="H30" s="7">
        <f t="shared" si="1"/>
        <v>13000</v>
      </c>
      <c r="I30" s="7">
        <f t="shared" si="2"/>
        <v>1000</v>
      </c>
      <c r="J30" s="40" t="s">
        <v>226</v>
      </c>
      <c r="K30" s="7">
        <f t="shared" si="3"/>
        <v>25000</v>
      </c>
      <c r="L30" s="7">
        <v>8000</v>
      </c>
      <c r="M30" s="7">
        <v>500</v>
      </c>
      <c r="N30" s="7">
        <v>1000</v>
      </c>
      <c r="O30" s="7">
        <v>2500</v>
      </c>
      <c r="P30" s="7"/>
      <c r="Q30" s="2"/>
      <c r="R30" s="7"/>
      <c r="S30" s="2"/>
      <c r="T30" s="2"/>
      <c r="U30" s="2"/>
      <c r="V30" s="7"/>
      <c r="X30" s="1"/>
    </row>
    <row r="31" spans="1:24" x14ac:dyDescent="0.25">
      <c r="A31" s="1" t="s">
        <v>38</v>
      </c>
      <c r="B31" s="1" t="str">
        <f>VLOOKUP(A31,LISTADHERENT!A$5:H$51,2)</f>
        <v>NKAMGANG JUSTIN DEJOLIE</v>
      </c>
      <c r="C31" s="6">
        <f>VLOOKUP(A31,FONDSDECAISSE!A$5:C$52,3,0)</f>
        <v>0</v>
      </c>
      <c r="D31" s="6">
        <v>0</v>
      </c>
      <c r="E31" s="6">
        <f t="shared" si="0"/>
        <v>1.1401427561343529</v>
      </c>
      <c r="F31" s="6">
        <f>RECAPTONT20000!C33+RECAPTONT20000!D33+TONT20000JANV2017!L31</f>
        <v>8000</v>
      </c>
      <c r="G31" s="6"/>
      <c r="H31" s="7">
        <f t="shared" si="1"/>
        <v>13000</v>
      </c>
      <c r="I31" s="7">
        <f t="shared" si="2"/>
        <v>1000</v>
      </c>
      <c r="J31" s="40" t="s">
        <v>226</v>
      </c>
      <c r="K31" s="7">
        <f t="shared" si="3"/>
        <v>25000</v>
      </c>
      <c r="L31" s="7">
        <v>8000</v>
      </c>
      <c r="M31" s="7">
        <v>500</v>
      </c>
      <c r="N31" s="7">
        <v>1000</v>
      </c>
      <c r="O31" s="7">
        <v>2500</v>
      </c>
      <c r="P31" s="7"/>
      <c r="Q31" s="24"/>
      <c r="R31" s="7"/>
      <c r="S31" s="24"/>
      <c r="T31" s="2"/>
      <c r="U31" s="2"/>
      <c r="V31" s="7"/>
      <c r="X31" s="1"/>
    </row>
    <row r="32" spans="1:24" s="11" customFormat="1" x14ac:dyDescent="0.25">
      <c r="A32" s="1" t="s">
        <v>39</v>
      </c>
      <c r="B32" s="1" t="str">
        <f>VLOOKUP(A32,LISTADHERENT!A$5:H$51,2)</f>
        <v>NKEPSEU DIEUDONNE</v>
      </c>
      <c r="C32" s="6">
        <f>VLOOKUP(A32,FONDSDECAISSE!A$5:C$52,3,0)</f>
        <v>390000</v>
      </c>
      <c r="D32" s="6">
        <v>8739</v>
      </c>
      <c r="E32" s="6">
        <f t="shared" si="0"/>
        <v>57.96756556091632</v>
      </c>
      <c r="F32" s="6">
        <f>RECAPTONT20000!C34+RECAPTONT20000!D34+TONT20000JANV2017!L32</f>
        <v>406739</v>
      </c>
      <c r="G32" s="6"/>
      <c r="H32" s="7">
        <f t="shared" si="1"/>
        <v>13000</v>
      </c>
      <c r="I32" s="7">
        <f t="shared" si="2"/>
        <v>1000</v>
      </c>
      <c r="J32" s="40" t="s">
        <v>226</v>
      </c>
      <c r="K32" s="7">
        <f t="shared" si="3"/>
        <v>25000</v>
      </c>
      <c r="L32" s="7">
        <v>8000</v>
      </c>
      <c r="M32" s="7">
        <v>500</v>
      </c>
      <c r="N32" s="7">
        <v>1000</v>
      </c>
      <c r="O32" s="7">
        <v>2500</v>
      </c>
      <c r="P32" s="7"/>
      <c r="Q32" s="2"/>
      <c r="R32" s="7"/>
      <c r="S32" s="2"/>
      <c r="T32" s="24"/>
      <c r="U32" s="24"/>
      <c r="V32" s="7"/>
      <c r="X32" s="1"/>
    </row>
    <row r="33" spans="1:24" x14ac:dyDescent="0.25">
      <c r="A33" s="1" t="s">
        <v>41</v>
      </c>
      <c r="B33" s="1" t="str">
        <f>VLOOKUP(A33,LISTADHERENT!A$5:H$51,2)</f>
        <v>NTEPDIE TUEMAC MZ</v>
      </c>
      <c r="C33" s="6">
        <f>VLOOKUP(A33,FONDSDECAISSE!A$5:C$52,3,0)</f>
        <v>0</v>
      </c>
      <c r="D33" s="6">
        <v>0</v>
      </c>
      <c r="E33" s="6">
        <f t="shared" si="0"/>
        <v>0</v>
      </c>
      <c r="F33" s="6">
        <f>RECAPTONT20000!C36+RECAPTONT20000!D36+TONT20000JANV2017!L33</f>
        <v>0</v>
      </c>
      <c r="G33" s="6"/>
      <c r="H33" s="7">
        <f t="shared" si="1"/>
        <v>0</v>
      </c>
      <c r="I33" s="7">
        <f t="shared" si="2"/>
        <v>0</v>
      </c>
      <c r="J33" s="40" t="s">
        <v>219</v>
      </c>
      <c r="K33" s="7">
        <f t="shared" si="3"/>
        <v>0</v>
      </c>
      <c r="L33" s="7"/>
      <c r="M33" s="7"/>
      <c r="N33" s="7"/>
      <c r="O33" s="7"/>
      <c r="P33" s="7"/>
      <c r="Q33" s="2"/>
      <c r="R33" s="7"/>
      <c r="S33" s="2"/>
      <c r="T33" s="2"/>
      <c r="U33" s="2"/>
      <c r="V33" s="7"/>
      <c r="X33" s="1"/>
    </row>
    <row r="34" spans="1:24" x14ac:dyDescent="0.25">
      <c r="A34" s="1" t="s">
        <v>43</v>
      </c>
      <c r="B34" s="1" t="str">
        <f>VLOOKUP(A34,LISTADHERENT!A$5:H$51,2)</f>
        <v>PATEGO NJOSSU GUSTAVE</v>
      </c>
      <c r="C34" s="6">
        <f>VLOOKUP(A34,FONDSDECAISSE!A$5:C$52,3,0)</f>
        <v>390000</v>
      </c>
      <c r="D34" s="6">
        <v>140</v>
      </c>
      <c r="E34" s="6">
        <f t="shared" si="0"/>
        <v>56.029465393332437</v>
      </c>
      <c r="F34" s="6">
        <f>RECAPTONT20000!C38+RECAPTONT20000!D38+TONT20000JANV2017!L34</f>
        <v>393140</v>
      </c>
      <c r="G34" s="6"/>
      <c r="H34" s="7">
        <f t="shared" si="1"/>
        <v>13000</v>
      </c>
      <c r="I34" s="7">
        <f t="shared" si="2"/>
        <v>0</v>
      </c>
      <c r="J34" s="40" t="s">
        <v>220</v>
      </c>
      <c r="K34" s="7">
        <f t="shared" si="3"/>
        <v>20000</v>
      </c>
      <c r="L34" s="7">
        <v>3000</v>
      </c>
      <c r="M34" s="7">
        <v>500</v>
      </c>
      <c r="N34" s="7">
        <v>1000</v>
      </c>
      <c r="O34" s="7">
        <v>2500</v>
      </c>
      <c r="P34" s="7"/>
      <c r="Q34" s="2"/>
      <c r="R34" s="7"/>
      <c r="S34" s="2"/>
      <c r="T34" s="2"/>
      <c r="U34" s="2"/>
      <c r="V34" s="7"/>
      <c r="X34" s="1"/>
    </row>
    <row r="35" spans="1:24" x14ac:dyDescent="0.25">
      <c r="A35" s="1" t="s">
        <v>44</v>
      </c>
      <c r="B35" s="1" t="str">
        <f>VLOOKUP(A35,LISTADHERENT!A$5:H$51,2)</f>
        <v>SEUNOU RICHELOT</v>
      </c>
      <c r="C35" s="6">
        <f>VLOOKUP(A35,FONDSDECAISSE!A$5:C$52,3,0)</f>
        <v>390000</v>
      </c>
      <c r="D35" s="6">
        <v>2632</v>
      </c>
      <c r="E35" s="6">
        <f t="shared" si="0"/>
        <v>56.384619861868288</v>
      </c>
      <c r="F35" s="6">
        <f>RECAPTONT20000!C39+RECAPTONT20000!D39+TONT20000JANV2017!L35</f>
        <v>395632</v>
      </c>
      <c r="G35" s="6"/>
      <c r="H35" s="7">
        <f t="shared" si="1"/>
        <v>13000</v>
      </c>
      <c r="I35" s="7">
        <f t="shared" si="2"/>
        <v>1000</v>
      </c>
      <c r="J35" s="40" t="s">
        <v>226</v>
      </c>
      <c r="K35" s="7">
        <f t="shared" si="3"/>
        <v>20000</v>
      </c>
      <c r="L35" s="7">
        <v>3000</v>
      </c>
      <c r="M35" s="7">
        <v>500</v>
      </c>
      <c r="N35" s="7">
        <v>1000</v>
      </c>
      <c r="O35" s="7">
        <v>2500</v>
      </c>
      <c r="P35" s="7"/>
      <c r="Q35" s="2"/>
      <c r="R35" s="7"/>
      <c r="S35" s="2"/>
      <c r="T35" s="2"/>
      <c r="U35" s="2"/>
      <c r="V35" s="7"/>
      <c r="X35" s="1" t="s">
        <v>86</v>
      </c>
    </row>
    <row r="36" spans="1:24" x14ac:dyDescent="0.25">
      <c r="A36" s="1" t="s">
        <v>45</v>
      </c>
      <c r="B36" s="1" t="str">
        <f>VLOOKUP(A36,LISTADHERENT!A$5:H$51,2)</f>
        <v>SIME ABEL</v>
      </c>
      <c r="C36" s="6">
        <f>VLOOKUP(A36,FONDSDECAISSE!A$5:C$52,3,0)</f>
        <v>0</v>
      </c>
      <c r="D36" s="6">
        <v>0</v>
      </c>
      <c r="E36" s="6">
        <f t="shared" si="0"/>
        <v>0.42755353355038234</v>
      </c>
      <c r="F36" s="6">
        <f>RECAPTONT20000!C40+RECAPTONT20000!D40+TONT20000JANV2017!L36</f>
        <v>3000</v>
      </c>
      <c r="G36" s="6"/>
      <c r="H36" s="7">
        <f t="shared" si="1"/>
        <v>13000</v>
      </c>
      <c r="I36" s="7">
        <f t="shared" si="2"/>
        <v>1000</v>
      </c>
      <c r="J36" s="40" t="s">
        <v>226</v>
      </c>
      <c r="K36" s="7">
        <f t="shared" si="3"/>
        <v>20000</v>
      </c>
      <c r="L36" s="7">
        <v>3000</v>
      </c>
      <c r="M36" s="7">
        <v>500</v>
      </c>
      <c r="N36" s="7">
        <v>1000</v>
      </c>
      <c r="O36" s="7">
        <v>2500</v>
      </c>
      <c r="P36" s="7"/>
      <c r="Q36" s="2"/>
      <c r="R36" s="7"/>
      <c r="S36" s="2"/>
      <c r="T36" s="2"/>
      <c r="U36" s="2"/>
      <c r="V36" s="7"/>
      <c r="X36" s="1"/>
    </row>
    <row r="37" spans="1:24" x14ac:dyDescent="0.25">
      <c r="A37" s="1" t="s">
        <v>46</v>
      </c>
      <c r="B37" s="1" t="str">
        <f>VLOOKUP(A37,LISTADHERENT!A$5:H$51,2)</f>
        <v>SIME FONGANG ERIC</v>
      </c>
      <c r="C37" s="6">
        <f>VLOOKUP(A37,FONDSDECAISSE!A$5:C$52,3,0)</f>
        <v>390000</v>
      </c>
      <c r="D37" s="6">
        <v>982</v>
      </c>
      <c r="E37" s="6">
        <f t="shared" si="0"/>
        <v>56.149465418415573</v>
      </c>
      <c r="F37" s="6">
        <f>RECAPTONT20000!C41+RECAPTONT20000!D41+TONT20000JANV2017!L37</f>
        <v>393982</v>
      </c>
      <c r="G37" s="6"/>
      <c r="H37" s="7">
        <f t="shared" si="1"/>
        <v>13000</v>
      </c>
      <c r="I37" s="7">
        <f t="shared" si="2"/>
        <v>0</v>
      </c>
      <c r="J37" s="40" t="s">
        <v>220</v>
      </c>
      <c r="K37" s="7">
        <f t="shared" si="3"/>
        <v>20000</v>
      </c>
      <c r="L37" s="7">
        <v>3000</v>
      </c>
      <c r="M37" s="7">
        <v>500</v>
      </c>
      <c r="N37" s="7">
        <v>1000</v>
      </c>
      <c r="O37" s="7">
        <v>2500</v>
      </c>
      <c r="P37" s="7"/>
      <c r="Q37" s="2"/>
      <c r="R37" s="7"/>
      <c r="S37" s="2"/>
      <c r="T37" s="2"/>
      <c r="U37" s="2"/>
      <c r="V37" s="7"/>
      <c r="X37" s="1"/>
    </row>
    <row r="38" spans="1:24" x14ac:dyDescent="0.25">
      <c r="A38" s="1" t="s">
        <v>47</v>
      </c>
      <c r="B38" s="1" t="str">
        <f>VLOOKUP(A38,LISTADHERENT!A$5:H$51,2)</f>
        <v>SIME MATHIEU</v>
      </c>
      <c r="C38" s="6">
        <f>VLOOKUP(A38,FONDSDECAISSE!A$5:C$52,3,0)</f>
        <v>390000</v>
      </c>
      <c r="D38" s="6">
        <v>636</v>
      </c>
      <c r="E38" s="6">
        <f t="shared" si="0"/>
        <v>56.100154244212767</v>
      </c>
      <c r="F38" s="6">
        <f>RECAPTONT20000!C42+RECAPTONT20000!D42+TONT20000JANV2017!L38</f>
        <v>393636</v>
      </c>
      <c r="G38" s="6"/>
      <c r="H38" s="7">
        <f t="shared" si="1"/>
        <v>13000</v>
      </c>
      <c r="I38" s="7">
        <f t="shared" si="2"/>
        <v>0</v>
      </c>
      <c r="J38" s="40" t="s">
        <v>220</v>
      </c>
      <c r="K38" s="7">
        <f t="shared" si="3"/>
        <v>20000</v>
      </c>
      <c r="L38" s="7">
        <v>3000</v>
      </c>
      <c r="M38" s="7">
        <v>500</v>
      </c>
      <c r="N38" s="7">
        <v>1000</v>
      </c>
      <c r="O38" s="7">
        <v>2500</v>
      </c>
      <c r="P38" s="7"/>
      <c r="Q38" s="2"/>
      <c r="R38" s="7"/>
      <c r="S38" s="2"/>
      <c r="T38" s="2"/>
      <c r="U38" s="2"/>
      <c r="V38" s="7"/>
      <c r="X38" s="1"/>
    </row>
    <row r="39" spans="1:24" x14ac:dyDescent="0.25">
      <c r="A39" s="1" t="s">
        <v>48</v>
      </c>
      <c r="B39" s="1" t="str">
        <f>VLOOKUP(A39,LISTADHERENT!A$5:H$51,2)</f>
        <v>SIME PIERRE</v>
      </c>
      <c r="C39" s="6">
        <f>VLOOKUP(A39,FONDSDECAISSE!A$5:C$52,3,0)</f>
        <v>390000</v>
      </c>
      <c r="D39" s="6">
        <v>146079</v>
      </c>
      <c r="E39" s="6">
        <f t="shared" si="0"/>
        <v>78.253555549436797</v>
      </c>
      <c r="F39" s="6">
        <f>RECAPTONT20000!C43+RECAPTONT20000!D43+TONT20000JANV2017!L39</f>
        <v>549079</v>
      </c>
      <c r="G39" s="6"/>
      <c r="H39" s="7">
        <f t="shared" si="1"/>
        <v>13000</v>
      </c>
      <c r="I39" s="7">
        <f t="shared" si="2"/>
        <v>0</v>
      </c>
      <c r="J39" s="40" t="s">
        <v>220</v>
      </c>
      <c r="K39" s="7">
        <f t="shared" si="3"/>
        <v>30000</v>
      </c>
      <c r="L39" s="7">
        <v>13000</v>
      </c>
      <c r="M39" s="7">
        <v>500</v>
      </c>
      <c r="N39" s="7">
        <v>1000</v>
      </c>
      <c r="O39" s="7">
        <v>2500</v>
      </c>
      <c r="P39" s="7"/>
      <c r="Q39" s="2"/>
      <c r="R39" s="7"/>
      <c r="S39" s="2"/>
      <c r="T39" s="2"/>
      <c r="U39" s="2"/>
      <c r="V39" s="7"/>
      <c r="X39" s="1"/>
    </row>
    <row r="40" spans="1:24" x14ac:dyDescent="0.25">
      <c r="A40" s="1" t="s">
        <v>49</v>
      </c>
      <c r="B40" s="1" t="str">
        <f>VLOOKUP(A40,LISTADHERENT!A$5:H$51,2)</f>
        <v>TAGNE NANGUEN MARTIN</v>
      </c>
      <c r="C40" s="6">
        <f>VLOOKUP(A40,FONDSDECAISSE!A$5:C$52,3,0)</f>
        <v>0</v>
      </c>
      <c r="D40" s="6">
        <v>0</v>
      </c>
      <c r="E40" s="6">
        <f t="shared" si="0"/>
        <v>0.42755353355038234</v>
      </c>
      <c r="F40" s="6">
        <f>RECAPTONT20000!C44+RECAPTONT20000!D44+TONT20000JANV2017!L40</f>
        <v>3000</v>
      </c>
      <c r="G40" s="6"/>
      <c r="H40" s="7">
        <f t="shared" si="1"/>
        <v>13000</v>
      </c>
      <c r="I40" s="7">
        <f t="shared" si="2"/>
        <v>0</v>
      </c>
      <c r="J40" s="40" t="s">
        <v>220</v>
      </c>
      <c r="K40" s="7">
        <f t="shared" si="3"/>
        <v>20000</v>
      </c>
      <c r="L40" s="7">
        <v>3000</v>
      </c>
      <c r="M40" s="7">
        <v>500</v>
      </c>
      <c r="N40" s="7">
        <v>1000</v>
      </c>
      <c r="O40" s="7">
        <v>2500</v>
      </c>
      <c r="P40" s="7"/>
      <c r="Q40" s="2"/>
      <c r="R40" s="7"/>
      <c r="S40" s="2"/>
      <c r="T40" s="2"/>
      <c r="U40" s="2"/>
      <c r="V40" s="7"/>
      <c r="X40" s="1"/>
    </row>
    <row r="41" spans="1:24" x14ac:dyDescent="0.25">
      <c r="A41" s="1" t="s">
        <v>50</v>
      </c>
      <c r="B41" s="1" t="str">
        <f>VLOOKUP(A41,LISTADHERENT!A$5:H$51,2)</f>
        <v>TCHOUAMOU JEAN PAUL</v>
      </c>
      <c r="C41" s="6">
        <f>VLOOKUP(A41,FONDSDECAISSE!A$5:C$52,3,0)</f>
        <v>0</v>
      </c>
      <c r="D41" s="6">
        <v>0</v>
      </c>
      <c r="E41" s="6">
        <f t="shared" si="0"/>
        <v>0</v>
      </c>
      <c r="F41" s="6">
        <f>RECAPTONT20000!C45+RECAPTONT20000!D45+TONT20000JANV2017!L41</f>
        <v>0</v>
      </c>
      <c r="G41" s="6"/>
      <c r="H41" s="7">
        <f t="shared" si="1"/>
        <v>0</v>
      </c>
      <c r="I41" s="7">
        <f t="shared" si="2"/>
        <v>0</v>
      </c>
      <c r="J41" s="40" t="s">
        <v>219</v>
      </c>
      <c r="K41" s="7">
        <f t="shared" si="3"/>
        <v>0</v>
      </c>
      <c r="L41" s="7"/>
      <c r="M41" s="7"/>
      <c r="N41" s="7"/>
      <c r="O41" s="7"/>
      <c r="P41" s="7"/>
      <c r="Q41" s="2"/>
      <c r="R41" s="7"/>
      <c r="S41" s="2"/>
      <c r="T41" s="2"/>
      <c r="U41" s="2"/>
      <c r="V41" s="7"/>
      <c r="X41" s="1"/>
    </row>
    <row r="42" spans="1:24" x14ac:dyDescent="0.25">
      <c r="A42" s="1" t="s">
        <v>51</v>
      </c>
      <c r="B42" s="1" t="str">
        <f>VLOOKUP(A42,LISTADHERENT!A$5:H$51,2)</f>
        <v>TCHOUAMOU MATHIEU</v>
      </c>
      <c r="C42" s="6">
        <f>VLOOKUP(A42,FONDSDECAISSE!A$5:C$52,3,0)</f>
        <v>390000</v>
      </c>
      <c r="D42" s="6">
        <v>3437</v>
      </c>
      <c r="E42" s="6">
        <f t="shared" si="0"/>
        <v>56.499346726704303</v>
      </c>
      <c r="F42" s="6">
        <f>RECAPTONT20000!C46+RECAPTONT20000!D46+TONT20000JANV2017!L42</f>
        <v>396437</v>
      </c>
      <c r="G42" s="6"/>
      <c r="H42" s="7">
        <f t="shared" si="1"/>
        <v>13000</v>
      </c>
      <c r="I42" s="7">
        <f t="shared" si="2"/>
        <v>0</v>
      </c>
      <c r="J42" s="40" t="s">
        <v>220</v>
      </c>
      <c r="K42" s="7">
        <f t="shared" si="3"/>
        <v>20000</v>
      </c>
      <c r="L42" s="7">
        <v>3000</v>
      </c>
      <c r="M42" s="7">
        <v>500</v>
      </c>
      <c r="N42" s="7">
        <v>1000</v>
      </c>
      <c r="O42" s="7">
        <v>2500</v>
      </c>
      <c r="P42" s="7"/>
      <c r="Q42" s="7"/>
      <c r="R42" s="7"/>
      <c r="S42" s="2"/>
      <c r="T42" s="2"/>
      <c r="U42" s="2"/>
      <c r="V42" s="7"/>
      <c r="X42" s="1"/>
    </row>
    <row r="43" spans="1:24" x14ac:dyDescent="0.25">
      <c r="A43" s="1" t="s">
        <v>52</v>
      </c>
      <c r="B43" s="1" t="str">
        <f>VLOOKUP(A43,LISTADHERENT!A$5:H$51,2)</f>
        <v>TCHOUANTE FRANCOIS</v>
      </c>
      <c r="C43" s="6">
        <f>VLOOKUP(A43,FONDSDECAISSE!A$5:C$52,3,0)</f>
        <v>257119</v>
      </c>
      <c r="D43" s="6">
        <v>4925</v>
      </c>
      <c r="E43" s="6">
        <f t="shared" si="0"/>
        <v>43.474213362780944</v>
      </c>
      <c r="F43" s="6">
        <f>RECAPTONT20000!C47+RECAPTONT20000!D47+TONT20000JANV2017!L43</f>
        <v>305044</v>
      </c>
      <c r="G43" s="6"/>
      <c r="H43" s="7">
        <f t="shared" si="1"/>
        <v>13000</v>
      </c>
      <c r="I43" s="7">
        <f t="shared" si="2"/>
        <v>1000</v>
      </c>
      <c r="J43" s="40" t="s">
        <v>226</v>
      </c>
      <c r="K43" s="7">
        <f t="shared" si="3"/>
        <v>60000</v>
      </c>
      <c r="L43" s="7">
        <v>43000</v>
      </c>
      <c r="M43" s="7">
        <v>500</v>
      </c>
      <c r="N43" s="7">
        <v>1000</v>
      </c>
      <c r="O43" s="7">
        <v>2500</v>
      </c>
      <c r="P43" s="7"/>
      <c r="Q43" s="2"/>
      <c r="R43" s="7"/>
      <c r="S43" s="2"/>
      <c r="T43" s="2"/>
      <c r="U43" s="2"/>
      <c r="V43" s="7"/>
      <c r="X43" s="1"/>
    </row>
    <row r="44" spans="1:24" x14ac:dyDescent="0.25">
      <c r="A44" s="1" t="s">
        <v>53</v>
      </c>
      <c r="B44" s="1" t="str">
        <f>VLOOKUP(A44,LISTADHERENT!A$5:H$51,2)</f>
        <v>TCHOUTOU NANA CLAUDE</v>
      </c>
      <c r="C44" s="6">
        <f>VLOOKUP(A44,FONDSDECAISSE!A$5:C$52,3,0)</f>
        <v>0</v>
      </c>
      <c r="D44" s="6">
        <v>0</v>
      </c>
      <c r="E44" s="6">
        <f t="shared" si="0"/>
        <v>0.42755353355038234</v>
      </c>
      <c r="F44" s="6">
        <f>RECAPTONT20000!C48+RECAPTONT20000!D48+TONT20000JANV2017!L44</f>
        <v>3000</v>
      </c>
      <c r="G44" s="6"/>
      <c r="H44" s="7">
        <f t="shared" si="1"/>
        <v>13000</v>
      </c>
      <c r="I44" s="7">
        <f t="shared" si="2"/>
        <v>0</v>
      </c>
      <c r="J44" s="40" t="s">
        <v>220</v>
      </c>
      <c r="K44" s="7">
        <f t="shared" si="3"/>
        <v>20000</v>
      </c>
      <c r="L44" s="7">
        <v>3000</v>
      </c>
      <c r="M44" s="7">
        <v>500</v>
      </c>
      <c r="N44" s="7">
        <v>1000</v>
      </c>
      <c r="O44" s="7">
        <v>2500</v>
      </c>
      <c r="P44" s="7"/>
      <c r="Q44" s="2"/>
      <c r="R44" s="7"/>
      <c r="S44" s="2"/>
      <c r="T44" s="2"/>
      <c r="U44" s="2"/>
      <c r="V44" s="7"/>
      <c r="X44" s="1"/>
    </row>
    <row r="45" spans="1:24" x14ac:dyDescent="0.25">
      <c r="A45" s="1" t="s">
        <v>54</v>
      </c>
      <c r="B45" s="1" t="str">
        <f>VLOOKUP(A45,LISTADHERENT!A$5:H$51,2)</f>
        <v>TIEYAM ERNEST</v>
      </c>
      <c r="C45" s="6">
        <f>VLOOKUP(A45,FONDSDECAISSE!A$5:C$52,3,0)</f>
        <v>390000</v>
      </c>
      <c r="D45" s="6">
        <v>804</v>
      </c>
      <c r="E45" s="6">
        <f t="shared" si="0"/>
        <v>56.124097242091587</v>
      </c>
      <c r="F45" s="6">
        <f>RECAPTONT20000!C49+RECAPTONT20000!D49+TONT20000JANV2017!L45</f>
        <v>393804</v>
      </c>
      <c r="G45" s="6"/>
      <c r="H45" s="7">
        <f t="shared" si="1"/>
        <v>13000</v>
      </c>
      <c r="I45" s="7">
        <f t="shared" si="2"/>
        <v>0</v>
      </c>
      <c r="J45" s="40" t="s">
        <v>220</v>
      </c>
      <c r="K45" s="7">
        <f t="shared" si="3"/>
        <v>20000</v>
      </c>
      <c r="L45" s="7">
        <v>3000</v>
      </c>
      <c r="M45" s="7">
        <v>500</v>
      </c>
      <c r="N45" s="7">
        <v>1000</v>
      </c>
      <c r="O45" s="7">
        <v>2500</v>
      </c>
      <c r="P45" s="7"/>
      <c r="Q45" s="2"/>
      <c r="R45" s="7">
        <v>2500</v>
      </c>
      <c r="S45" s="7">
        <v>16500</v>
      </c>
      <c r="T45" s="2"/>
      <c r="U45" s="2"/>
      <c r="V45" s="7"/>
      <c r="X45" s="1"/>
    </row>
    <row r="46" spans="1:24" x14ac:dyDescent="0.25">
      <c r="A46" s="1" t="s">
        <v>55</v>
      </c>
      <c r="B46" s="1" t="str">
        <f>VLOOKUP(A46,LISTADHERENT!A$5:H$51,2)</f>
        <v>TUGMA PIERRE LOTI</v>
      </c>
      <c r="C46" s="6">
        <f>VLOOKUP(A46,FONDSDECAISSE!A$5:C$52,3,0)</f>
        <v>390000</v>
      </c>
      <c r="D46" s="6">
        <v>17636</v>
      </c>
      <c r="E46" s="6">
        <f t="shared" si="0"/>
        <v>58.522957600998268</v>
      </c>
      <c r="F46" s="6">
        <f>RECAPTONT20000!C50+RECAPTONT20000!D50+TONT20000JANV2017!L46</f>
        <v>410636</v>
      </c>
      <c r="G46" s="6"/>
      <c r="H46" s="7">
        <f>IF(J46="ECHEC",0,13000)</f>
        <v>13000</v>
      </c>
      <c r="I46" s="7">
        <f t="shared" si="2"/>
        <v>0</v>
      </c>
      <c r="J46" s="40" t="s">
        <v>220</v>
      </c>
      <c r="K46" s="7">
        <f t="shared" si="3"/>
        <v>20000</v>
      </c>
      <c r="L46" s="7">
        <v>3000</v>
      </c>
      <c r="M46" s="7">
        <v>500</v>
      </c>
      <c r="N46" s="7">
        <v>1000</v>
      </c>
      <c r="O46" s="7">
        <v>2500</v>
      </c>
      <c r="P46" s="7"/>
      <c r="Q46" s="2"/>
      <c r="R46" s="7"/>
      <c r="S46" s="2"/>
      <c r="T46" s="2"/>
      <c r="U46" s="2"/>
      <c r="V46" s="7">
        <v>10000</v>
      </c>
      <c r="X46" s="1" t="s">
        <v>227</v>
      </c>
    </row>
    <row r="47" spans="1:24" ht="18" x14ac:dyDescent="0.25">
      <c r="A47" s="1" t="s">
        <v>66</v>
      </c>
      <c r="B47" s="1" t="str">
        <f>VLOOKUP(A47,LISTADHERENT!A$5:H$51,2)</f>
        <v>YEPMOU JEAN JACQUES</v>
      </c>
      <c r="C47" s="6">
        <f>VLOOKUP(A47,FONDSDECAISSE!A$5:C$52,3,0)</f>
        <v>390000</v>
      </c>
      <c r="D47" s="6">
        <v>421237</v>
      </c>
      <c r="E47" s="6">
        <f t="shared" si="0"/>
        <v>116.04330216582088</v>
      </c>
      <c r="F47" s="6">
        <f>RECAPTONT20000!C51+RECAPTONT20000!D51+TONT20000JANV2017!L47</f>
        <v>814237</v>
      </c>
      <c r="G47" s="6"/>
      <c r="H47" s="7">
        <f t="shared" si="1"/>
        <v>13000</v>
      </c>
      <c r="I47" s="7">
        <f t="shared" si="2"/>
        <v>1000</v>
      </c>
      <c r="J47" s="40" t="s">
        <v>226</v>
      </c>
      <c r="K47" s="7">
        <f t="shared" si="3"/>
        <v>20000</v>
      </c>
      <c r="L47" s="7">
        <v>3000</v>
      </c>
      <c r="M47" s="7">
        <v>500</v>
      </c>
      <c r="N47" s="7">
        <v>1000</v>
      </c>
      <c r="O47" s="7">
        <v>2500</v>
      </c>
      <c r="P47" s="7"/>
      <c r="Q47" s="9"/>
      <c r="R47" s="7"/>
      <c r="S47" s="9"/>
      <c r="T47" s="2"/>
      <c r="U47" s="2"/>
      <c r="V47" s="7"/>
      <c r="X47" s="1"/>
    </row>
    <row r="48" spans="1:24" x14ac:dyDescent="0.25">
      <c r="A48" s="1" t="s">
        <v>178</v>
      </c>
      <c r="B48" s="1" t="str">
        <f>VLOOKUP(A48,LISTADHERENT!A$5:H$51,2)</f>
        <v>YOUMBI EMMANUEL</v>
      </c>
      <c r="C48" s="6">
        <f>VLOOKUP(A48,FONDSDECAISSE!A$5:C$52,3,0)</f>
        <v>390000</v>
      </c>
      <c r="D48" s="6">
        <v>1003279</v>
      </c>
      <c r="E48" s="6">
        <f t="shared" si="0"/>
        <v>227.49824232742358</v>
      </c>
      <c r="F48" s="6">
        <f>RECAPTONT20000!C52+RECAPTONT20000!D52+TONT20000JANV2017!L48</f>
        <v>1596279</v>
      </c>
      <c r="G48" s="6"/>
      <c r="H48" s="7">
        <f t="shared" si="1"/>
        <v>13000</v>
      </c>
      <c r="I48" s="7">
        <f t="shared" si="2"/>
        <v>1000</v>
      </c>
      <c r="J48" s="40" t="s">
        <v>226</v>
      </c>
      <c r="K48" s="7">
        <f t="shared" si="3"/>
        <v>220000</v>
      </c>
      <c r="L48" s="7">
        <v>203000</v>
      </c>
      <c r="M48" s="7">
        <v>500</v>
      </c>
      <c r="N48" s="7">
        <v>1000</v>
      </c>
      <c r="O48" s="7">
        <v>2500</v>
      </c>
      <c r="Q48" s="2"/>
      <c r="R48" s="7"/>
      <c r="S48" s="2"/>
      <c r="T48" s="2"/>
      <c r="U48" s="2"/>
      <c r="V48" s="7"/>
      <c r="X48" s="1"/>
    </row>
    <row r="49" spans="1:22" x14ac:dyDescent="0.25">
      <c r="A49" s="1"/>
      <c r="B49" s="1"/>
      <c r="C49" s="6"/>
      <c r="D49" s="6"/>
      <c r="E49" s="6"/>
      <c r="F49" s="6"/>
      <c r="G49" s="6"/>
      <c r="H49" s="6"/>
      <c r="I49" s="6"/>
      <c r="J49" s="6"/>
      <c r="K49" s="7"/>
      <c r="L49" s="7"/>
      <c r="M49" s="7"/>
      <c r="N49" s="7"/>
      <c r="O49" s="7"/>
      <c r="Q49" s="2"/>
      <c r="R49" s="7"/>
      <c r="S49" s="2"/>
      <c r="T49" s="2"/>
      <c r="U49" s="2"/>
    </row>
    <row r="50" spans="1:22" x14ac:dyDescent="0.25">
      <c r="A50" s="1"/>
      <c r="B50" s="1"/>
      <c r="C50" s="6"/>
      <c r="D50" s="6"/>
      <c r="E50" s="6"/>
      <c r="F50" s="6"/>
      <c r="G50" s="6"/>
      <c r="H50" s="6"/>
      <c r="I50" s="6"/>
      <c r="J50" s="6"/>
      <c r="L50" s="2"/>
      <c r="M50" s="25"/>
      <c r="Q50" s="2"/>
      <c r="R50" s="7"/>
      <c r="S50" s="2"/>
      <c r="T50" s="2"/>
      <c r="U50" s="2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22" ht="18" x14ac:dyDescent="0.25">
      <c r="A52" s="1" t="s">
        <v>56</v>
      </c>
      <c r="B52" s="1"/>
      <c r="C52" s="9">
        <f>SUM(C5:C48)</f>
        <v>12606142</v>
      </c>
      <c r="D52" s="9">
        <f t="shared" ref="D52:V52" si="4">SUM(D5:D48)</f>
        <v>4609226</v>
      </c>
      <c r="E52" s="9">
        <f t="shared" si="4"/>
        <v>2499.9999999999995</v>
      </c>
      <c r="F52" s="9">
        <f t="shared" si="4"/>
        <v>17541663</v>
      </c>
      <c r="G52" s="9">
        <f t="shared" si="4"/>
        <v>0</v>
      </c>
      <c r="H52" s="9">
        <f t="shared" si="4"/>
        <v>494000</v>
      </c>
      <c r="I52" s="9">
        <f t="shared" si="4"/>
        <v>16000</v>
      </c>
      <c r="J52" s="9"/>
      <c r="K52" s="9">
        <f t="shared" si="4"/>
        <v>1042000</v>
      </c>
      <c r="L52" s="9">
        <f t="shared" si="4"/>
        <v>396000</v>
      </c>
      <c r="M52" s="9">
        <f t="shared" si="4"/>
        <v>19000</v>
      </c>
      <c r="N52" s="9">
        <f t="shared" si="4"/>
        <v>38000</v>
      </c>
      <c r="O52" s="9">
        <f t="shared" si="4"/>
        <v>95000</v>
      </c>
      <c r="P52" s="9">
        <f t="shared" si="4"/>
        <v>0</v>
      </c>
      <c r="Q52" s="9">
        <f t="shared" si="4"/>
        <v>0</v>
      </c>
      <c r="R52" s="9">
        <f t="shared" si="4"/>
        <v>2500</v>
      </c>
      <c r="S52" s="9">
        <f t="shared" si="4"/>
        <v>16500</v>
      </c>
      <c r="T52" s="9">
        <f t="shared" si="4"/>
        <v>0</v>
      </c>
      <c r="U52" s="9">
        <f t="shared" si="4"/>
        <v>0</v>
      </c>
      <c r="V52" s="9">
        <f t="shared" si="4"/>
        <v>30000</v>
      </c>
    </row>
    <row r="56" spans="1:22" ht="18" x14ac:dyDescent="0.25">
      <c r="F56" s="9" t="s">
        <v>58</v>
      </c>
      <c r="G56" s="9">
        <f>+M52</f>
        <v>19000</v>
      </c>
    </row>
    <row r="57" spans="1:22" ht="18" x14ac:dyDescent="0.25">
      <c r="F57" s="9" t="s">
        <v>57</v>
      </c>
      <c r="G57" s="9">
        <f>+L52</f>
        <v>396000</v>
      </c>
    </row>
    <row r="58" spans="1:22" ht="18" x14ac:dyDescent="0.25">
      <c r="F58" s="9" t="s">
        <v>61</v>
      </c>
      <c r="G58" s="9">
        <v>0</v>
      </c>
    </row>
    <row r="59" spans="1:22" ht="18" x14ac:dyDescent="0.25">
      <c r="F59" s="9" t="s">
        <v>229</v>
      </c>
      <c r="G59" s="9">
        <f>+N52</f>
        <v>38000</v>
      </c>
    </row>
    <row r="60" spans="1:22" ht="18" x14ac:dyDescent="0.25">
      <c r="F60" s="9" t="s">
        <v>60</v>
      </c>
      <c r="G60" s="9">
        <f>+O52</f>
        <v>95000</v>
      </c>
    </row>
    <row r="61" spans="1:22" ht="18" x14ac:dyDescent="0.25">
      <c r="F61" s="9" t="s">
        <v>62</v>
      </c>
      <c r="G61" s="9">
        <f>+H52</f>
        <v>494000</v>
      </c>
    </row>
    <row r="62" spans="1:22" ht="18" x14ac:dyDescent="0.25">
      <c r="F62" s="9" t="s">
        <v>8</v>
      </c>
      <c r="G62" s="9">
        <v>12500</v>
      </c>
    </row>
    <row r="63" spans="1:22" ht="18" x14ac:dyDescent="0.25">
      <c r="F63" s="9"/>
      <c r="G63" s="9"/>
    </row>
    <row r="64" spans="1:22" ht="18" x14ac:dyDescent="0.25">
      <c r="F64" s="9" t="s">
        <v>56</v>
      </c>
      <c r="G64" s="9">
        <f>SUM(G56:G62)</f>
        <v>1054500</v>
      </c>
    </row>
    <row r="66" spans="6:8" ht="18" x14ac:dyDescent="0.25">
      <c r="F66" s="9" t="s">
        <v>230</v>
      </c>
    </row>
    <row r="67" spans="6:8" ht="18" x14ac:dyDescent="0.25">
      <c r="G67" s="9" t="s">
        <v>226</v>
      </c>
      <c r="H67" s="9">
        <v>587500</v>
      </c>
    </row>
    <row r="68" spans="6:8" ht="18" x14ac:dyDescent="0.25">
      <c r="G68" s="9" t="s">
        <v>220</v>
      </c>
      <c r="H68" s="9">
        <v>467000</v>
      </c>
    </row>
  </sheetData>
  <autoFilter ref="A4:S48">
    <sortState ref="A5:L48">
      <sortCondition ref="B5:B48"/>
    </sortState>
  </autoFilter>
  <dataValidations count="1">
    <dataValidation type="list" allowBlank="1" showInputMessage="1" showErrorMessage="1" sqref="J5:J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220</v>
      </c>
    </row>
    <row r="2" spans="1:1" x14ac:dyDescent="0.25">
      <c r="A2" t="s">
        <v>226</v>
      </c>
    </row>
    <row r="3" spans="1:1" x14ac:dyDescent="0.25">
      <c r="A3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pane xSplit="2" ySplit="4" topLeftCell="D14" activePane="bottomRight" state="frozen"/>
      <selection activeCell="B22" sqref="B22"/>
      <selection pane="topRight" activeCell="B22" sqref="B22"/>
      <selection pane="bottomLeft" activeCell="B22" sqref="B22"/>
      <selection pane="bottomRight" activeCell="I24" sqref="I2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8" width="15" style="2" bestFit="1" customWidth="1"/>
    <col min="9" max="9" width="15" bestFit="1" customWidth="1"/>
    <col min="10" max="10" width="17.5703125" style="4" bestFit="1" customWidth="1"/>
    <col min="11" max="11" width="15.7109375" style="2" customWidth="1"/>
    <col min="12" max="12" width="12.42578125" style="2" customWidth="1"/>
    <col min="13" max="13" width="9.7109375" style="2" customWidth="1"/>
    <col min="14" max="14" width="18.140625" customWidth="1"/>
    <col min="15" max="15" width="15" bestFit="1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20" x14ac:dyDescent="0.25">
      <c r="A2" s="1" t="s">
        <v>2</v>
      </c>
      <c r="B2" s="1" t="s">
        <v>3</v>
      </c>
      <c r="C2" s="1"/>
      <c r="D2" s="1"/>
      <c r="E2" s="1"/>
      <c r="F2" s="1"/>
      <c r="G2" s="1"/>
    </row>
    <row r="3" spans="1:20" x14ac:dyDescent="0.25">
      <c r="A3" s="1" t="s">
        <v>4</v>
      </c>
      <c r="B3" s="1" t="s">
        <v>5</v>
      </c>
      <c r="C3" s="1"/>
      <c r="D3" s="1"/>
      <c r="E3" s="1"/>
      <c r="F3" s="1"/>
      <c r="G3" s="1"/>
    </row>
    <row r="4" spans="1:20" ht="29.25" x14ac:dyDescent="0.25">
      <c r="A4" s="1" t="s">
        <v>6</v>
      </c>
      <c r="B4" s="1" t="s">
        <v>7</v>
      </c>
      <c r="C4" s="6" t="s">
        <v>188</v>
      </c>
      <c r="D4" s="1" t="s">
        <v>183</v>
      </c>
      <c r="E4" s="5" t="s">
        <v>186</v>
      </c>
      <c r="F4" s="5" t="s">
        <v>187</v>
      </c>
      <c r="G4" s="1" t="s">
        <v>184</v>
      </c>
      <c r="H4" s="5" t="s">
        <v>65</v>
      </c>
      <c r="I4" s="1" t="s">
        <v>57</v>
      </c>
      <c r="J4" s="5" t="s">
        <v>58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8</v>
      </c>
      <c r="R4" s="5" t="s">
        <v>182</v>
      </c>
      <c r="S4" s="5" t="s">
        <v>181</v>
      </c>
    </row>
    <row r="5" spans="1:2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$P$56/$F$56*F5</f>
        <v>1694.2955772261614</v>
      </c>
      <c r="F5" s="6">
        <f>RECAPTONT20000!C5+RECAPTONT20000!D5+TONT20000DEC2015!I5</f>
        <v>318145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</row>
    <row r="6" spans="1:2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2271.5367468535983</v>
      </c>
      <c r="F6" s="6">
        <f>RECAPTONT20000!C6+RECAPTONT20000!D6+TONT20000DEC2015!I6</f>
        <v>426536</v>
      </c>
      <c r="G6" s="6"/>
      <c r="H6" s="7">
        <f>I6+J6+K6+L6+M7+N7</f>
        <v>20000</v>
      </c>
      <c r="I6" s="7">
        <v>3000</v>
      </c>
      <c r="J6" s="7">
        <v>500</v>
      </c>
      <c r="K6" s="7">
        <v>1000</v>
      </c>
      <c r="L6" s="7">
        <v>2500</v>
      </c>
      <c r="M6" s="7"/>
      <c r="N6" s="7">
        <v>13000</v>
      </c>
      <c r="O6" s="7"/>
      <c r="P6" s="7">
        <f>IF(O6&lt;=500000,(O6*1*3/100),(O6*12/100))</f>
        <v>0</v>
      </c>
      <c r="Q6" s="2"/>
      <c r="R6" s="2"/>
      <c r="S6" s="2"/>
    </row>
    <row r="7" spans="1:20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2102.0139920900056</v>
      </c>
      <c r="F7" s="6">
        <f>RECAPTONT20000!C7+RECAPTONT20000!D7+TONT20000DEC2015!I7</f>
        <v>394704</v>
      </c>
      <c r="G7" s="6"/>
      <c r="H7" s="7">
        <f>I7+J7+K7+L7+M8+N8</f>
        <v>20000</v>
      </c>
      <c r="I7" s="7">
        <v>3000</v>
      </c>
      <c r="J7" s="7">
        <v>500</v>
      </c>
      <c r="K7" s="7">
        <v>1000</v>
      </c>
      <c r="L7" s="7">
        <v>2500</v>
      </c>
      <c r="M7" s="7"/>
      <c r="N7" s="7">
        <v>13000</v>
      </c>
      <c r="O7" s="7"/>
      <c r="P7" s="7">
        <f t="shared" ref="P7:P54" si="1">IF(O7&lt;=500000,(O7*1*3/100),(O7*12/100))</f>
        <v>0</v>
      </c>
      <c r="Q7" s="2"/>
      <c r="R7" s="2"/>
      <c r="S7" s="2"/>
    </row>
    <row r="8" spans="1:20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2102.7489173274198</v>
      </c>
      <c r="F8" s="6">
        <f>RECAPTONT20000!C8+RECAPTONT20000!D8+TONT20000DEC2015!I8</f>
        <v>394842</v>
      </c>
      <c r="G8" s="6"/>
      <c r="H8" s="7">
        <f t="shared" ref="H8:H49" si="2">I8+J8+K8+L8+M8+N8</f>
        <v>20000</v>
      </c>
      <c r="I8" s="7">
        <v>3000</v>
      </c>
      <c r="J8" s="7">
        <v>500</v>
      </c>
      <c r="K8" s="7">
        <v>1000</v>
      </c>
      <c r="L8" s="7">
        <v>2500</v>
      </c>
      <c r="M8" s="7"/>
      <c r="N8" s="7">
        <v>13000</v>
      </c>
      <c r="O8" s="2"/>
      <c r="P8" s="7">
        <f t="shared" si="1"/>
        <v>0</v>
      </c>
      <c r="Q8" s="2"/>
      <c r="R8" s="2"/>
      <c r="S8" s="2"/>
    </row>
    <row r="9" spans="1:20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2136.3744097117287</v>
      </c>
      <c r="F9" s="6">
        <f>RECAPTONT20000!C9+RECAPTONT20000!D9+TONT20000DEC2015!I9</f>
        <v>401156</v>
      </c>
      <c r="G9" s="6"/>
      <c r="H9" s="7">
        <f t="shared" si="2"/>
        <v>20000</v>
      </c>
      <c r="I9" s="7">
        <v>3000</v>
      </c>
      <c r="J9" s="7">
        <v>500</v>
      </c>
      <c r="K9" s="7">
        <v>1000</v>
      </c>
      <c r="L9" s="7">
        <v>2500</v>
      </c>
      <c r="M9" s="7"/>
      <c r="N9" s="7">
        <v>13000</v>
      </c>
      <c r="O9" s="2"/>
      <c r="P9" s="7">
        <f t="shared" si="1"/>
        <v>0</v>
      </c>
      <c r="Q9" s="2"/>
      <c r="R9" s="2"/>
      <c r="S9" s="2"/>
    </row>
    <row r="10" spans="1:20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2151.0143334628319</v>
      </c>
      <c r="F10" s="6">
        <f>RECAPTONT20000!C10+RECAPTONT20000!D10+TONT20000DEC2015!I10</f>
        <v>403905</v>
      </c>
      <c r="G10" s="6"/>
      <c r="H10" s="7">
        <f t="shared" si="2"/>
        <v>25000</v>
      </c>
      <c r="I10" s="7">
        <v>8000</v>
      </c>
      <c r="J10" s="7">
        <v>500</v>
      </c>
      <c r="K10" s="7">
        <v>1000</v>
      </c>
      <c r="L10" s="7">
        <v>2500</v>
      </c>
      <c r="M10" s="7"/>
      <c r="N10" s="7">
        <v>13000</v>
      </c>
      <c r="O10" s="2"/>
      <c r="P10" s="7">
        <f t="shared" si="1"/>
        <v>0</v>
      </c>
      <c r="Q10" s="2"/>
      <c r="R10" s="2"/>
      <c r="S10" s="2"/>
    </row>
    <row r="11" spans="1:20" x14ac:dyDescent="0.25">
      <c r="A11" s="1" t="s">
        <v>16</v>
      </c>
      <c r="B11" s="1" t="str">
        <f>VLOOKUP(A11,LISTADHERENT!A$5:H$51,2)</f>
        <v>DJOSSEU JOSUE</v>
      </c>
      <c r="C11" s="6">
        <f>VLOOKUP(A11,FONDSDECAISSE!A$5:C$52,3,0)</f>
        <v>0</v>
      </c>
      <c r="D11" s="6">
        <v>0</v>
      </c>
      <c r="E11" s="6">
        <f t="shared" si="0"/>
        <v>26.627725993276044</v>
      </c>
      <c r="F11" s="6">
        <f>RECAPTONT20000!C11+RECAPTONT20000!D11+TONT20000DEC2015!I11</f>
        <v>5000</v>
      </c>
      <c r="G11" s="6"/>
      <c r="H11" s="7">
        <f t="shared" si="2"/>
        <v>22000</v>
      </c>
      <c r="I11" s="7">
        <v>5000</v>
      </c>
      <c r="J11" s="7">
        <v>500</v>
      </c>
      <c r="K11" s="7">
        <v>1000</v>
      </c>
      <c r="L11" s="7">
        <v>2500</v>
      </c>
      <c r="M11" s="7"/>
      <c r="N11" s="7">
        <v>13000</v>
      </c>
      <c r="O11" s="2"/>
      <c r="P11" s="7">
        <f t="shared" si="1"/>
        <v>0</v>
      </c>
      <c r="Q11" s="2"/>
      <c r="R11" s="2"/>
      <c r="S11" s="2"/>
    </row>
    <row r="12" spans="1:20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7341.7380298688859</v>
      </c>
      <c r="F12" s="6">
        <f>RECAPTONT20000!C12+RECAPTONT20000!D12+TONT20000DEC2015!I12</f>
        <v>1378589</v>
      </c>
      <c r="G12" s="6"/>
      <c r="H12" s="7">
        <f t="shared" si="2"/>
        <v>20000</v>
      </c>
      <c r="I12" s="7">
        <v>3000</v>
      </c>
      <c r="J12" s="7">
        <v>500</v>
      </c>
      <c r="K12" s="7">
        <v>1000</v>
      </c>
      <c r="L12" s="7">
        <v>2500</v>
      </c>
      <c r="M12" s="7"/>
      <c r="N12" s="7">
        <v>13000</v>
      </c>
      <c r="O12" s="2"/>
      <c r="P12" s="7">
        <f t="shared" si="1"/>
        <v>0</v>
      </c>
      <c r="Q12" s="2"/>
      <c r="R12" s="2"/>
      <c r="S12" s="2"/>
    </row>
    <row r="13" spans="1:20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319134</v>
      </c>
      <c r="D13" s="6">
        <v>0</v>
      </c>
      <c r="E13" s="6">
        <f t="shared" si="0"/>
        <v>1715.5391770235969</v>
      </c>
      <c r="F13" s="6">
        <f>RECAPTONT20000!C13+RECAPTONT20000!D13+TONT20000DEC2015!I13</f>
        <v>322134</v>
      </c>
      <c r="G13" s="6"/>
      <c r="H13" s="7">
        <f t="shared" si="2"/>
        <v>20000</v>
      </c>
      <c r="I13" s="7">
        <v>3000</v>
      </c>
      <c r="J13" s="7">
        <v>500</v>
      </c>
      <c r="K13" s="7">
        <v>1000</v>
      </c>
      <c r="L13" s="7">
        <v>2500</v>
      </c>
      <c r="M13" s="7"/>
      <c r="N13" s="7">
        <v>13000</v>
      </c>
      <c r="O13" s="2"/>
      <c r="P13" s="7">
        <f t="shared" si="1"/>
        <v>0</v>
      </c>
      <c r="Q13" s="2"/>
      <c r="R13" s="2"/>
      <c r="S13" s="2"/>
    </row>
    <row r="14" spans="1:20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390000</v>
      </c>
      <c r="D14" s="6">
        <v>44734</v>
      </c>
      <c r="E14" s="6">
        <f t="shared" si="0"/>
        <v>2331.172201988139</v>
      </c>
      <c r="F14" s="6">
        <f>RECAPTONT20000!C14+RECAPTONT20000!D14+TONT20000DEC2015!I14</f>
        <v>437734</v>
      </c>
      <c r="G14" s="6"/>
      <c r="H14" s="7">
        <f t="shared" si="2"/>
        <v>20000</v>
      </c>
      <c r="I14" s="7">
        <v>3000</v>
      </c>
      <c r="J14" s="7">
        <v>500</v>
      </c>
      <c r="K14" s="7">
        <v>1000</v>
      </c>
      <c r="L14" s="7">
        <v>2500</v>
      </c>
      <c r="M14" s="7"/>
      <c r="N14" s="7">
        <v>13000</v>
      </c>
      <c r="O14" s="2"/>
      <c r="P14" s="7">
        <f t="shared" si="1"/>
        <v>0</v>
      </c>
      <c r="Q14" s="2"/>
      <c r="R14" s="2"/>
      <c r="S14" s="2"/>
    </row>
    <row r="15" spans="1:20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390000</v>
      </c>
      <c r="D15" s="6">
        <v>3318</v>
      </c>
      <c r="E15" s="6">
        <f t="shared" si="0"/>
        <v>2110.6094220406349</v>
      </c>
      <c r="F15" s="6">
        <f>RECAPTONT20000!C15+RECAPTONT20000!D15+TONT20000DEC2015!I15</f>
        <v>396318</v>
      </c>
      <c r="G15" s="6"/>
      <c r="H15" s="7">
        <f t="shared" si="2"/>
        <v>20000</v>
      </c>
      <c r="I15" s="7">
        <v>3000</v>
      </c>
      <c r="J15" s="7">
        <v>500</v>
      </c>
      <c r="K15" s="7">
        <v>1000</v>
      </c>
      <c r="L15" s="7">
        <v>2500</v>
      </c>
      <c r="M15" s="7"/>
      <c r="N15" s="7">
        <v>13000</v>
      </c>
      <c r="O15" s="2"/>
      <c r="P15" s="7">
        <f t="shared" si="1"/>
        <v>0</v>
      </c>
      <c r="Q15" s="2"/>
      <c r="R15" s="2"/>
      <c r="S15" s="2"/>
    </row>
    <row r="16" spans="1:20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390000</v>
      </c>
      <c r="D16" s="6">
        <v>1083990</v>
      </c>
      <c r="E16" s="6">
        <f t="shared" si="0"/>
        <v>7865.7770029617568</v>
      </c>
      <c r="F16" s="6">
        <f>RECAPTONT20000!C16+RECAPTONT20000!D16+TONT20000DEC2015!I16</f>
        <v>1476990</v>
      </c>
      <c r="G16" s="6"/>
      <c r="H16" s="7">
        <f t="shared" si="2"/>
        <v>20000</v>
      </c>
      <c r="I16" s="7">
        <v>3000</v>
      </c>
      <c r="J16" s="7">
        <v>500</v>
      </c>
      <c r="K16" s="7">
        <v>1000</v>
      </c>
      <c r="L16" s="7">
        <v>2500</v>
      </c>
      <c r="M16" s="7"/>
      <c r="N16" s="7">
        <v>13000</v>
      </c>
      <c r="O16" s="2"/>
      <c r="P16" s="7">
        <f t="shared" si="1"/>
        <v>0</v>
      </c>
      <c r="Q16" s="2"/>
      <c r="R16" s="2"/>
      <c r="S16" s="2"/>
    </row>
    <row r="17" spans="1:19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0</v>
      </c>
      <c r="D17" s="6">
        <v>0</v>
      </c>
      <c r="E17" s="6">
        <f t="shared" si="0"/>
        <v>15.976635595965627</v>
      </c>
      <c r="F17" s="6">
        <f>RECAPTONT20000!C17+RECAPTONT20000!D17+TONT20000DEC2015!I17</f>
        <v>3000</v>
      </c>
      <c r="G17" s="6"/>
      <c r="H17" s="7">
        <f t="shared" si="2"/>
        <v>20000</v>
      </c>
      <c r="I17" s="7">
        <v>3000</v>
      </c>
      <c r="J17" s="7">
        <v>500</v>
      </c>
      <c r="K17" s="7">
        <v>1000</v>
      </c>
      <c r="L17" s="7">
        <v>2500</v>
      </c>
      <c r="M17" s="7"/>
      <c r="N17" s="7">
        <v>13000</v>
      </c>
      <c r="O17" s="2"/>
      <c r="P17" s="7">
        <f t="shared" si="1"/>
        <v>0</v>
      </c>
      <c r="Q17" s="2"/>
      <c r="R17" s="2"/>
      <c r="S17" s="2"/>
    </row>
    <row r="18" spans="1:19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2139.3939938393664</v>
      </c>
      <c r="F18" s="6">
        <f>RECAPTONT20000!C18+RECAPTONT20000!D18+TONT20000DEC2015!I18</f>
        <v>401723</v>
      </c>
      <c r="G18" s="6"/>
      <c r="H18" s="7">
        <f t="shared" si="2"/>
        <v>20000</v>
      </c>
      <c r="I18" s="7">
        <v>3000</v>
      </c>
      <c r="J18" s="7">
        <v>500</v>
      </c>
      <c r="K18" s="7">
        <v>1000</v>
      </c>
      <c r="L18" s="7">
        <v>2500</v>
      </c>
      <c r="M18" s="7"/>
      <c r="N18" s="7">
        <v>13000</v>
      </c>
      <c r="O18" s="2"/>
      <c r="P18" s="7">
        <f t="shared" si="1"/>
        <v>0</v>
      </c>
      <c r="Q18" s="2"/>
      <c r="R18" s="2"/>
      <c r="S18" s="2"/>
    </row>
    <row r="19" spans="1:19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12795</v>
      </c>
      <c r="E19" s="6">
        <f t="shared" si="0"/>
        <v>84.116986412759019</v>
      </c>
      <c r="F19" s="6">
        <f>RECAPTONT20000!C19+RECAPTONT20000!D19+TONT20000DEC2015!I19</f>
        <v>15795</v>
      </c>
      <c r="G19" s="6"/>
      <c r="H19" s="7">
        <f t="shared" si="2"/>
        <v>20000</v>
      </c>
      <c r="I19" s="7">
        <v>3000</v>
      </c>
      <c r="J19" s="7">
        <v>500</v>
      </c>
      <c r="K19" s="7">
        <v>1000</v>
      </c>
      <c r="L19" s="7">
        <v>2500</v>
      </c>
      <c r="M19" s="7"/>
      <c r="N19" s="7">
        <v>13000</v>
      </c>
      <c r="O19" s="2"/>
      <c r="P19" s="7">
        <f t="shared" si="1"/>
        <v>0</v>
      </c>
      <c r="Q19" s="2"/>
      <c r="R19" s="2"/>
      <c r="S19" s="2"/>
    </row>
    <row r="20" spans="1:19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3104.7768741803907</v>
      </c>
      <c r="F20" s="6">
        <f>RECAPTONT20000!C20+RECAPTONT20000!D20+TONT20000DEC2015!I20</f>
        <v>582997</v>
      </c>
      <c r="G20" s="6"/>
      <c r="H20" s="7">
        <f t="shared" si="2"/>
        <v>23000</v>
      </c>
      <c r="I20" s="7">
        <v>6000</v>
      </c>
      <c r="J20" s="7">
        <v>500</v>
      </c>
      <c r="K20" s="7">
        <v>1000</v>
      </c>
      <c r="L20" s="7">
        <v>2500</v>
      </c>
      <c r="M20" s="7"/>
      <c r="N20" s="7">
        <v>13000</v>
      </c>
      <c r="O20" s="2"/>
      <c r="P20" s="7">
        <f t="shared" si="1"/>
        <v>0</v>
      </c>
      <c r="Q20" s="2"/>
      <c r="R20" s="2"/>
      <c r="S20" s="2"/>
    </row>
    <row r="21" spans="1:19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2107.440722647435</v>
      </c>
      <c r="F21" s="6">
        <f>RECAPTONT20000!C21+RECAPTONT20000!D21+TONT20000DEC2015!I21</f>
        <v>395723</v>
      </c>
      <c r="G21" s="6"/>
      <c r="H21" s="7">
        <f t="shared" si="2"/>
        <v>20000</v>
      </c>
      <c r="I21" s="7">
        <v>3000</v>
      </c>
      <c r="J21" s="7">
        <v>500</v>
      </c>
      <c r="K21" s="7">
        <v>1000</v>
      </c>
      <c r="L21" s="7">
        <v>2500</v>
      </c>
      <c r="M21" s="7"/>
      <c r="N21" s="7">
        <v>13000</v>
      </c>
      <c r="O21" s="2"/>
      <c r="P21" s="7">
        <f t="shared" si="1"/>
        <v>0</v>
      </c>
      <c r="Q21" s="2"/>
      <c r="R21" s="2"/>
      <c r="S21" s="2"/>
    </row>
    <row r="22" spans="1:19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315000</v>
      </c>
      <c r="D22" s="6">
        <v>2099</v>
      </c>
      <c r="E22" s="6">
        <f t="shared" si="0"/>
        <v>1704.7016925443336</v>
      </c>
      <c r="F22" s="6">
        <f>RECAPTONT20000!C22+RECAPTONT20000!D22+TONT20000DEC2015!I22</f>
        <v>320099</v>
      </c>
      <c r="G22" s="6"/>
      <c r="H22" s="7">
        <f t="shared" si="2"/>
        <v>20000</v>
      </c>
      <c r="I22" s="7">
        <v>3000</v>
      </c>
      <c r="J22" s="7">
        <v>500</v>
      </c>
      <c r="K22" s="7">
        <v>1000</v>
      </c>
      <c r="L22" s="7">
        <v>2500</v>
      </c>
      <c r="M22" s="7"/>
      <c r="N22" s="7">
        <v>13000</v>
      </c>
      <c r="O22" s="2"/>
      <c r="P22" s="7">
        <f t="shared" si="1"/>
        <v>0</v>
      </c>
      <c r="Q22" s="2"/>
      <c r="R22" s="2"/>
      <c r="S22" s="2"/>
    </row>
    <row r="23" spans="1:19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2288.0086581530386</v>
      </c>
      <c r="F23" s="6">
        <f>RECAPTONT20000!C23+RECAPTONT20000!D23+TONT20000DEC2015!I23</f>
        <v>429629</v>
      </c>
      <c r="G23" s="6"/>
      <c r="H23" s="7">
        <f t="shared" si="2"/>
        <v>20000</v>
      </c>
      <c r="I23" s="7">
        <v>3000</v>
      </c>
      <c r="J23" s="7">
        <v>500</v>
      </c>
      <c r="K23" s="7">
        <v>1000</v>
      </c>
      <c r="L23" s="7">
        <v>2500</v>
      </c>
      <c r="M23" s="7"/>
      <c r="N23" s="7">
        <v>13000</v>
      </c>
      <c r="O23" s="2"/>
      <c r="P23" s="7">
        <f t="shared" si="1"/>
        <v>0</v>
      </c>
      <c r="Q23" s="2"/>
      <c r="R23" s="2"/>
      <c r="S23" s="2"/>
    </row>
    <row r="24" spans="1:19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390000</v>
      </c>
      <c r="D24" s="6">
        <v>0</v>
      </c>
      <c r="E24" s="6">
        <f t="shared" si="0"/>
        <v>2092.939263071497</v>
      </c>
      <c r="F24" s="6">
        <f>RECAPTONT20000!C24+RECAPTONT20000!D24+TONT20000DEC2015!I24</f>
        <v>393000</v>
      </c>
      <c r="G24" s="6"/>
      <c r="H24" s="7">
        <f t="shared" si="2"/>
        <v>20000</v>
      </c>
      <c r="I24" s="7">
        <v>3000</v>
      </c>
      <c r="J24" s="7">
        <v>500</v>
      </c>
      <c r="K24" s="7">
        <v>1000</v>
      </c>
      <c r="L24" s="7">
        <v>2500</v>
      </c>
      <c r="M24" s="7"/>
      <c r="N24" s="7">
        <v>13000</v>
      </c>
      <c r="O24" s="7">
        <v>600000</v>
      </c>
      <c r="P24" s="7">
        <f t="shared" si="1"/>
        <v>72000</v>
      </c>
      <c r="Q24" s="2"/>
      <c r="R24" s="2"/>
      <c r="S24" s="2"/>
    </row>
    <row r="25" spans="1:19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390000</v>
      </c>
      <c r="D25" s="6">
        <v>4331</v>
      </c>
      <c r="E25" s="6">
        <f t="shared" si="0"/>
        <v>2116.0041993268728</v>
      </c>
      <c r="F25" s="6">
        <f>RECAPTONT20000!C25+RECAPTONT20000!D25+TONT20000DEC2015!I25</f>
        <v>397331</v>
      </c>
      <c r="G25" s="6"/>
      <c r="H25" s="7">
        <f t="shared" si="2"/>
        <v>20000</v>
      </c>
      <c r="I25" s="7">
        <v>3000</v>
      </c>
      <c r="J25" s="7">
        <v>500</v>
      </c>
      <c r="K25" s="7">
        <v>1000</v>
      </c>
      <c r="L25" s="7">
        <v>2500</v>
      </c>
      <c r="M25" s="7"/>
      <c r="N25" s="7">
        <v>13000</v>
      </c>
      <c r="O25" s="2"/>
      <c r="P25" s="7">
        <f t="shared" si="1"/>
        <v>0</v>
      </c>
      <c r="Q25" s="2"/>
      <c r="R25" s="2"/>
      <c r="S25" s="2"/>
    </row>
    <row r="26" spans="1:19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2143.0579689360411</v>
      </c>
      <c r="F26" s="6">
        <f>RECAPTONT20000!C26+RECAPTONT20000!D26+TONT20000DEC2015!I26</f>
        <v>402411</v>
      </c>
      <c r="G26" s="6"/>
      <c r="H26" s="7">
        <f t="shared" si="2"/>
        <v>25000</v>
      </c>
      <c r="I26" s="7">
        <v>8000</v>
      </c>
      <c r="J26" s="7">
        <v>500</v>
      </c>
      <c r="K26" s="7">
        <v>1000</v>
      </c>
      <c r="L26" s="7">
        <v>2500</v>
      </c>
      <c r="M26" s="7"/>
      <c r="N26" s="7">
        <v>13000</v>
      </c>
      <c r="O26" s="2"/>
      <c r="P26" s="7">
        <f t="shared" si="1"/>
        <v>0</v>
      </c>
      <c r="Q26" s="2"/>
      <c r="R26" s="2"/>
      <c r="S26" s="2"/>
    </row>
    <row r="27" spans="1:19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2103.909886180727</v>
      </c>
      <c r="F27" s="6">
        <f>RECAPTONT20000!C27+RECAPTONT20000!D27+TONT20000DEC2015!I27</f>
        <v>395060</v>
      </c>
      <c r="G27" s="6"/>
      <c r="H27" s="7">
        <f t="shared" si="2"/>
        <v>20000</v>
      </c>
      <c r="I27" s="7">
        <v>3000</v>
      </c>
      <c r="J27" s="7">
        <v>500</v>
      </c>
      <c r="K27" s="7">
        <v>1000</v>
      </c>
      <c r="L27" s="7">
        <v>2500</v>
      </c>
      <c r="M27" s="7"/>
      <c r="N27" s="7">
        <v>13000</v>
      </c>
      <c r="O27" s="7">
        <v>400000</v>
      </c>
      <c r="P27" s="7">
        <f t="shared" si="1"/>
        <v>12000</v>
      </c>
      <c r="Q27" s="2"/>
      <c r="R27" s="2"/>
      <c r="S27" s="2"/>
    </row>
    <row r="28" spans="1:19" x14ac:dyDescent="0.25">
      <c r="A28" s="1" t="s">
        <v>33</v>
      </c>
      <c r="B28" s="1" t="str">
        <f>VLOOKUP(A28,LISTADHERENT!A$5:H$51,2)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RECAPTONT20000!C28+RECAPTONT20000!D28+TONT20000DEC2015!I28</f>
        <v>0</v>
      </c>
      <c r="G28" s="6"/>
      <c r="H28" s="7">
        <f t="shared" si="2"/>
        <v>0</v>
      </c>
      <c r="I28" s="7"/>
      <c r="J28" s="7"/>
      <c r="K28" s="7"/>
      <c r="L28" s="7"/>
      <c r="M28" s="7"/>
      <c r="N28" s="7"/>
      <c r="O28" s="2"/>
      <c r="P28" s="7">
        <f t="shared" si="1"/>
        <v>0</v>
      </c>
      <c r="Q28" s="2"/>
      <c r="R28" s="2"/>
      <c r="S28" s="2"/>
    </row>
    <row r="29" spans="1:19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3049.2687165748075</v>
      </c>
      <c r="F29" s="6">
        <f>RECAPTONT20000!C29+RECAPTONT20000!D29+TONT20000DEC2015!I29</f>
        <v>572574</v>
      </c>
      <c r="G29" s="6"/>
      <c r="H29" s="7">
        <f t="shared" si="2"/>
        <v>20000</v>
      </c>
      <c r="I29" s="7">
        <v>3000</v>
      </c>
      <c r="J29" s="7">
        <v>500</v>
      </c>
      <c r="K29" s="7">
        <v>1000</v>
      </c>
      <c r="L29" s="7">
        <v>2500</v>
      </c>
      <c r="M29" s="7"/>
      <c r="N29" s="7">
        <v>13000</v>
      </c>
      <c r="O29" s="2"/>
      <c r="P29" s="7">
        <f t="shared" si="1"/>
        <v>0</v>
      </c>
      <c r="Q29" s="2"/>
      <c r="R29" s="2"/>
      <c r="S29" s="2"/>
    </row>
    <row r="30" spans="1:19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15.976635595965627</v>
      </c>
      <c r="F30" s="6">
        <f>RECAPTONT20000!C30+RECAPTONT20000!D30+TONT20000DEC2015!I30</f>
        <v>3000</v>
      </c>
      <c r="G30" s="6"/>
      <c r="H30" s="7">
        <f t="shared" si="2"/>
        <v>20000</v>
      </c>
      <c r="I30" s="7">
        <v>3000</v>
      </c>
      <c r="J30" s="7">
        <v>500</v>
      </c>
      <c r="K30" s="7">
        <v>1000</v>
      </c>
      <c r="L30" s="7">
        <v>2500</v>
      </c>
      <c r="M30" s="7"/>
      <c r="N30" s="7">
        <v>13000</v>
      </c>
      <c r="O30" s="2"/>
      <c r="P30" s="7">
        <f t="shared" si="1"/>
        <v>0</v>
      </c>
      <c r="Q30" s="2"/>
      <c r="R30" s="2"/>
      <c r="S30" s="2"/>
    </row>
    <row r="31" spans="1:19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14889</v>
      </c>
      <c r="D31" s="6">
        <v>0</v>
      </c>
      <c r="E31" s="6">
        <f t="shared" si="0"/>
        <v>105.91976845605345</v>
      </c>
      <c r="F31" s="6">
        <f>RECAPTONT20000!C31+RECAPTONT20000!D31+TONT20000DEC2015!I31</f>
        <v>19889</v>
      </c>
      <c r="G31" s="6"/>
      <c r="H31" s="7">
        <f t="shared" si="2"/>
        <v>22000</v>
      </c>
      <c r="I31" s="7">
        <v>5000</v>
      </c>
      <c r="J31" s="7">
        <v>500</v>
      </c>
      <c r="K31" s="7">
        <v>1000</v>
      </c>
      <c r="L31" s="7">
        <v>2500</v>
      </c>
      <c r="M31" s="7"/>
      <c r="N31" s="7">
        <v>13000</v>
      </c>
      <c r="O31" s="2"/>
      <c r="P31" s="7">
        <f t="shared" si="1"/>
        <v>0</v>
      </c>
      <c r="Q31" s="2"/>
      <c r="R31" s="2"/>
      <c r="S31" s="2"/>
    </row>
    <row r="32" spans="1:19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2118.1503940419307</v>
      </c>
      <c r="F32" s="6">
        <f>RECAPTONT20000!C32+RECAPTONT20000!D32+TONT20000DEC2015!I32</f>
        <v>397734</v>
      </c>
      <c r="G32" s="6"/>
      <c r="H32" s="7">
        <f t="shared" si="2"/>
        <v>23000</v>
      </c>
      <c r="I32" s="7">
        <v>6000</v>
      </c>
      <c r="J32" s="7">
        <v>500</v>
      </c>
      <c r="K32" s="7">
        <v>1000</v>
      </c>
      <c r="L32" s="7">
        <v>2500</v>
      </c>
      <c r="M32" s="7"/>
      <c r="N32" s="7">
        <v>13000</v>
      </c>
      <c r="O32" s="2"/>
      <c r="P32" s="7">
        <f t="shared" si="1"/>
        <v>0</v>
      </c>
      <c r="Q32" s="2"/>
      <c r="R32" s="2"/>
      <c r="S32" s="2"/>
    </row>
    <row r="33" spans="1:19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0</v>
      </c>
      <c r="D33" s="6">
        <v>0</v>
      </c>
      <c r="E33" s="6">
        <f t="shared" si="0"/>
        <v>42.60436158924167</v>
      </c>
      <c r="F33" s="6">
        <f>RECAPTONT20000!C33+RECAPTONT20000!D33+TONT20000DEC2015!I33</f>
        <v>8000</v>
      </c>
      <c r="G33" s="6"/>
      <c r="H33" s="10">
        <f t="shared" si="2"/>
        <v>25000</v>
      </c>
      <c r="I33" s="7">
        <v>8000</v>
      </c>
      <c r="J33" s="7">
        <v>500</v>
      </c>
      <c r="K33" s="7">
        <v>1000</v>
      </c>
      <c r="L33" s="7">
        <v>2500</v>
      </c>
      <c r="M33" s="7"/>
      <c r="N33" s="7">
        <v>13000</v>
      </c>
      <c r="O33" s="24"/>
      <c r="P33" s="7">
        <f t="shared" si="1"/>
        <v>0</v>
      </c>
      <c r="Q33" s="24"/>
      <c r="R33" s="2"/>
      <c r="S33" s="2"/>
    </row>
    <row r="34" spans="1:19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2139.4792025625447</v>
      </c>
      <c r="F34" s="6">
        <f>RECAPTONT20000!C34+RECAPTONT20000!D34+TONT20000DEC2015!I34</f>
        <v>401739</v>
      </c>
      <c r="G34" s="6"/>
      <c r="H34" s="7">
        <f t="shared" si="2"/>
        <v>20000</v>
      </c>
      <c r="I34" s="7">
        <v>3000</v>
      </c>
      <c r="J34" s="7">
        <v>500</v>
      </c>
      <c r="K34" s="7">
        <v>1000</v>
      </c>
      <c r="L34" s="7">
        <v>2500</v>
      </c>
      <c r="M34" s="7"/>
      <c r="N34" s="7">
        <v>13000</v>
      </c>
      <c r="O34" s="2"/>
      <c r="P34" s="7">
        <f t="shared" si="1"/>
        <v>0</v>
      </c>
      <c r="Q34" s="2"/>
      <c r="R34" s="24"/>
      <c r="S34" s="24"/>
    </row>
    <row r="35" spans="1:19" x14ac:dyDescent="0.25">
      <c r="A35" s="1" t="s">
        <v>40</v>
      </c>
      <c r="B35" s="1" t="str">
        <f>VLOOKUP(A35,LISTADHERENT!A$5:H$51,2)</f>
        <v>NKEPSEU HENANG RENE</v>
      </c>
      <c r="C35" s="6">
        <f>VLOOKUP(A35,FONDSDECAISSE!A$5:C$52,3,0)</f>
        <v>390000</v>
      </c>
      <c r="D35" s="6">
        <v>7983</v>
      </c>
      <c r="E35" s="6">
        <f t="shared" si="0"/>
        <v>2135.4530903923614</v>
      </c>
      <c r="F35" s="6">
        <f>RECAPTONT20000!C35+RECAPTONT20000!D35+TONT20000DEC2015!I35</f>
        <v>400983</v>
      </c>
      <c r="G35" s="6"/>
      <c r="H35" s="7">
        <f t="shared" si="2"/>
        <v>20000</v>
      </c>
      <c r="I35" s="7">
        <v>3000</v>
      </c>
      <c r="J35" s="7">
        <v>500</v>
      </c>
      <c r="K35" s="7">
        <v>1000</v>
      </c>
      <c r="L35" s="7">
        <v>2500</v>
      </c>
      <c r="M35" s="7"/>
      <c r="N35" s="7">
        <v>13000</v>
      </c>
      <c r="O35" s="2"/>
      <c r="P35" s="7">
        <f t="shared" si="1"/>
        <v>0</v>
      </c>
      <c r="Q35" s="2"/>
      <c r="R35" s="2"/>
      <c r="S35" s="2"/>
    </row>
    <row r="36" spans="1:19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0</v>
      </c>
      <c r="E36" s="6">
        <f t="shared" si="0"/>
        <v>15.976635595965627</v>
      </c>
      <c r="F36" s="6">
        <f>RECAPTONT20000!C36+RECAPTONT20000!D36+TONT20000DEC2015!I36</f>
        <v>3000</v>
      </c>
      <c r="G36" s="6"/>
      <c r="H36" s="7">
        <f t="shared" si="2"/>
        <v>20000</v>
      </c>
      <c r="I36" s="7">
        <v>3000</v>
      </c>
      <c r="J36" s="7">
        <v>500</v>
      </c>
      <c r="K36" s="7">
        <v>1000</v>
      </c>
      <c r="L36" s="7">
        <v>2500</v>
      </c>
      <c r="M36" s="7"/>
      <c r="N36" s="7">
        <v>13000</v>
      </c>
      <c r="O36" s="2"/>
      <c r="P36" s="7">
        <f t="shared" si="1"/>
        <v>0</v>
      </c>
      <c r="Q36" s="2"/>
      <c r="R36" s="2"/>
      <c r="S36" s="2"/>
    </row>
    <row r="37" spans="1:19" x14ac:dyDescent="0.25">
      <c r="A37" s="1" t="s">
        <v>42</v>
      </c>
      <c r="B37" s="1" t="str">
        <f>VLOOKUP(A37,LISTADHERENT!A$5:H$51,2)</f>
        <v>NTOMBOU ADOLPHE</v>
      </c>
      <c r="C37" s="6">
        <f>VLOOKUP(A37,FONDSDECAISSE!A$5:C$52,3,0)</f>
        <v>0</v>
      </c>
      <c r="D37" s="6">
        <v>0</v>
      </c>
      <c r="E37" s="6">
        <f t="shared" si="0"/>
        <v>15.976635595965627</v>
      </c>
      <c r="F37" s="6">
        <f>RECAPTONT20000!C37+RECAPTONT20000!D37+TONT20000DEC2015!I37</f>
        <v>3000</v>
      </c>
      <c r="G37" s="6"/>
      <c r="H37" s="7">
        <f t="shared" si="2"/>
        <v>20000</v>
      </c>
      <c r="I37" s="7">
        <v>3000</v>
      </c>
      <c r="J37" s="7">
        <v>500</v>
      </c>
      <c r="K37" s="7">
        <v>1000</v>
      </c>
      <c r="L37" s="7">
        <v>2500</v>
      </c>
      <c r="M37" s="7"/>
      <c r="N37" s="7">
        <v>13000</v>
      </c>
      <c r="O37" s="2"/>
      <c r="P37" s="7">
        <f t="shared" si="1"/>
        <v>0</v>
      </c>
      <c r="Q37" s="2"/>
      <c r="R37" s="2"/>
      <c r="S37" s="2"/>
    </row>
    <row r="38" spans="1:19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2093.6848393993087</v>
      </c>
      <c r="F38" s="6">
        <f>RECAPTONT20000!C38+RECAPTONT20000!D38+TONT20000DEC2015!I38</f>
        <v>393140</v>
      </c>
      <c r="G38" s="6"/>
      <c r="H38" s="7">
        <f t="shared" si="2"/>
        <v>20000</v>
      </c>
      <c r="I38" s="7">
        <v>3000</v>
      </c>
      <c r="J38" s="7">
        <v>500</v>
      </c>
      <c r="K38" s="7">
        <v>1000</v>
      </c>
      <c r="L38" s="7">
        <v>2500</v>
      </c>
      <c r="M38" s="7"/>
      <c r="N38" s="7">
        <v>13000</v>
      </c>
      <c r="O38" s="2"/>
      <c r="P38" s="7">
        <f t="shared" si="1"/>
        <v>0</v>
      </c>
      <c r="Q38" s="2"/>
      <c r="R38" s="2"/>
      <c r="S38" s="2"/>
    </row>
    <row r="39" spans="1:19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2106.9560980343576</v>
      </c>
      <c r="F39" s="6">
        <f>RECAPTONT20000!C39+RECAPTONT20000!D39+TONT20000DEC2015!I39</f>
        <v>395632</v>
      </c>
      <c r="G39" s="6"/>
      <c r="H39" s="7">
        <f t="shared" si="2"/>
        <v>20000</v>
      </c>
      <c r="I39" s="7">
        <v>3000</v>
      </c>
      <c r="J39" s="7">
        <v>500</v>
      </c>
      <c r="K39" s="7">
        <v>1000</v>
      </c>
      <c r="L39" s="7">
        <v>2500</v>
      </c>
      <c r="M39" s="7"/>
      <c r="N39" s="7">
        <v>13000</v>
      </c>
      <c r="O39" s="2"/>
      <c r="P39" s="7">
        <f t="shared" si="1"/>
        <v>0</v>
      </c>
      <c r="Q39" s="2"/>
      <c r="R39" s="2"/>
      <c r="S39" s="2"/>
    </row>
    <row r="40" spans="1:19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0</v>
      </c>
      <c r="D40" s="6">
        <v>0</v>
      </c>
      <c r="E40" s="6">
        <f t="shared" si="0"/>
        <v>15.976635595965627</v>
      </c>
      <c r="F40" s="6">
        <f>RECAPTONT20000!C40+RECAPTONT20000!D40+TONT20000DEC2015!I40</f>
        <v>3000</v>
      </c>
      <c r="G40" s="6"/>
      <c r="H40" s="7">
        <f t="shared" si="2"/>
        <v>20000</v>
      </c>
      <c r="I40" s="7">
        <v>3000</v>
      </c>
      <c r="J40" s="7">
        <v>500</v>
      </c>
      <c r="K40" s="7">
        <v>1000</v>
      </c>
      <c r="L40" s="7">
        <v>2500</v>
      </c>
      <c r="M40" s="7"/>
      <c r="N40" s="7">
        <v>13000</v>
      </c>
      <c r="O40" s="2"/>
      <c r="P40" s="7">
        <f t="shared" si="1"/>
        <v>0</v>
      </c>
      <c r="Q40" s="2"/>
      <c r="R40" s="2"/>
      <c r="S40" s="2"/>
    </row>
    <row r="41" spans="1:19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2098.1689484565763</v>
      </c>
      <c r="F41" s="6">
        <f>RECAPTONT20000!C41+RECAPTONT20000!D41+TONT20000DEC2015!I41</f>
        <v>393982</v>
      </c>
      <c r="G41" s="6"/>
      <c r="H41" s="7">
        <f t="shared" si="2"/>
        <v>20000</v>
      </c>
      <c r="I41" s="7">
        <v>3000</v>
      </c>
      <c r="J41" s="7">
        <v>500</v>
      </c>
      <c r="K41" s="7">
        <v>1000</v>
      </c>
      <c r="L41" s="7">
        <v>2500</v>
      </c>
      <c r="M41" s="7"/>
      <c r="N41" s="7">
        <v>13000</v>
      </c>
      <c r="O41" s="2"/>
      <c r="P41" s="7">
        <f t="shared" si="1"/>
        <v>0</v>
      </c>
      <c r="Q41" s="2"/>
      <c r="R41" s="2"/>
      <c r="S41" s="2"/>
    </row>
    <row r="42" spans="1:19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390000</v>
      </c>
      <c r="D42" s="6">
        <v>636</v>
      </c>
      <c r="E42" s="6">
        <f t="shared" si="0"/>
        <v>2096.3263098178418</v>
      </c>
      <c r="F42" s="6">
        <f>RECAPTONT20000!C42+RECAPTONT20000!D42+TONT20000DEC2015!I42</f>
        <v>393636</v>
      </c>
      <c r="G42" s="6"/>
      <c r="H42" s="7">
        <f t="shared" si="2"/>
        <v>20000</v>
      </c>
      <c r="I42" s="7">
        <v>3000</v>
      </c>
      <c r="J42" s="7">
        <v>500</v>
      </c>
      <c r="K42" s="7">
        <v>1000</v>
      </c>
      <c r="L42" s="7">
        <v>2500</v>
      </c>
      <c r="M42" s="7"/>
      <c r="N42" s="7">
        <v>13000</v>
      </c>
      <c r="O42" s="2"/>
      <c r="P42" s="7">
        <f t="shared" si="1"/>
        <v>0</v>
      </c>
      <c r="Q42" s="2"/>
      <c r="R42" s="2"/>
      <c r="S42" s="2"/>
    </row>
    <row r="43" spans="1:19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390000</v>
      </c>
      <c r="D43" s="6">
        <v>146079</v>
      </c>
      <c r="E43" s="6">
        <f t="shared" si="0"/>
        <v>7557.369354962435</v>
      </c>
      <c r="F43" s="6">
        <f>RECAPTONT20000!C43+RECAPTONT20000!D43+TONT20000DEC2015!I43</f>
        <v>1419079</v>
      </c>
      <c r="G43" s="6"/>
      <c r="H43" s="7">
        <f t="shared" si="2"/>
        <v>900000</v>
      </c>
      <c r="I43" s="7">
        <v>883000</v>
      </c>
      <c r="J43" s="7">
        <v>500</v>
      </c>
      <c r="K43" s="7">
        <v>1000</v>
      </c>
      <c r="L43" s="7">
        <v>2500</v>
      </c>
      <c r="M43" s="7"/>
      <c r="N43" s="7">
        <v>13000</v>
      </c>
      <c r="O43" s="2"/>
      <c r="P43" s="7">
        <f t="shared" si="1"/>
        <v>0</v>
      </c>
      <c r="Q43" s="2"/>
      <c r="R43" s="2"/>
      <c r="S43" s="2"/>
    </row>
    <row r="44" spans="1:19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0</v>
      </c>
      <c r="D44" s="6">
        <v>0</v>
      </c>
      <c r="E44" s="6">
        <f t="shared" si="0"/>
        <v>15.976635595965627</v>
      </c>
      <c r="F44" s="6">
        <f>RECAPTONT20000!C44+RECAPTONT20000!D44+TONT20000DEC2015!I44</f>
        <v>3000</v>
      </c>
      <c r="G44" s="6"/>
      <c r="H44" s="7">
        <f t="shared" si="2"/>
        <v>20000</v>
      </c>
      <c r="I44" s="7">
        <v>3000</v>
      </c>
      <c r="J44" s="7">
        <v>500</v>
      </c>
      <c r="K44" s="7">
        <v>1000</v>
      </c>
      <c r="L44" s="7">
        <v>2500</v>
      </c>
      <c r="M44" s="7"/>
      <c r="N44" s="7">
        <v>13000</v>
      </c>
      <c r="O44" s="2"/>
      <c r="P44" s="7">
        <f t="shared" si="1"/>
        <v>0</v>
      </c>
      <c r="Q44" s="2"/>
      <c r="R44" s="2"/>
      <c r="S44" s="2"/>
    </row>
    <row r="45" spans="1:19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0</v>
      </c>
      <c r="E45" s="6">
        <f t="shared" si="0"/>
        <v>15.976635595965627</v>
      </c>
      <c r="F45" s="6">
        <f>RECAPTONT20000!C45+RECAPTONT20000!D45+TONT20000DEC2015!I45</f>
        <v>3000</v>
      </c>
      <c r="G45" s="6"/>
      <c r="H45" s="7">
        <f t="shared" si="2"/>
        <v>20000</v>
      </c>
      <c r="I45" s="7">
        <v>3000</v>
      </c>
      <c r="J45" s="7">
        <v>500</v>
      </c>
      <c r="K45" s="7">
        <v>1000</v>
      </c>
      <c r="L45" s="7">
        <v>2500</v>
      </c>
      <c r="M45" s="7"/>
      <c r="N45" s="7">
        <v>13000</v>
      </c>
      <c r="O45" s="2"/>
      <c r="P45" s="7">
        <f t="shared" si="1"/>
        <v>0</v>
      </c>
      <c r="Q45" s="2"/>
      <c r="R45" s="2"/>
      <c r="S45" s="2"/>
    </row>
    <row r="46" spans="1:19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2127.2197975152408</v>
      </c>
      <c r="F46" s="6">
        <f>RECAPTONT20000!C46+RECAPTONT20000!D46+TONT20000DEC2015!I46</f>
        <v>399437</v>
      </c>
      <c r="G46" s="6"/>
      <c r="H46" s="7">
        <f t="shared" si="2"/>
        <v>23000</v>
      </c>
      <c r="I46" s="7">
        <v>6000</v>
      </c>
      <c r="J46" s="7">
        <v>500</v>
      </c>
      <c r="K46" s="7">
        <v>1000</v>
      </c>
      <c r="L46" s="7">
        <v>2500</v>
      </c>
      <c r="M46" s="7"/>
      <c r="N46" s="7">
        <v>13000</v>
      </c>
      <c r="O46" s="7">
        <v>500000</v>
      </c>
      <c r="P46" s="7">
        <f t="shared" si="1"/>
        <v>15000</v>
      </c>
      <c r="Q46" s="2"/>
      <c r="R46" s="2"/>
      <c r="S46" s="2"/>
    </row>
    <row r="47" spans="1:19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257119</v>
      </c>
      <c r="D47" s="6">
        <v>4925</v>
      </c>
      <c r="E47" s="6">
        <f t="shared" si="0"/>
        <v>1411.5038016323711</v>
      </c>
      <c r="F47" s="6">
        <f>RECAPTONT20000!C47+RECAPTONT20000!D47+TONT20000DEC2015!I47</f>
        <v>265044</v>
      </c>
      <c r="G47" s="6"/>
      <c r="H47" s="7">
        <f t="shared" si="2"/>
        <v>20000</v>
      </c>
      <c r="I47" s="7">
        <v>3000</v>
      </c>
      <c r="J47" s="7">
        <v>500</v>
      </c>
      <c r="K47" s="7">
        <v>1000</v>
      </c>
      <c r="L47" s="7">
        <v>2500</v>
      </c>
      <c r="M47" s="7"/>
      <c r="N47" s="7">
        <v>13000</v>
      </c>
      <c r="O47" s="2"/>
      <c r="P47" s="7">
        <f t="shared" si="1"/>
        <v>0</v>
      </c>
      <c r="Q47" s="2"/>
      <c r="R47" s="2"/>
      <c r="S47" s="2"/>
    </row>
    <row r="48" spans="1:19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0</v>
      </c>
      <c r="E48" s="6">
        <f t="shared" si="0"/>
        <v>15.976635595965627</v>
      </c>
      <c r="F48" s="6">
        <f>RECAPTONT20000!C48+RECAPTONT20000!D48+TONT20000DEC2015!I48</f>
        <v>3000</v>
      </c>
      <c r="G48" s="6"/>
      <c r="H48" s="7">
        <f t="shared" si="2"/>
        <v>20000</v>
      </c>
      <c r="I48" s="7">
        <v>3000</v>
      </c>
      <c r="J48" s="7">
        <v>500</v>
      </c>
      <c r="K48" s="7">
        <v>1000</v>
      </c>
      <c r="L48" s="7">
        <v>2500</v>
      </c>
      <c r="M48" s="7"/>
      <c r="N48" s="7">
        <v>13000</v>
      </c>
      <c r="O48" s="2"/>
      <c r="P48" s="7">
        <f t="shared" si="1"/>
        <v>0</v>
      </c>
      <c r="Q48" s="2"/>
      <c r="R48" s="2"/>
      <c r="S48" s="2"/>
    </row>
    <row r="49" spans="1:19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390000</v>
      </c>
      <c r="D49" s="6">
        <v>804</v>
      </c>
      <c r="E49" s="6">
        <f t="shared" si="0"/>
        <v>2097.2210014112156</v>
      </c>
      <c r="F49" s="6">
        <f>RECAPTONT20000!C49+RECAPTONT20000!D49+TONT20000DEC2015!I49</f>
        <v>393804</v>
      </c>
      <c r="G49" s="6"/>
      <c r="H49" s="7">
        <f t="shared" si="2"/>
        <v>20000</v>
      </c>
      <c r="I49" s="7">
        <v>3000</v>
      </c>
      <c r="J49" s="7">
        <v>500</v>
      </c>
      <c r="K49" s="7">
        <v>1000</v>
      </c>
      <c r="L49" s="7">
        <v>2500</v>
      </c>
      <c r="M49" s="7"/>
      <c r="N49" s="7">
        <v>13000</v>
      </c>
      <c r="O49" s="2"/>
      <c r="P49" s="7">
        <f t="shared" si="1"/>
        <v>0</v>
      </c>
      <c r="Q49" s="2"/>
      <c r="R49" s="2"/>
      <c r="S49" s="2"/>
    </row>
    <row r="50" spans="1:19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2186.8605781949805</v>
      </c>
      <c r="F50" s="6">
        <f>RECAPTONT20000!C50+RECAPTONT20000!D50+TONT20000DEC2015!I50</f>
        <v>410636</v>
      </c>
      <c r="G50" s="6"/>
      <c r="H50" s="7">
        <f t="shared" ref="H50:H51" si="3">I50+J50+K50+L50+M50+N50</f>
        <v>20000</v>
      </c>
      <c r="I50" s="7">
        <v>3000</v>
      </c>
      <c r="J50" s="7">
        <v>500</v>
      </c>
      <c r="K50" s="7">
        <v>1000</v>
      </c>
      <c r="L50" s="7">
        <v>2500</v>
      </c>
      <c r="M50" s="7"/>
      <c r="N50" s="7">
        <v>13000</v>
      </c>
      <c r="O50" s="2"/>
      <c r="P50" s="7">
        <f t="shared" si="1"/>
        <v>0</v>
      </c>
      <c r="Q50" s="2"/>
      <c r="R50" s="2"/>
      <c r="S50" s="2"/>
    </row>
    <row r="51" spans="1:19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4336.2559459174208</v>
      </c>
      <c r="F51" s="6">
        <f>RECAPTONT20000!C51+RECAPTONT20000!D51+TONT20000DEC2015!I51</f>
        <v>814237</v>
      </c>
      <c r="G51" s="6"/>
      <c r="H51" s="7">
        <f t="shared" si="3"/>
        <v>20000</v>
      </c>
      <c r="I51" s="7">
        <v>3000</v>
      </c>
      <c r="J51" s="7">
        <v>500</v>
      </c>
      <c r="K51" s="7">
        <v>1000</v>
      </c>
      <c r="L51" s="7">
        <v>2500</v>
      </c>
      <c r="M51" s="7"/>
      <c r="N51" s="7">
        <v>13000</v>
      </c>
      <c r="O51" s="9"/>
      <c r="P51" s="7">
        <f t="shared" si="1"/>
        <v>0</v>
      </c>
      <c r="Q51" s="9"/>
      <c r="R51" s="2"/>
      <c r="S51" s="2"/>
    </row>
    <row r="52" spans="1:19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7435.9469244330958</v>
      </c>
      <c r="F52" s="6">
        <f>RECAPTONT20000!C52+RECAPTONT20000!D52+TONT20000DEC2015!I52</f>
        <v>1396279</v>
      </c>
      <c r="G52" s="6"/>
      <c r="H52" s="7">
        <f t="shared" ref="H52" si="4">I52+J52+K52+L52+M52+N52</f>
        <v>20000</v>
      </c>
      <c r="I52" s="7">
        <v>3000</v>
      </c>
      <c r="J52" s="7">
        <v>500</v>
      </c>
      <c r="K52" s="7">
        <v>1000</v>
      </c>
      <c r="L52" s="7">
        <v>2500</v>
      </c>
      <c r="N52" s="7">
        <v>13000</v>
      </c>
      <c r="O52" s="2"/>
      <c r="P52" s="7">
        <f t="shared" si="1"/>
        <v>0</v>
      </c>
      <c r="Q52" s="2"/>
      <c r="R52" s="2"/>
      <c r="S52" s="2"/>
    </row>
    <row r="53" spans="1:19" x14ac:dyDescent="0.25">
      <c r="A53" s="1"/>
      <c r="B53" s="1"/>
      <c r="C53" s="6"/>
      <c r="D53" s="6"/>
      <c r="E53" s="6"/>
      <c r="F53" s="6"/>
      <c r="G53" s="6"/>
      <c r="H53" s="7"/>
      <c r="I53" s="7"/>
      <c r="J53" s="7"/>
      <c r="K53" s="7"/>
      <c r="L53" s="7"/>
      <c r="N53" s="7"/>
      <c r="O53" s="2"/>
      <c r="P53" s="7"/>
      <c r="Q53" s="2"/>
      <c r="R53" s="2"/>
      <c r="S53" s="2"/>
    </row>
    <row r="54" spans="1:19" x14ac:dyDescent="0.25">
      <c r="A54" s="1"/>
      <c r="B54" s="1" t="s">
        <v>180</v>
      </c>
      <c r="C54" s="6"/>
      <c r="D54" s="6"/>
      <c r="E54" s="6"/>
      <c r="F54" s="6"/>
      <c r="G54" s="6"/>
      <c r="I54" s="2"/>
      <c r="J54" s="25"/>
      <c r="N54" s="7">
        <v>104000</v>
      </c>
      <c r="O54" s="2"/>
      <c r="P54" s="7">
        <f t="shared" si="1"/>
        <v>0</v>
      </c>
      <c r="Q54" s="2"/>
      <c r="R54" s="2"/>
      <c r="S54" s="2"/>
    </row>
    <row r="55" spans="1:19" x14ac:dyDescent="0.25">
      <c r="A55" s="1"/>
      <c r="B55" s="1"/>
      <c r="C55" s="1"/>
      <c r="D55" s="1"/>
      <c r="E55" s="1"/>
      <c r="F55" s="1"/>
      <c r="G55" s="1"/>
      <c r="N55" s="7"/>
    </row>
    <row r="56" spans="1:19" ht="18" x14ac:dyDescent="0.25">
      <c r="A56" s="1" t="s">
        <v>56</v>
      </c>
      <c r="B56" s="1"/>
      <c r="C56" s="9">
        <f>SUM(C5:C52)</f>
        <v>12996142</v>
      </c>
      <c r="D56" s="9">
        <f t="shared" ref="D56:R56" si="5">SUM(D5:D52)</f>
        <v>4617209</v>
      </c>
      <c r="E56" s="9">
        <f t="shared" si="5"/>
        <v>99000</v>
      </c>
      <c r="F56" s="9">
        <f t="shared" si="5"/>
        <v>18589646</v>
      </c>
      <c r="G56" s="9">
        <f t="shared" si="5"/>
        <v>0</v>
      </c>
      <c r="H56" s="9">
        <f t="shared" si="5"/>
        <v>1828000</v>
      </c>
      <c r="I56" s="9">
        <f t="shared" si="5"/>
        <v>1046000</v>
      </c>
      <c r="J56" s="9">
        <f t="shared" si="5"/>
        <v>23000</v>
      </c>
      <c r="K56" s="9">
        <f t="shared" si="5"/>
        <v>46000</v>
      </c>
      <c r="L56" s="9">
        <f t="shared" si="5"/>
        <v>115000</v>
      </c>
      <c r="M56" s="9">
        <f t="shared" si="5"/>
        <v>0</v>
      </c>
      <c r="N56" s="9">
        <f t="shared" si="5"/>
        <v>598000</v>
      </c>
      <c r="O56" s="9">
        <f t="shared" si="5"/>
        <v>1500000</v>
      </c>
      <c r="P56" s="9">
        <f t="shared" si="5"/>
        <v>99000</v>
      </c>
      <c r="Q56" s="9">
        <f t="shared" si="5"/>
        <v>0</v>
      </c>
      <c r="R56" s="9">
        <f t="shared" si="5"/>
        <v>0</v>
      </c>
    </row>
  </sheetData>
  <autoFilter ref="A4:Q49"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J6:J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17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3154.3597890100409</v>
      </c>
      <c r="D5" s="6">
        <f>TONT20000DEC2015!F5+TONT20000DEC2015!E5+TONT20000JANV!G5</f>
        <v>319839.29557722615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4258.6272210472434</v>
      </c>
      <c r="D6" s="6">
        <f>TONT20000DEC2015!F6+TONT20000DEC2015!E6+TONT20000JANV!G6</f>
        <v>431807.53674685361</v>
      </c>
      <c r="E6" s="1"/>
      <c r="F6" s="7">
        <f t="shared" ref="F6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3943.0177322802738</v>
      </c>
      <c r="D7" s="6">
        <f>TONT20000DEC2015!F7+TONT20000DEC2015!E7+TONT20000JANV!G7</f>
        <v>399806.01399209001</v>
      </c>
      <c r="E7" s="1"/>
      <c r="F7" s="7">
        <f t="shared" ref="F7:F51" si="2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3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3944.3859815090327</v>
      </c>
      <c r="D8" s="6">
        <f>TONT20000DEC2015!F8+TONT20000DEC2015!E8+TONT20000JANV!G8</f>
        <v>399944.74891732744</v>
      </c>
      <c r="E8" s="1"/>
      <c r="F8" s="7">
        <f t="shared" si="2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>
        <v>1000000</v>
      </c>
      <c r="N8" s="7">
        <f>IF(M8&lt;=500000,(M8*1*3/100),(M8*12/100))/2</f>
        <v>60000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4006.9883411494775</v>
      </c>
      <c r="D9" s="6">
        <f>TONT20000DEC2015!F9+TONT20000DEC2015!E9+TONT20000JANV!G9</f>
        <v>406292.37440971175</v>
      </c>
      <c r="E9" s="1"/>
      <c r="F9" s="7">
        <f t="shared" si="2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3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4034.2442623803267</v>
      </c>
      <c r="D10" s="6">
        <f>TONT20000DEC2015!F10+TONT20000DEC2015!E10+TONT20000JANV!G10</f>
        <v>409056.01433346281</v>
      </c>
      <c r="E10" s="1"/>
      <c r="F10" s="7">
        <f t="shared" si="2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3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49.574247418787671</v>
      </c>
      <c r="D11" s="6">
        <f>TONT20000DEC2015!F11+TONT20000DEC2015!E11+TONT20000JANV!G11</f>
        <v>5026.6277259932758</v>
      </c>
      <c r="E11" s="1"/>
      <c r="F11" s="7">
        <f t="shared" si="2"/>
        <v>0</v>
      </c>
      <c r="G11" s="7"/>
      <c r="H11" s="7"/>
      <c r="I11" s="7"/>
      <c r="J11" s="7"/>
      <c r="K11" s="7"/>
      <c r="L11" s="7"/>
      <c r="N11" s="7">
        <f t="shared" si="3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13895.33596089532</v>
      </c>
      <c r="D12" s="6">
        <f>TONT20000DEC2015!F12+TONT20000DEC2015!E12+TONT20000JANV!G12</f>
        <v>1408930.7380298688</v>
      </c>
      <c r="E12" s="1"/>
      <c r="F12" s="7">
        <f t="shared" si="2"/>
        <v>40000</v>
      </c>
      <c r="G12" s="7">
        <v>23000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3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3223.4971052439892</v>
      </c>
      <c r="D13" s="6">
        <f>TONT20000DEC2015!F13+TONT20000DEC2015!E13+TONT20000JANV!G13</f>
        <v>326849.53917702357</v>
      </c>
      <c r="E13" s="1"/>
      <c r="F13" s="7">
        <f t="shared" si="2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3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4369.6537055663603</v>
      </c>
      <c r="D14" s="6">
        <f>TONT20000DEC2015!F14+TONT20000DEC2015!E14+TONT20000JANV!G14</f>
        <v>443065.17220198811</v>
      </c>
      <c r="E14" s="1"/>
      <c r="F14" s="7">
        <f t="shared" si="2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3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3959.0202993470584</v>
      </c>
      <c r="D15" s="6">
        <f>TONT20000DEC2015!F15+TONT20000DEC2015!E15+TONT20000JANV!G15</f>
        <v>401428.60942204064</v>
      </c>
      <c r="E15" s="1"/>
      <c r="F15" s="7">
        <f t="shared" si="2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3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14673.720520658282</v>
      </c>
      <c r="D16" s="6">
        <f>TONT20000DEC2015!F16+TONT20000DEC2015!E16+TONT20000JANV!G16</f>
        <v>1487855.7770029618</v>
      </c>
      <c r="E16" s="1"/>
      <c r="F16" s="7">
        <f t="shared" si="2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3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59.331530094512352</v>
      </c>
      <c r="D17" s="6">
        <f>TONT20000DEC2015!F17+TONT20000DEC2015!E17+TONT20000JANV!G17</f>
        <v>6015.9766355959655</v>
      </c>
      <c r="E17" s="1"/>
      <c r="F17" s="7">
        <f t="shared" si="2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3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4012.6100608067682</v>
      </c>
      <c r="D18" s="6">
        <f>TONT20000DEC2015!F18+TONT20000DEC2015!E18+TONT20000JANV!G18</f>
        <v>406862.39399383939</v>
      </c>
      <c r="E18" s="1"/>
      <c r="F18" s="7">
        <f t="shared" si="2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3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186.19202923919002</v>
      </c>
      <c r="D19" s="6">
        <f>TONT20000DEC2015!F19+TONT20000DEC2015!E19+TONT20000JANV!G19</f>
        <v>18879.116986412759</v>
      </c>
      <c r="E19" s="1"/>
      <c r="F19" s="7">
        <f t="shared" si="2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3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5839.5014677686713</v>
      </c>
      <c r="D20" s="6">
        <f>TONT20000DEC2015!F20+TONT20000DEC2015!E20+TONT20000JANV!G20</f>
        <v>592101.77687418042</v>
      </c>
      <c r="E20" s="1"/>
      <c r="F20" s="7">
        <f t="shared" si="2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3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3953.1209639042227</v>
      </c>
      <c r="D21" s="6">
        <f>TONT20000DEC2015!F21+TONT20000DEC2015!E21+TONT20000JANV!G21</f>
        <v>400830.44072264741</v>
      </c>
      <c r="E21" s="1"/>
      <c r="F21" s="7">
        <f t="shared" si="2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3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3203.320386544543</v>
      </c>
      <c r="D22" s="6">
        <f>TONT20000DEC2015!F22+TONT20000DEC2015!E22+TONT20000JANV!G22</f>
        <v>324803.70169254433</v>
      </c>
      <c r="E22" s="1"/>
      <c r="F22" s="7">
        <f t="shared" si="2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3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4289.2938505005059</v>
      </c>
      <c r="D23" s="6">
        <f>TONT20000DEC2015!F23+TONT20000DEC2015!E23+TONT20000JANV!G23</f>
        <v>434917.00865815306</v>
      </c>
      <c r="E23" s="1"/>
      <c r="F23" s="7">
        <f t="shared" si="2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3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3926.1228287599511</v>
      </c>
      <c r="D24" s="6">
        <f>TONT20000DEC2015!F24+TONT20000DEC2015!E24+TONT20000JANV!G24</f>
        <v>398092.93926307152</v>
      </c>
      <c r="E24" s="1"/>
      <c r="F24" s="7">
        <f t="shared" ref="F24" si="4">G24+H24+I24+J24+K24+L24</f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3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3969.0640418741045</v>
      </c>
      <c r="D25" s="6">
        <f>TONT20000DEC2015!F25+TONT20000DEC2015!E25+TONT20000JANV!G25</f>
        <v>402447.00419932685</v>
      </c>
      <c r="E25" s="1"/>
      <c r="F25" s="7">
        <f t="shared" si="2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3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4019.4314772515932</v>
      </c>
      <c r="D26" s="6">
        <f>TONT20000DEC2015!F26+TONT20000DEC2015!E26+TONT20000JANV!G26</f>
        <v>407554.05796893605</v>
      </c>
      <c r="E26" s="1"/>
      <c r="F26" s="7">
        <f t="shared" si="2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3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3995.8590547685576</v>
      </c>
      <c r="D27" s="6">
        <f>TONT20000DEC2015!F27+TONT20000DEC2015!E27+TONT20000JANV!G27</f>
        <v>405163.90988618071</v>
      </c>
      <c r="E27" s="1"/>
      <c r="F27" s="7">
        <f t="shared" ref="F27:F28" si="5">G27+H27+I27+J27+K27+L27</f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3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TONT20000DEC2015!F28+TONT20000DEC2015!E28+TONT20000JANV!G28</f>
        <v>0</v>
      </c>
      <c r="E28" s="1"/>
      <c r="F28" s="7">
        <f t="shared" si="5"/>
        <v>0</v>
      </c>
      <c r="G28" s="7"/>
      <c r="H28" s="7"/>
      <c r="I28" s="7"/>
      <c r="J28" s="7"/>
      <c r="K28" s="7"/>
      <c r="L28" s="7"/>
      <c r="N28" s="7">
        <f t="shared" si="3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5706.5720099562259</v>
      </c>
      <c r="D29" s="6">
        <f>TONT20000DEC2015!F29+TONT20000DEC2015!E29+TONT20000JANV!G29</f>
        <v>578623.26871657476</v>
      </c>
      <c r="E29" s="1"/>
      <c r="F29" s="7">
        <f t="shared" si="2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3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59.331530094512352</v>
      </c>
      <c r="D30" s="6">
        <f>TONT20000DEC2015!F30+TONT20000DEC2015!E30+TONT20000JANV!G30</f>
        <v>6015.9766355959655</v>
      </c>
      <c r="E30" s="1"/>
      <c r="F30" s="7">
        <f t="shared" si="2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3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226.78342302569337</v>
      </c>
      <c r="D31" s="6">
        <f>TONT20000DEC2015!F31+TONT20000DEC2015!E31+TONT20000JANV!G31</f>
        <v>22994.919768456053</v>
      </c>
      <c r="E31" s="1"/>
      <c r="F31" s="7">
        <f t="shared" si="2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3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3973.0597262160591</v>
      </c>
      <c r="D32" s="6">
        <f>TONT20000DEC2015!F32+TONT20000DEC2015!E32+TONT20000JANV!G32</f>
        <v>402852.15039404191</v>
      </c>
      <c r="E32" s="1"/>
      <c r="F32" s="7">
        <f t="shared" si="2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3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138.49275915653976</v>
      </c>
      <c r="D33" s="6">
        <f>TONT20000DEC2015!F33+TONT20000DEC2015!E33+TONT20000JANV!G33</f>
        <v>14042.604361589241</v>
      </c>
      <c r="E33" s="1"/>
      <c r="F33" s="7">
        <f t="shared" si="2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3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4062.0803344705741</v>
      </c>
      <c r="D34" s="6">
        <f>TONT20000DEC2015!F34+TONT20000DEC2015!E34+TONT20000JANV!G34</f>
        <v>411878.47920256254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3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4005.2730721887874</v>
      </c>
      <c r="D35" s="6">
        <f>TONT20000DEC2015!F35+TONT20000DEC2015!E35+TONT20000JANV!G35</f>
        <v>406118.45309039234</v>
      </c>
      <c r="E35" s="1"/>
      <c r="F35" s="7">
        <f t="shared" si="2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3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59.331530094512352</v>
      </c>
      <c r="D36" s="6">
        <f>TONT20000DEC2015!F36+TONT20000DEC2015!E36+TONT20000JANV!G36</f>
        <v>6015.9766355959655</v>
      </c>
      <c r="E36" s="1"/>
      <c r="F36" s="7">
        <f t="shared" si="2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3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59.331530094512352</v>
      </c>
      <c r="D37" s="6">
        <f>TONT20000DEC2015!F37+TONT20000DEC2015!E37+TONT20000JANV!G37</f>
        <v>6015.9766355959655</v>
      </c>
      <c r="E37" s="1"/>
      <c r="F37" s="7">
        <f t="shared" si="2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3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3927.510907687677</v>
      </c>
      <c r="D38" s="6">
        <f>TONT20000DEC2015!F38+TONT20000DEC2015!E38+TONT20000JANV!G38</f>
        <v>398233.6848393993</v>
      </c>
      <c r="E38" s="1"/>
      <c r="F38" s="7">
        <f t="shared" si="2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3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3952.2187126012004</v>
      </c>
      <c r="D39" s="6">
        <f>TONT20000DEC2015!F39+TONT20000DEC2015!E39+TONT20000JANV!G39</f>
        <v>400738.95609803434</v>
      </c>
      <c r="E39" s="1"/>
      <c r="F39" s="7">
        <f t="shared" si="2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3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59.331530094512352</v>
      </c>
      <c r="D40" s="6">
        <f>TONT20000DEC2015!F40+TONT20000DEC2015!E40+TONT20000JANV!G40</f>
        <v>6015.9766355959655</v>
      </c>
      <c r="E40" s="1"/>
      <c r="F40" s="7">
        <f t="shared" si="2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3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3935.8592109530009</v>
      </c>
      <c r="D41" s="6">
        <f>TONT20000DEC2015!F41+TONT20000DEC2015!E41+TONT20000JANV!G41</f>
        <v>399080.16894845659</v>
      </c>
      <c r="E41" s="1"/>
      <c r="F41" s="7">
        <f t="shared" si="2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3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3932.4286730316207</v>
      </c>
      <c r="D42" s="6">
        <f>TONT20000DEC2015!F42+TONT20000DEC2015!E42+TONT20000JANV!G42</f>
        <v>398732.32630981784</v>
      </c>
      <c r="E42" s="1"/>
      <c r="F42" s="7">
        <f t="shared" si="2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3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14099.541672204397</v>
      </c>
      <c r="D43" s="6">
        <f>TONT20000DEC2015!F43+TONT20000DEC2015!E43+TONT20000JANV!G43</f>
        <v>1429636.3693549624</v>
      </c>
      <c r="E43" s="1"/>
      <c r="F43" s="7">
        <f t="shared" ref="F43" si="6">G43+H43+I43+J43+K43+L43</f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>IF(M43&lt;=500000,(M43*1*3/100),(M43*12/100))</f>
        <v>6000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59.331530094512352</v>
      </c>
      <c r="D44" s="6">
        <f>TONT20000DEC2015!F44+TONT20000DEC2015!E44+TONT20000JANV!G44</f>
        <v>6015.9766355959655</v>
      </c>
      <c r="E44" s="1"/>
      <c r="F44" s="7">
        <f t="shared" si="2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3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59.331530094512352</v>
      </c>
      <c r="D45" s="6">
        <f>TONT20000DEC2015!F45+TONT20000DEC2015!E45+TONT20000JANV!G45</f>
        <v>6015.9766355959655</v>
      </c>
      <c r="E45" s="1"/>
      <c r="F45" s="7">
        <f t="shared" si="2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3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3989.9447148868985</v>
      </c>
      <c r="D46" s="6">
        <f>TONT20000DEC2015!F46+TONT20000DEC2015!E46+TONT20000JANV!G46</f>
        <v>404564.21979751525</v>
      </c>
      <c r="E46" s="1"/>
      <c r="F46" s="7">
        <f t="shared" si="2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3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2687.0453298595116</v>
      </c>
      <c r="D47" s="6">
        <f>TONT20000DEC2015!F47+TONT20000DEC2015!E47+TONT20000JANV!G47</f>
        <v>272455.50380163238</v>
      </c>
      <c r="E47" s="1"/>
      <c r="F47" s="7">
        <f t="shared" si="2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3"/>
        <v>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29.744548451272603</v>
      </c>
      <c r="D48" s="6">
        <f>TONT20000DEC2015!F48+TONT20000DEC2015!E48+TONT20000JANV!G48</f>
        <v>3015.9766355959655</v>
      </c>
      <c r="E48" s="1"/>
      <c r="F48" s="7">
        <f t="shared" si="2"/>
        <v>0</v>
      </c>
      <c r="G48" s="7"/>
      <c r="H48" s="7"/>
      <c r="I48" s="7"/>
      <c r="J48" s="7"/>
      <c r="K48" s="7"/>
      <c r="L48" s="7"/>
      <c r="N48" s="7">
        <f t="shared" si="3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3934.0943677448918</v>
      </c>
      <c r="D49" s="6">
        <f>TONT20000DEC2015!F49+TONT20000DEC2015!E49+TONT20000JANV!G49</f>
        <v>398901.22100141121</v>
      </c>
      <c r="E49" s="1"/>
      <c r="F49" s="7">
        <f t="shared" si="2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>
        <v>1000000</v>
      </c>
      <c r="N49" s="7">
        <f t="shared" si="3"/>
        <v>120000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4100.9811142554991</v>
      </c>
      <c r="D50" s="6">
        <f>TONT20000DEC2015!F50+TONT20000DEC2015!E50+TONT20000JANV!G50</f>
        <v>415822.86057819496</v>
      </c>
      <c r="E50" s="1"/>
      <c r="F50" s="7">
        <f t="shared" si="2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3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8102.6242807495237</v>
      </c>
      <c r="D51" s="6">
        <f>TONT20000DEC2015!F51+TONT20000DEC2015!E51+TONT20000JANV!G51</f>
        <v>821573.25594591745</v>
      </c>
      <c r="E51" s="1"/>
      <c r="F51" s="7">
        <f t="shared" si="2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3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13873.483103974728</v>
      </c>
      <c r="D52" s="6">
        <f>TONT20000DEC2015!F52+TONT20000DEC2015!E52+TONT20000JANV!G52</f>
        <v>1406714.9469244331</v>
      </c>
      <c r="E52" s="1"/>
      <c r="F52" s="7">
        <f t="shared" ref="F52" si="7">G52+H52+I52+J52+K52+L52</f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3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x14ac:dyDescent="0.25">
      <c r="A54" s="1"/>
      <c r="B54" s="1" t="s">
        <v>180</v>
      </c>
      <c r="C54" s="1"/>
      <c r="D54" s="1"/>
      <c r="E54" s="1"/>
      <c r="F54" s="7"/>
      <c r="G54" s="7"/>
      <c r="H54" s="7"/>
      <c r="I54" s="7"/>
      <c r="J54" s="7"/>
      <c r="L54" s="7"/>
      <c r="N54" s="7">
        <f t="shared" si="3"/>
        <v>0</v>
      </c>
    </row>
    <row r="55" spans="1:17" x14ac:dyDescent="0.25">
      <c r="A55" s="1"/>
      <c r="B55" s="1"/>
      <c r="C55" s="1"/>
      <c r="D55" s="1"/>
      <c r="E55" s="1"/>
      <c r="H55" s="4"/>
    </row>
    <row r="56" spans="1:17" ht="18" x14ac:dyDescent="0.25">
      <c r="A56" s="8" t="s">
        <v>56</v>
      </c>
      <c r="B56" s="8"/>
      <c r="C56" s="9">
        <f>SUM(C5:C52)</f>
        <v>186000</v>
      </c>
      <c r="D56" s="9">
        <f t="shared" ref="D56:Q56" si="8">SUM(D5:D52)</f>
        <v>18859646</v>
      </c>
      <c r="E56" s="9">
        <f t="shared" si="8"/>
        <v>0</v>
      </c>
      <c r="F56" s="9">
        <f t="shared" si="8"/>
        <v>919000</v>
      </c>
      <c r="G56" s="9">
        <f t="shared" si="8"/>
        <v>171000</v>
      </c>
      <c r="H56" s="9">
        <f t="shared" si="8"/>
        <v>22000</v>
      </c>
      <c r="I56" s="9">
        <f t="shared" si="8"/>
        <v>44000</v>
      </c>
      <c r="J56" s="9">
        <f t="shared" si="8"/>
        <v>110000</v>
      </c>
      <c r="K56" s="9">
        <f t="shared" si="8"/>
        <v>0</v>
      </c>
      <c r="L56" s="9">
        <f t="shared" si="8"/>
        <v>572000</v>
      </c>
      <c r="M56" s="9">
        <f t="shared" si="8"/>
        <v>2200000</v>
      </c>
      <c r="N56" s="9">
        <f t="shared" si="8"/>
        <v>186000</v>
      </c>
      <c r="O56" s="9">
        <f t="shared" si="8"/>
        <v>0</v>
      </c>
      <c r="P56" s="9">
        <f t="shared" si="8"/>
        <v>0</v>
      </c>
      <c r="Q56" s="9">
        <f t="shared" si="8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4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378.47574347221672</v>
      </c>
      <c r="D5" s="6">
        <f>TONT20000JANV!C5+TONT20000JANV!D5+TONT20000FEV!G5</f>
        <v>322993.65536623617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514.48655439631432</v>
      </c>
      <c r="D6" s="6">
        <f>TONT20000JANV!C6+TONT20000JANV!D6+TONT20000FEV!G6</f>
        <v>439066.16396790085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476.61816147419518</v>
      </c>
      <c r="D7" s="6">
        <f>TONT20000JANV!C7+TONT20000JANV!D7+TONT20000FEV!G7</f>
        <v>406749.03172437026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476.78233080767262</v>
      </c>
      <c r="D8" s="6">
        <f>TONT20000JANV!C8+TONT20000JANV!D8+TONT20000FEV!G8</f>
        <v>406889.13489883649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/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484.29367263068906</v>
      </c>
      <c r="D9" s="6">
        <f>TONT20000JANV!C9+TONT20000JANV!D9+TONT20000FEV!G9</f>
        <v>413299.36275086121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/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487.56397333887281</v>
      </c>
      <c r="D10" s="6">
        <f>TONT20000JANV!C10+TONT20000JANV!D10+TONT20000FEV!G10</f>
        <v>416090.25859584316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M10" s="7">
        <v>250000</v>
      </c>
      <c r="N10" s="7">
        <f t="shared" si="2"/>
        <v>7500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5.9481642564273631</v>
      </c>
      <c r="D11" s="6">
        <f>TONT20000JANV!C11+TONT20000JANV!D11+TONT20000FEV!G11</f>
        <v>5076.2019734120631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M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1670.7466987357336</v>
      </c>
      <c r="D12" s="6">
        <f>TONT20000JANV!C12+TONT20000JANV!D12+TONT20000FEV!G12</f>
        <v>1425826.0739907641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M12" s="7"/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390.28650545640835</v>
      </c>
      <c r="D13" s="6">
        <f>TONT20000JANV!C13+TONT20000JANV!D13+TONT20000FEV!G13</f>
        <v>333073.03628226754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/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527.80806306500904</v>
      </c>
      <c r="D14" s="6">
        <f>TONT20000JANV!C14+TONT20000JANV!D14+TONT20000FEV!G14</f>
        <v>450434.82590755448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M14" s="7"/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478.53822889616993</v>
      </c>
      <c r="D15" s="6">
        <f>TONT20000JANV!C15+TONT20000JANV!D15+TONT20000FEV!G15</f>
        <v>408387.6297213877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/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1764.1411415605444</v>
      </c>
      <c r="D16" s="6">
        <f>TONT20000JANV!C16+TONT20000JANV!D16+TONT20000FEV!G16</f>
        <v>1505529.49752362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M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10.634215094270346</v>
      </c>
      <c r="D17" s="6">
        <f>TONT20000JANV!C17+TONT20000JANV!D17+TONT20000FEV!G17</f>
        <v>9075.3081656904778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M17" s="7"/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484.96819445736799</v>
      </c>
      <c r="D18" s="6">
        <f>TONT20000JANV!C18+TONT20000JANV!D18+TONT20000FEV!G18</f>
        <v>413875.00405464618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M18" s="7"/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25.855567426467971</v>
      </c>
      <c r="D19" s="6">
        <f>TONT20000JANV!C19+TONT20000JANV!D19+TONT20000FEV!G19</f>
        <v>22065.30901565195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M19" s="7"/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707.68301648170473</v>
      </c>
      <c r="D20" s="6">
        <f>TONT20000JANV!C20+TONT20000JANV!D20+TONT20000FEV!G20</f>
        <v>603941.2783419491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M20" s="7"/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477.83039734965507</v>
      </c>
      <c r="D21" s="6">
        <f>TONT20000JANV!C21+TONT20000JANV!D21+TONT20000FEV!G21</f>
        <v>407783.56168655166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/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387.86560260404252</v>
      </c>
      <c r="D22" s="6">
        <f>TONT20000JANV!C22+TONT20000JANV!D22+TONT20000FEV!G22</f>
        <v>331007.0220790889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/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518.16608880534034</v>
      </c>
      <c r="D23" s="6">
        <f>TONT20000JANV!C23+TONT20000JANV!D23+TONT20000FEV!G23</f>
        <v>442206.30250865355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/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474.59102709560477</v>
      </c>
      <c r="D24" s="6">
        <f>TONT20000JANV!C24+TONT20000JANV!D24+TONT20000FEV!G24</f>
        <v>405019.06209183147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479.74332697452206</v>
      </c>
      <c r="D25" s="6">
        <f>TONT20000JANV!C25+TONT20000JANV!D25+TONT20000FEV!G25</f>
        <v>409416.06824120093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/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485.78666185905234</v>
      </c>
      <c r="D26" s="6">
        <f>TONT20000JANV!C26+TONT20000JANV!D26+TONT20000FEV!G26</f>
        <v>414573.48944618762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/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488.81719833660935</v>
      </c>
      <c r="D27" s="6">
        <f>TONT20000JANV!C27+TONT20000JANV!D27+TONT20000FEV!G27</f>
        <v>417159.76894094929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TONT20000JANV!C28+TONT20000JANV!D28+TONT20000FEV!G28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M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688.21815673234221</v>
      </c>
      <c r="D29" s="6">
        <f>TONT20000JANV!C29+TONT20000JANV!D29+TONT20000FEV!G29</f>
        <v>587329.84072653099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M29" s="7"/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10.634215094270346</v>
      </c>
      <c r="D30" s="6">
        <f>TONT20000JANV!C30+TONT20000JANV!D30+TONT20000FEV!G30</f>
        <v>9075.3081656904778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M30" s="7"/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30.725924319630696</v>
      </c>
      <c r="D31" s="6">
        <f>TONT20000JANV!C31+TONT20000JANV!D31+TONT20000FEV!G31</f>
        <v>26221.703191481745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M31" s="7"/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486.08162173731398</v>
      </c>
      <c r="D32" s="6">
        <f>TONT20000JANV!C32+TONT20000JANV!D32+TONT20000FEV!G32</f>
        <v>414825.21012025798</v>
      </c>
      <c r="E32" s="1"/>
      <c r="F32" s="7">
        <f t="shared" si="1"/>
        <v>25000</v>
      </c>
      <c r="G32" s="7">
        <v>8000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/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23.647695891111638</v>
      </c>
      <c r="D33" s="6">
        <f>TONT20000JANV!C33+TONT20000JANV!D33+TONT20000FEV!G33</f>
        <v>20181.097120745781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7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496.76275615034501</v>
      </c>
      <c r="D34" s="6">
        <f>TONT20000JANV!C34+TONT20000JANV!D34+TONT20000FEV!G34</f>
        <v>423940.55953703308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 s="7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484.08786614741666</v>
      </c>
      <c r="D35" s="6">
        <f>TONT20000JANV!C35+TONT20000JANV!D35+TONT20000FEV!G35</f>
        <v>413123.72616258112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M35" s="7"/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7.118891460036072</v>
      </c>
      <c r="D36" s="6">
        <f>TONT20000JANV!C36+TONT20000JANV!D36+TONT20000FEV!G36</f>
        <v>6075.3081656904778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M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10.634215094270346</v>
      </c>
      <c r="D37" s="6">
        <f>TONT20000JANV!C37+TONT20000JANV!D37+TONT20000FEV!G37</f>
        <v>9075.3081656904778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M37" s="7"/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474.75757569478469</v>
      </c>
      <c r="D38" s="6">
        <f>TONT20000JANV!C38+TONT20000JANV!D38+TONT20000FEV!G38</f>
        <v>405161.19574708695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M38" s="7"/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477.7221407601881</v>
      </c>
      <c r="D39" s="6">
        <f>TONT20000JANV!C39+TONT20000JANV!D39+TONT20000FEV!G39</f>
        <v>407691.17481063557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/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10.634215094270346</v>
      </c>
      <c r="D40" s="6">
        <f>TONT20000JANV!C40+TONT20000JANV!D40+TONT20000FEV!G40</f>
        <v>9075.3081656904778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M40" s="7"/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475.75924655556707</v>
      </c>
      <c r="D41" s="6">
        <f>TONT20000JANV!C41+TONT20000JANV!D41+TONT20000FEV!G41</f>
        <v>406016.02815940959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/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475.34763358902234</v>
      </c>
      <c r="D42" s="6">
        <f>TONT20000JANV!C42+TONT20000JANV!D42+TONT20000FEV!G42</f>
        <v>405664.75498284947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/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1695.2483135097514</v>
      </c>
      <c r="D43" s="6">
        <f>TONT20000JANV!C43+TONT20000JANV!D43+TONT20000FEV!G43</f>
        <v>1446735.9110271668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/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10.634215094270346</v>
      </c>
      <c r="D44" s="6">
        <f>TONT20000JANV!C44+TONT20000JANV!D44+TONT20000FEV!G44</f>
        <v>9075.3081656904778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M44" s="7"/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10.634215094270346</v>
      </c>
      <c r="D45" s="6">
        <f>TONT20000JANV!C45+TONT20000JANV!D45+TONT20000FEV!G45</f>
        <v>9075.3081656904778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M45" s="7"/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482.24869375932934</v>
      </c>
      <c r="D46" s="6">
        <f>TONT20000JANV!C46+TONT20000JANV!D46+TONT20000FEV!G46</f>
        <v>411554.16451240215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329.43568251693478</v>
      </c>
      <c r="D47" s="6">
        <f>TONT20000JANV!C47+TONT20000JANV!D47+TONT20000FEV!G47</f>
        <v>281142.54913149192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500000</v>
      </c>
      <c r="N47" s="7">
        <f t="shared" si="2"/>
        <v>15000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7.0842221880906928</v>
      </c>
      <c r="D48" s="6">
        <f>TONT20000JANV!C48+TONT20000JANV!D48+TONT20000FEV!G48</f>
        <v>6045.7211840472382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M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475.54749190803824</v>
      </c>
      <c r="D49" s="6">
        <f>TONT20000JANV!C49+TONT20000JANV!D49+TONT20000FEV!G49</f>
        <v>405835.31536915607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495.57139206087533</v>
      </c>
      <c r="D50" s="6">
        <f>TONT20000JANV!C50+TONT20000JANV!D50+TONT20000FEV!G50</f>
        <v>422923.84169245046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M50" s="7"/>
      <c r="N50" s="7">
        <f t="shared" si="2"/>
        <v>0</v>
      </c>
    </row>
    <row r="51" spans="1:17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975.70840047254342</v>
      </c>
      <c r="D51" s="6">
        <f>TONT20000JANV!C51+TONT20000JANV!D51+TONT20000FEV!G51</f>
        <v>832675.88022666692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7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1668.1246845004428</v>
      </c>
      <c r="D52" s="6">
        <f>TONT20000JANV!C52+TONT20000JANV!D52+TONT20000FEV!G52</f>
        <v>1423588.4300284078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M52" s="7"/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M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48000</v>
      </c>
      <c r="M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22500.000000000004</v>
      </c>
      <c r="D56" s="9">
        <f t="shared" ref="D56:Q56" si="3">SUM(D5:D52)</f>
        <v>19201645.999999993</v>
      </c>
      <c r="E56" s="9">
        <f t="shared" si="3"/>
        <v>0</v>
      </c>
      <c r="F56" s="9">
        <f t="shared" si="3"/>
        <v>904000</v>
      </c>
      <c r="G56" s="9">
        <f t="shared" si="3"/>
        <v>156000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750000</v>
      </c>
      <c r="N56" s="9">
        <f t="shared" si="3"/>
        <v>22500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E11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984.27675549630408</v>
      </c>
      <c r="D5" s="6">
        <f>TONT20000FEV!C5+TONT20000FEV!D5+TONT20000MARS!G5</f>
        <v>323372.1311097084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1347.1224166616253</v>
      </c>
      <c r="D6" s="6">
        <f>TONT20000FEV!C6+TONT20000FEV!D6+TONT20000MARS!G6</f>
        <v>442580.65052229719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1248.6405996254989</v>
      </c>
      <c r="D7" s="6">
        <f>TONT20000FEV!C7+TONT20000FEV!D7+TONT20000MARS!G7</f>
        <v>410225.64988584444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1249.0675439190084</v>
      </c>
      <c r="D8" s="6">
        <f>TONT20000FEV!C8+TONT20000FEV!D8+TONT20000MARS!G8</f>
        <v>410365.91722964414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1268.6017922466692</v>
      </c>
      <c r="D9" s="6">
        <f>TONT20000FEV!C9+TONT20000FEV!D9+TONT20000MARS!G9</f>
        <v>416783.65642349189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1277.1066463253419</v>
      </c>
      <c r="D10" s="6">
        <f>TONT20000FEV!C10+TONT20000FEV!D10+TONT20000MARS!G10</f>
        <v>419577.82256918203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15.468996141638309</v>
      </c>
      <c r="D11" s="6">
        <f>TONT20000FEV!C11+TONT20000FEV!D11+TONT20000MARS!G11</f>
        <v>5082.1501376684901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4354.1314601979557</v>
      </c>
      <c r="D12" s="6">
        <f>TONT20000FEV!C12+TONT20000FEV!D12+TONT20000MARS!G12</f>
        <v>1430496.8206894998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1024.1235896257606</v>
      </c>
      <c r="D13" s="6">
        <f>TONT20000FEV!C13+TONT20000FEV!D13+TONT20000MARS!G13</f>
        <v>336463.32278772397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1381.7667804204384</v>
      </c>
      <c r="D14" s="6">
        <f>TONT20000FEV!C14+TONT20000FEV!D14+TONT20000MARS!G14</f>
        <v>453962.63397061947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1253.6339915800199</v>
      </c>
      <c r="D15" s="6">
        <f>TONT20000FEV!C15+TONT20000FEV!D15+TONT20000MARS!G15</f>
        <v>411866.16795028385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4597.0161912553322</v>
      </c>
      <c r="D16" s="6">
        <f>TONT20000FEV!C16+TONT20000FEV!D16+TONT20000MARS!G16</f>
        <v>1510293.6386651807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36.787066692640373</v>
      </c>
      <c r="D17" s="6">
        <f>TONT20000FEV!C17+TONT20000FEV!D17+TONT20000MARS!G17</f>
        <v>12085.942380784749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1270.355976409131</v>
      </c>
      <c r="D18" s="6">
        <f>TONT20000FEV!C18+TONT20000FEV!D18+TONT20000MARS!G18</f>
        <v>417359.97224910354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76.372227819092814</v>
      </c>
      <c r="D19" s="6">
        <f>TONT20000FEV!C19+TONT20000FEV!D19+TONT20000MARS!G19</f>
        <v>25091.164583078418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2284.817561943466</v>
      </c>
      <c r="D20" s="6">
        <f>TONT20000FEV!C20+TONT20000FEV!D20+TONT20000MARS!G20</f>
        <v>750648.9613584308</v>
      </c>
      <c r="E20" s="1"/>
      <c r="F20" s="7">
        <f t="shared" si="1"/>
        <v>163000</v>
      </c>
      <c r="G20" s="7">
        <v>146000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1251.7931810391651</v>
      </c>
      <c r="D21" s="6">
        <f>TONT20000FEV!C21+TONT20000FEV!D21+TONT20000MARS!G21</f>
        <v>411261.39208390133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1017.8277081961139</v>
      </c>
      <c r="D22" s="6">
        <f>TONT20000FEV!C22+TONT20000FEV!D22+TONT20000MARS!G22</f>
        <v>334394.88768169296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1356.6915376748427</v>
      </c>
      <c r="D23" s="6">
        <f>TONT20000FEV!C23+TONT20000FEV!D23+TONT20000MARS!G23</f>
        <v>445724.46859745891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1243.3687657404289</v>
      </c>
      <c r="D24" s="6">
        <f>TONT20000FEV!C24+TONT20000FEV!D24+TONT20000MARS!G24</f>
        <v>408493.65311892709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1256.7680101983158</v>
      </c>
      <c r="D25" s="6">
        <f>TONT20000FEV!C25+TONT20000FEV!D25+TONT20000MARS!G25</f>
        <v>412895.81156817544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1272.4845102782203</v>
      </c>
      <c r="D26" s="6">
        <f>TONT20000FEV!C26+TONT20000FEV!D26+TONT20000MARS!G26</f>
        <v>418059.2761080467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1295.5847738302127</v>
      </c>
      <c r="D27" s="6">
        <f>TONT20000FEV!C27+TONT20000FEV!D27+TONT20000MARS!G27</f>
        <v>425648.58613928588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TONT20000FEV!C28+TONT20000FEV!D28+TONT20000MARS!G28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1798.9346683681404</v>
      </c>
      <c r="D29" s="6">
        <f>TONT20000FEV!C29+TONT20000FEV!D29+TONT20000MARS!G29</f>
        <v>591018.05888326338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36.787066692640373</v>
      </c>
      <c r="D30" s="6">
        <f>TONT20000FEV!C30+TONT20000FEV!D30+TONT20000MARS!G30</f>
        <v>12085.942380784749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89.038241859866261</v>
      </c>
      <c r="D31" s="6">
        <f>TONT20000FEV!C31+TONT20000FEV!D31+TONT20000MARS!G31</f>
        <v>29252.429115801377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1282.3829619042829</v>
      </c>
      <c r="D32" s="6">
        <f>TONT20000FEV!C32+TONT20000FEV!D32+TONT20000MARS!G32</f>
        <v>421311.29174199532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>
        <v>1000000</v>
      </c>
      <c r="N32" s="7">
        <f>IF(M32&lt;=500000,(M32*1*3/100),(M32*12/100))/4</f>
        <v>30000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79.761731841936069</v>
      </c>
      <c r="D33" s="6">
        <f>TONT20000FEV!C33+TONT20000FEV!D33+TONT20000MARS!G33</f>
        <v>26204.744816636892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1316.248258876213</v>
      </c>
      <c r="D34" s="6">
        <f>TONT20000FEV!C34+TONT20000FEV!D34+TONT20000MARS!G34</f>
        <v>432437.32229318342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1268.0665649801683</v>
      </c>
      <c r="D35" s="6">
        <f>TONT20000FEV!C35+TONT20000FEV!D35+TONT20000MARS!G35</f>
        <v>416607.81402872852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18.513628706377112</v>
      </c>
      <c r="D36" s="6">
        <f>TONT20000FEV!C36+TONT20000FEV!D36+TONT20000MARS!G36</f>
        <v>6082.427057150514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36.787066692640373</v>
      </c>
      <c r="D37" s="6">
        <f>TONT20000FEV!C37+TONT20000FEV!D37+TONT20000MARS!G37</f>
        <v>12085.942380784749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1243.8018976323945</v>
      </c>
      <c r="D38" s="6">
        <f>TONT20000FEV!C38+TONT20000FEV!D38+TONT20000MARS!G38</f>
        <v>408635.95332278172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1251.5116453093872</v>
      </c>
      <c r="D39" s="6">
        <f>TONT20000FEV!C39+TONT20000FEV!D39+TONT20000MARS!G39</f>
        <v>411168.89695139573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36.787066692640373</v>
      </c>
      <c r="D40" s="6">
        <f>TONT20000FEV!C40+TONT20000FEV!D40+TONT20000MARS!G40</f>
        <v>12085.942380784749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1246.4068765826466</v>
      </c>
      <c r="D41" s="6">
        <f>TONT20000FEV!C41+TONT20000FEV!D41+TONT20000MARS!G41</f>
        <v>409491.78740596515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1245.3364220496451</v>
      </c>
      <c r="D42" s="6">
        <f>TONT20000FEV!C42+TONT20000FEV!D42+TONT20000MARS!G42</f>
        <v>409140.10261643847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4417.8511841436484</v>
      </c>
      <c r="D43" s="6">
        <f>TONT20000FEV!C43+TONT20000FEV!D43+TONT20000MARS!G43</f>
        <v>1451431.1593406766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36.787066692640373</v>
      </c>
      <c r="D44" s="6">
        <f>TONT20000FEV!C44+TONT20000FEV!D44+TONT20000MARS!G44</f>
        <v>12085.942380784749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36.787066692640373</v>
      </c>
      <c r="D45" s="6">
        <f>TONT20000FEV!C45+TONT20000FEV!D45+TONT20000MARS!G45</f>
        <v>12085.942380784749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1263.2835513731739</v>
      </c>
      <c r="D46" s="6">
        <f>TONT20000FEV!C46+TONT20000FEV!D46+TONT20000MARS!G46</f>
        <v>415036.41320616147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875.00426068819195</v>
      </c>
      <c r="D47" s="6">
        <f>TONT20000FEV!C47+TONT20000FEV!D47+TONT20000MARS!G47</f>
        <v>287471.98481400887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18.423466631014623</v>
      </c>
      <c r="D48" s="6">
        <f>TONT20000FEV!C48+TONT20000FEV!D48+TONT20000MARS!G48</f>
        <v>6052.8054062353285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1245.8561803200041</v>
      </c>
      <c r="D49" s="6">
        <f>TONT20000FEV!C49+TONT20000FEV!D49+TONT20000MARS!G49</f>
        <v>409310.86286106409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1297.9310089312155</v>
      </c>
      <c r="D50" s="6">
        <f>TONT20000FEV!C50+TONT20000FEV!D50+TONT20000MARS!G50</f>
        <v>426419.41308451135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2546.5914712834883</v>
      </c>
      <c r="D51" s="6">
        <f>TONT20000FEV!C51+TONT20000FEV!D51+TONT20000MARS!G51</f>
        <v>836651.58862713946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4347.3125617377782</v>
      </c>
      <c r="D52" s="6">
        <f>TONT20000FEV!C52+TONT20000FEV!D52+TONT20000MARS!G52</f>
        <v>1428256.5547129083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50500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59399.999999999993</v>
      </c>
      <c r="D56" s="9">
        <f t="shared" ref="D56:Q56" si="3">SUM(D5:D52)</f>
        <v>19515146</v>
      </c>
      <c r="E56" s="9">
        <f t="shared" si="3"/>
        <v>0</v>
      </c>
      <c r="F56" s="9">
        <f t="shared" si="3"/>
        <v>1022000</v>
      </c>
      <c r="G56" s="9">
        <f t="shared" si="3"/>
        <v>291000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1980000</v>
      </c>
      <c r="N56" s="9">
        <f t="shared" si="3"/>
        <v>59400</v>
      </c>
      <c r="O56" s="9">
        <f t="shared" si="3"/>
        <v>900000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D14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" customWidth="1"/>
    <col min="4" max="4" width="20.85546875" customWidth="1"/>
    <col min="5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3974.9666717998089</v>
      </c>
      <c r="D5" s="6">
        <f>TONT20000MARS!C5+TONT20000MARS!D5+TONT20000AVRIL!G5</f>
        <v>324356.40786520467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5477.0707747890629</v>
      </c>
      <c r="D6" s="6">
        <f>TONT20000MARS!C6+TONT20000MARS!D6+TONT20000AVRIL!G6</f>
        <v>446927.77293895883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5079.3554591413804</v>
      </c>
      <c r="D7" s="6">
        <f>TONT20000MARS!C7+TONT20000MARS!D7+TONT20000AVRIL!G7</f>
        <v>414474.29048546992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5081.0796584866748</v>
      </c>
      <c r="D8" s="6">
        <f>TONT20000MARS!C8+TONT20000MARS!D8+TONT20000AVRIL!G8</f>
        <v>414614.98477356316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5159.9680256329257</v>
      </c>
      <c r="D9" s="6">
        <f>TONT20000MARS!C9+TONT20000MARS!D9+TONT20000AVRIL!G9</f>
        <v>421052.25821573858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5255.5892509980458</v>
      </c>
      <c r="D10" s="6">
        <f>TONT20000MARS!C10+TONT20000MARS!D10+TONT20000AVRIL!G10</f>
        <v>428854.92921550735</v>
      </c>
      <c r="E10" s="1"/>
      <c r="F10" s="7">
        <f t="shared" si="1"/>
        <v>25000</v>
      </c>
      <c r="G10" s="7">
        <v>8000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62.470990771500546</v>
      </c>
      <c r="D11" s="6">
        <f>TONT20000MARS!C11+TONT20000MARS!D11+TONT20000AVRIL!G11</f>
        <v>5097.619133810128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17620.769854455495</v>
      </c>
      <c r="D12" s="6">
        <f>TONT20000MARS!C12+TONT20000MARS!D12+TONT20000AVRIL!G12</f>
        <v>1437850.9521496978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4172.6514990838214</v>
      </c>
      <c r="D13" s="6">
        <f>TONT20000MARS!C13+TONT20000MARS!D13+TONT20000AVRIL!G13</f>
        <v>340487.44637734973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5616.9808057209138</v>
      </c>
      <c r="D14" s="6">
        <f>TONT20000MARS!C14+TONT20000MARS!D14+TONT20000AVRIL!G14</f>
        <v>458344.40075103991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5099.5210949624206</v>
      </c>
      <c r="D15" s="6">
        <f>TONT20000MARS!C15+TONT20000MARS!D15+TONT20000AVRIL!G15</f>
        <v>416119.80194186384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>
        <v>1000000</v>
      </c>
      <c r="N15" s="7">
        <f t="shared" si="2"/>
        <v>120000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18601.651202766232</v>
      </c>
      <c r="D16" s="6">
        <f>TONT20000MARS!C16+TONT20000MARS!D16+TONT20000AVRIL!G16</f>
        <v>1517890.654856436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185.32806530940962</v>
      </c>
      <c r="D17" s="6">
        <f>TONT20000MARS!C17+TONT20000MARS!D17+TONT20000AVRIL!G17</f>
        <v>15122.72944747739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5167.0522359864135</v>
      </c>
      <c r="D18" s="6">
        <f>TONT20000MARS!C18+TONT20000MARS!D18+TONT20000AVRIL!G18</f>
        <v>421630.32822551264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345.19133069367962</v>
      </c>
      <c r="D19" s="6">
        <f>TONT20000MARS!C19+TONT20000MARS!D19+TONT20000AVRIL!G19</f>
        <v>28167.536810897513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13467.361950619594</v>
      </c>
      <c r="D20" s="6">
        <f>TONT20000MARS!C20+TONT20000MARS!D20+TONT20000AVRIL!G20</f>
        <v>1098933.7789203743</v>
      </c>
      <c r="E20" s="1"/>
      <c r="F20" s="7">
        <f t="shared" si="1"/>
        <v>363000</v>
      </c>
      <c r="G20" s="7">
        <v>346000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5092.0870470606133</v>
      </c>
      <c r="D21" s="6">
        <f>TONT20000MARS!C21+TONT20000MARS!D21+TONT20000AVRIL!G21</f>
        <v>415513.18526494049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4147.225805839822</v>
      </c>
      <c r="D22" s="6">
        <f>TONT20000MARS!C22+TONT20000MARS!D22+TONT20000AVRIL!G22</f>
        <v>338412.71538988908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5515.7153296803126</v>
      </c>
      <c r="D23" s="6">
        <f>TONT20000MARS!C23+TONT20000MARS!D23+TONT20000AVRIL!G23</f>
        <v>450081.16013513377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5058.0653454864541</v>
      </c>
      <c r="D24" s="6">
        <f>TONT20000MARS!C24+TONT20000MARS!D24+TONT20000AVRIL!G24</f>
        <v>412737.02188466751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>
        <v>1000000</v>
      </c>
      <c r="N24" s="7">
        <f t="shared" si="2"/>
        <v>120000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5112.1777176927262</v>
      </c>
      <c r="D25" s="6">
        <f>TONT20000MARS!C25+TONT20000MARS!D25+TONT20000AVRIL!G25</f>
        <v>417152.57957837376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5175.6482443165723</v>
      </c>
      <c r="D26" s="6">
        <f>TONT20000MARS!C26+TONT20000MARS!D26+TONT20000AVRIL!G26</f>
        <v>422331.76061832492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5330.212511761827</v>
      </c>
      <c r="D27" s="6">
        <f>TONT20000MARS!C27+TONT20000MARS!D27+TONT20000AVRIL!G27</f>
        <v>434944.17091311608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TONT20000MARS!C28+TONT20000MARS!D28+TONT20000AVRIL!G28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7301.6984848467428</v>
      </c>
      <c r="D29" s="6">
        <f>TONT20000MARS!C29+TONT20000MARS!D29+TONT20000AVRIL!G29</f>
        <v>595816.99355163157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185.32806530940962</v>
      </c>
      <c r="D30" s="6">
        <f>TONT20000MARS!C30+TONT20000MARS!D30+TONT20000AVRIL!G30</f>
        <v>15122.72944747739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396.34257793738419</v>
      </c>
      <c r="D31" s="6">
        <f>TONT20000MARS!C31+TONT20000MARS!D31+TONT20000AVRIL!G31</f>
        <v>32341.467357661244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5252.3875939587015</v>
      </c>
      <c r="D32" s="6">
        <f>TONT20000MARS!C32+TONT20000MARS!D32+TONT20000AVRIL!G32</f>
        <v>428593.6747038996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395.64452692741946</v>
      </c>
      <c r="D33" s="6">
        <f>TONT20000MARS!C33+TONT20000MARS!D33+TONT20000AVRIL!G33</f>
        <v>32284.506548478828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5413.661261234397</v>
      </c>
      <c r="D34" s="6">
        <f>TONT20000MARS!C34+TONT20000MARS!D34+TONT20000AVRIL!G34</f>
        <v>441753.57055205962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5157.8065293522313</v>
      </c>
      <c r="D35" s="6">
        <f>TONT20000MARS!C35+TONT20000MARS!D35+TONT20000AVRIL!G35</f>
        <v>420875.88059370872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74.766631103482936</v>
      </c>
      <c r="D36" s="6">
        <f>TONT20000MARS!C36+TONT20000MARS!D36+TONT20000AVRIL!G36</f>
        <v>6100.9406858568909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185.32806530940962</v>
      </c>
      <c r="D37" s="6">
        <f>TONT20000MARS!C37+TONT20000MARS!D37+TONT20000AVRIL!G37</f>
        <v>15122.72944747739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5059.8145332280546</v>
      </c>
      <c r="D38" s="6">
        <f>TONT20000MARS!C38+TONT20000MARS!D38+TONT20000AVRIL!G38</f>
        <v>412879.75522041408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5090.9500750285715</v>
      </c>
      <c r="D39" s="6">
        <f>TONT20000MARS!C39+TONT20000MARS!D39+TONT20000AVRIL!G39</f>
        <v>415420.40859670512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185.32806530940962</v>
      </c>
      <c r="D40" s="6">
        <f>TONT20000MARS!C40+TONT20000MARS!D40+TONT20000AVRIL!G40</f>
        <v>15122.72944747739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5070.3346480739765</v>
      </c>
      <c r="D41" s="6">
        <f>TONT20000MARS!C41+TONT20000MARS!D41+TONT20000AVRIL!G41</f>
        <v>413738.1942825478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5066.0116555125887</v>
      </c>
      <c r="D42" s="6">
        <f>TONT20000MARS!C42+TONT20000MARS!D42+TONT20000AVRIL!G42</f>
        <v>413385.43903848814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17878.099693452561</v>
      </c>
      <c r="D43" s="6">
        <f>TONT20000MARS!C43+TONT20000MARS!D43+TONT20000AVRIL!G43</f>
        <v>1458849.0105248203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 t="shared" si="2"/>
        <v>6000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185.32806530940962</v>
      </c>
      <c r="D44" s="6">
        <f>TONT20000MARS!C44+TONT20000MARS!D44+TONT20000AVRIL!G44</f>
        <v>15122.72944747739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185.32806530940962</v>
      </c>
      <c r="D45" s="6">
        <f>TONT20000MARS!C45+TONT20000MARS!D45+TONT20000AVRIL!G45</f>
        <v>15122.72944747739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5138.490499005683</v>
      </c>
      <c r="D46" s="6">
        <f>TONT20000MARS!C46+TONT20000MARS!D46+TONT20000AVRIL!G46</f>
        <v>419299.69675753464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3607.2031973013386</v>
      </c>
      <c r="D47" s="6">
        <f>TONT20000MARS!C47+TONT20000MARS!D47+TONT20000AVRIL!G47</f>
        <v>294346.98907469708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111.16731955206724</v>
      </c>
      <c r="D48" s="6">
        <f>TONT20000MARS!C48+TONT20000MARS!D48+TONT20000AVRIL!G48</f>
        <v>9071.2288728663443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5068.1106808025106</v>
      </c>
      <c r="D49" s="6">
        <f>TONT20000MARS!C49+TONT20000MARS!D49+TONT20000AVRIL!G49</f>
        <v>413556.71904138412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5278.4130241356897</v>
      </c>
      <c r="D50" s="6">
        <f>TONT20000MARS!C50+TONT20000MARS!D50+TONT20000AVRIL!G50</f>
        <v>430717.34409344255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10321.08389340937</v>
      </c>
      <c r="D51" s="6">
        <f>TONT20000MARS!C51+TONT20000MARS!D51+TONT20000AVRIL!G51</f>
        <v>842198.18009842292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17593.231975534516</v>
      </c>
      <c r="D52" s="6">
        <f>TONT20000MARS!C52+TONT20000MARS!D52+TONT20000AVRIL!G52</f>
        <v>1435603.8672746462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60500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246000.00000000009</v>
      </c>
      <c r="D56" s="9">
        <f t="shared" ref="D56:Q56" si="3">SUM(D5:D52)</f>
        <v>20073545.999999996</v>
      </c>
      <c r="E56" s="9">
        <f t="shared" si="3"/>
        <v>0</v>
      </c>
      <c r="F56" s="9">
        <f t="shared" si="3"/>
        <v>1247000</v>
      </c>
      <c r="G56" s="9">
        <f t="shared" si="3"/>
        <v>499000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2200000</v>
      </c>
      <c r="N56" s="9">
        <f t="shared" si="3"/>
        <v>246000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11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42578125" customWidth="1"/>
    <col min="4" max="4" width="16.85546875" customWidth="1"/>
    <col min="5" max="5" width="14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1409.5141248625371</v>
      </c>
      <c r="D5" s="6">
        <f>TONT20000AVRIL!C5+TONT20000AVRIL!D5+TONT20000MAI!G5</f>
        <v>328331.37453700451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1955.0357033363523</v>
      </c>
      <c r="D6" s="6">
        <f>TONT20000AVRIL!C6+TONT20000AVRIL!D6+TONT20000MAI!G6</f>
        <v>455404.84371374792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1814.0067586016416</v>
      </c>
      <c r="D7" s="6">
        <f>TONT20000AVRIL!C7+TONT20000AVRIL!D7+TONT20000MAI!G7</f>
        <v>422553.64594461129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1814.6181557608966</v>
      </c>
      <c r="D8" s="6">
        <f>TONT20000AVRIL!C8+TONT20000AVRIL!D8+TONT20000MAI!G8</f>
        <v>422696.06443204981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1842.5917910038895</v>
      </c>
      <c r="D9" s="6">
        <f>TONT20000AVRIL!C9+TONT20000AVRIL!D9+TONT20000MAI!G9</f>
        <v>429212.22624137148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1876.498859645493</v>
      </c>
      <c r="D10" s="6">
        <f>TONT20000AVRIL!C10+TONT20000AVRIL!D10+TONT20000MAI!G10</f>
        <v>437110.5184665054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22.152070987482702</v>
      </c>
      <c r="D11" s="6">
        <f>TONT20000AVRIL!C11+TONT20000AVRIL!D11+TONT20000MAI!G11</f>
        <v>5160.0901245816285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8407.6447436721883</v>
      </c>
      <c r="D12" s="6">
        <f>TONT20000AVRIL!C12+TONT20000AVRIL!D12+TONT20000MAI!G12</f>
        <v>1958471.7220041533</v>
      </c>
      <c r="E12" s="1"/>
      <c r="F12" s="7">
        <f t="shared" si="1"/>
        <v>520000</v>
      </c>
      <c r="G12" s="7">
        <v>503000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1492.4916002893178</v>
      </c>
      <c r="D13" s="6">
        <f>TONT20000AVRIL!C13+TONT20000AVRIL!D13+TONT20000MAI!G13</f>
        <v>347660.09787643357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2004.6474815199178</v>
      </c>
      <c r="D14" s="6">
        <f>TONT20000AVRIL!C14+TONT20000AVRIL!D14+TONT20000MAI!G14</f>
        <v>466961.38155676081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1821.1574471164013</v>
      </c>
      <c r="D15" s="6">
        <f>TONT20000AVRIL!C15+TONT20000AVRIL!D15+TONT20000MAI!G15</f>
        <v>424219.32303682627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6608.9820187533842</v>
      </c>
      <c r="D16" s="6">
        <f>TONT20000AVRIL!C16+TONT20000AVRIL!D16+TONT20000MAI!G16</f>
        <v>1539492.3060592022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78.595795785456644</v>
      </c>
      <c r="D17" s="6">
        <f>TONT20000AVRIL!C17+TONT20000AVRIL!D17+TONT20000MAI!G17</f>
        <v>18308.0575127868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1845.1038358538701</v>
      </c>
      <c r="D18" s="6">
        <f>TONT20000AVRIL!C18+TONT20000AVRIL!D18+TONT20000MAI!G18</f>
        <v>429797.38046149904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135.2829454424249</v>
      </c>
      <c r="D19" s="6">
        <f>TONT20000AVRIL!C19+TONT20000AVRIL!D19+TONT20000MAI!G19</f>
        <v>31512.728141591193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4801.2536345117824</v>
      </c>
      <c r="D20" s="6">
        <f>TONT20000AVRIL!C20+TONT20000AVRIL!D20+TONT20000MAI!G20</f>
        <v>1118401.140870994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1818.521350668891</v>
      </c>
      <c r="D21" s="6">
        <f>TONT20000AVRIL!C21+TONT20000AVRIL!D21+TONT20000MAI!G21</f>
        <v>423605.27231200109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1483.4757073974126</v>
      </c>
      <c r="D22" s="6">
        <f>TONT20000AVRIL!C22+TONT20000AVRIL!D22+TONT20000MAI!G22</f>
        <v>345559.9411957289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1968.7389744492089</v>
      </c>
      <c r="D23" s="6">
        <f>TONT20000AVRIL!C23+TONT20000AVRIL!D23+TONT20000MAI!G23</f>
        <v>458596.87546481407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1806.457332809108</v>
      </c>
      <c r="D24" s="6">
        <f>TONT20000AVRIL!C24+TONT20000AVRIL!D24+TONT20000MAI!G24</f>
        <v>420795.08723015396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1825.6454566984653</v>
      </c>
      <c r="D25" s="6">
        <f>TONT20000AVRIL!C25+TONT20000AVRIL!D25+TONT20000MAI!G25</f>
        <v>425264.7572960665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1848.1519608217479</v>
      </c>
      <c r="D26" s="6">
        <f>TONT20000AVRIL!C26+TONT20000AVRIL!D26+TONT20000MAI!G26</f>
        <v>430507.40886264149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1924.4249080442289</v>
      </c>
      <c r="D27" s="6">
        <f>TONT20000AVRIL!C27+TONT20000AVRIL!D27+TONT20000MAI!G27</f>
        <v>448274.38342487789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TONT20000AVRIL!C28+TONT20000AVRIL!D28+TONT20000MAI!G28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2602.0445319103519</v>
      </c>
      <c r="D29" s="6">
        <f>TONT20000AVRIL!C29+TONT20000AVRIL!D29+TONT20000MAI!G29</f>
        <v>606118.69203647831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78.595795785456644</v>
      </c>
      <c r="D30" s="6">
        <f>TONT20000AVRIL!C30+TONT20000AVRIL!D30+TONT20000MAI!G30</f>
        <v>18308.0575127868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153.42106116697573</v>
      </c>
      <c r="D31" s="6">
        <f>TONT20000AVRIL!C31+TONT20000AVRIL!D31+TONT20000MAI!G31</f>
        <v>35737.809935598627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1875.3635593543138</v>
      </c>
      <c r="D32" s="6">
        <f>TONT20000AVRIL!C32+TONT20000AVRIL!D32+TONT20000MAI!G32</f>
        <v>436846.0622978583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166.05241996590635</v>
      </c>
      <c r="D33" s="6">
        <f>TONT20000AVRIL!C33+TONT20000AVRIL!D33+TONT20000MAI!G33</f>
        <v>38680.151075406247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1954.0156444693082</v>
      </c>
      <c r="D34" s="6">
        <f>TONT20000AVRIL!C34+TONT20000AVRIL!D34+TONT20000MAI!G34</f>
        <v>455167.231813294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1841.8253293477226</v>
      </c>
      <c r="D35" s="6">
        <f>TONT20000AVRIL!C35+TONT20000AVRIL!D35+TONT20000MAI!G35</f>
        <v>429033.68712306092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26.51207703359918</v>
      </c>
      <c r="D36" s="6">
        <f>TONT20000AVRIL!C36+TONT20000AVRIL!D36+TONT20000MAI!G36</f>
        <v>6175.7073169603736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78.595795785456644</v>
      </c>
      <c r="D37" s="6">
        <f>TONT20000AVRIL!C37+TONT20000AVRIL!D37+TONT20000MAI!G37</f>
        <v>18308.0575127868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1807.077590796757</v>
      </c>
      <c r="D38" s="6">
        <f>TONT20000AVRIL!C38+TONT20000AVRIL!D38+TONT20000MAI!G38</f>
        <v>420939.56975364214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1818.1181829769187</v>
      </c>
      <c r="D39" s="6">
        <f>TONT20000AVRIL!C39+TONT20000AVRIL!D39+TONT20000MAI!G39</f>
        <v>423511.3586717337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78.595795785456644</v>
      </c>
      <c r="D40" s="6">
        <f>TONT20000AVRIL!C40+TONT20000AVRIL!D40+TONT20000MAI!G40</f>
        <v>18308.0575127868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1810.8079995510495</v>
      </c>
      <c r="D41" s="6">
        <f>TONT20000AVRIL!C41+TONT20000AVRIL!D41+TONT20000MAI!G41</f>
        <v>421808.5289306218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1809.2750762387159</v>
      </c>
      <c r="D42" s="6">
        <f>TONT20000AVRIL!C42+TONT20000AVRIL!D42+TONT20000MAI!G42</f>
        <v>421451.45069400076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6352.4123021621617</v>
      </c>
      <c r="D43" s="6">
        <f>TONT20000AVRIL!C43+TONT20000AVRIL!D43+TONT20000MAI!G43</f>
        <v>1479727.1102182728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78.595795785456644</v>
      </c>
      <c r="D44" s="6">
        <f>TONT20000AVRIL!C44+TONT20000AVRIL!D44+TONT20000MAI!G44</f>
        <v>18308.0575127868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78.595795785456644</v>
      </c>
      <c r="D45" s="6">
        <f>TONT20000AVRIL!C45+TONT20000AVRIL!D45+TONT20000MAI!G45</f>
        <v>18308.0575127868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1834.9759089983932</v>
      </c>
      <c r="D46" s="6">
        <f>TONT20000AVRIL!C46+TONT20000AVRIL!D46+TONT20000MAI!G46</f>
        <v>427438.18725654035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1304.8638069472079</v>
      </c>
      <c r="D47" s="6">
        <f>TONT20000AVRIL!C47+TONT20000AVRIL!D47+TONT20000MAI!G47</f>
        <v>303954.19227199844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750000</v>
      </c>
      <c r="N47" s="7">
        <f t="shared" si="2"/>
        <v>90000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39.419678218534138</v>
      </c>
      <c r="D48" s="6">
        <f>TONT20000AVRIL!C48+TONT20000AVRIL!D48+TONT20000MAI!G48</f>
        <v>9182.3961924184114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1797.1404997273394</v>
      </c>
      <c r="D49" s="6">
        <f>TONT20000AVRIL!C49+TONT20000AVRIL!D49+TONT20000MAI!G49</f>
        <v>418624.82972218661</v>
      </c>
      <c r="E49" s="1"/>
      <c r="F49" s="7">
        <f t="shared" si="1"/>
        <v>0</v>
      </c>
      <c r="G49" s="7"/>
      <c r="H49" s="7"/>
      <c r="I49" s="7"/>
      <c r="J49" s="7"/>
      <c r="K49" s="7"/>
      <c r="L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1884.5921175961569</v>
      </c>
      <c r="D50" s="6">
        <f>TONT20000AVRIL!C50+TONT20000AVRIL!D50+TONT20000MAI!G50</f>
        <v>438995.75711757824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3672.7117181199583</v>
      </c>
      <c r="D51" s="6">
        <f>TONT20000AVRIL!C51+TONT20000AVRIL!D51+TONT20000MAI!G51</f>
        <v>855519.26399183227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6251.3988584592407</v>
      </c>
      <c r="D52" s="6">
        <f>TONT20000AVRIL!C52+TONT20000AVRIL!D52+TONT20000MAI!G52</f>
        <v>1456197.0992501806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52500+140000</f>
        <v>192500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90000</v>
      </c>
      <c r="D56" s="9">
        <f t="shared" ref="D56:Q56" si="3">SUM(D5:D52)</f>
        <v>20964546</v>
      </c>
      <c r="E56" s="9">
        <f t="shared" si="3"/>
        <v>0</v>
      </c>
      <c r="F56" s="9">
        <f t="shared" si="3"/>
        <v>1359000</v>
      </c>
      <c r="G56" s="9">
        <f t="shared" si="3"/>
        <v>645000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0</v>
      </c>
      <c r="L56" s="9">
        <f t="shared" si="3"/>
        <v>546000</v>
      </c>
      <c r="M56" s="9">
        <f t="shared" si="3"/>
        <v>750000</v>
      </c>
      <c r="N56" s="9">
        <f t="shared" si="3"/>
        <v>90000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pane xSplit="2" ySplit="4" topLeftCell="C11" activePane="bottomRight" state="frozen"/>
      <selection activeCell="B22" sqref="B22"/>
      <selection pane="topRight" activeCell="B22" sqref="B22"/>
      <selection pane="bottomLeft" activeCell="B22" sqref="B22"/>
      <selection pane="bottomRight" activeCell="D22" sqref="D2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4335.6304272862099</v>
      </c>
      <c r="D5" s="6">
        <f>TONT20000MAI!C5+TONT20000MAI!D5+TONT20000JUIN!G5</f>
        <v>329740.88866186707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6053.0870429880752</v>
      </c>
      <c r="D6" s="6">
        <f>TONT20000MAI!C6+TONT20000MAI!D6+TONT20000JUIN!G6</f>
        <v>460359.87941708427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5619.285512989567</v>
      </c>
      <c r="D7" s="6">
        <f>TONT20000MAI!C7+TONT20000MAI!D7+TONT20000JUIN!G7</f>
        <v>427367.65270321292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0" customFormat="1" x14ac:dyDescent="0.25">
      <c r="A8" s="18" t="s">
        <v>13</v>
      </c>
      <c r="B8" s="18" t="str">
        <f>VLOOKUP(A8,LISTADHERENT!A$5:H$51,2)</f>
        <v>CHINGUE FABRICE</v>
      </c>
      <c r="C8" s="6">
        <f t="shared" si="0"/>
        <v>5621.1661554606599</v>
      </c>
      <c r="D8" s="6">
        <f>TONT20000MAI!C8+TONT20000MAI!D8+TONT20000JUIN!G8</f>
        <v>427510.68258781073</v>
      </c>
      <c r="E8" s="18"/>
      <c r="F8" s="19">
        <f t="shared" si="1"/>
        <v>20000</v>
      </c>
      <c r="G8" s="19">
        <v>3000</v>
      </c>
      <c r="H8" s="19">
        <v>500</v>
      </c>
      <c r="I8" s="19">
        <v>1000</v>
      </c>
      <c r="J8" s="19">
        <v>2500</v>
      </c>
      <c r="K8" s="19"/>
      <c r="L8" s="19">
        <v>13000</v>
      </c>
      <c r="M8" s="19">
        <v>1000000</v>
      </c>
      <c r="N8" s="19">
        <f t="shared" si="2"/>
        <v>120000</v>
      </c>
      <c r="O8" s="19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5707.2123624351052</v>
      </c>
      <c r="D9" s="6">
        <f>TONT20000MAI!C9+TONT20000MAI!D9+TONT20000JUIN!G9</f>
        <v>434054.81803237536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6205.9676065887152</v>
      </c>
      <c r="D10" s="6">
        <f>TONT20000MAI!C10+TONT20000MAI!D10+TONT20000JUIN!G10</f>
        <v>471987.0173261509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68.139219967093752</v>
      </c>
      <c r="D11" s="6">
        <f>TONT20000MAI!C11+TONT20000MAI!D11+TONT20000JUIN!G11</f>
        <v>5182.2421955691116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25901.152129523114</v>
      </c>
      <c r="D12" s="6">
        <f>TONT20000MAI!C12+TONT20000MAI!D12+TONT20000JUIN!G12</f>
        <v>1969879.3667478254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4630.3128743871684</v>
      </c>
      <c r="D13" s="6">
        <f>TONT20000MAI!C13+TONT20000MAI!D13+TONT20000JUIN!G13</f>
        <v>352152.58947672287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6205.6916400263763</v>
      </c>
      <c r="D14" s="6">
        <f>TONT20000MAI!C14+TONT20000MAI!D14+TONT20000JUIN!G14</f>
        <v>471966.02903828071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5641.2808531949449</v>
      </c>
      <c r="D15" s="6">
        <f>TONT20000MAI!C15+TONT20000MAI!D15+TONT20000JUIN!G15</f>
        <v>429040.48048394267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20368.510277250778</v>
      </c>
      <c r="D16" s="6">
        <f>TONT20000MAI!C16+TONT20000MAI!D16+TONT20000JUIN!G16</f>
        <v>1549101.2880779556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938.63441517003002</v>
      </c>
      <c r="D17" s="6">
        <f>TONT20000MAI!C17+TONT20000MAI!D17+TONT20000JUIN!G17+50000</f>
        <v>71386.653308572248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5714.9393499793741</v>
      </c>
      <c r="D18" s="6">
        <f>TONT20000MAI!C18+TONT20000MAI!D18+TONT20000JUIN!G18</f>
        <v>434642.4842973529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455.5727732872615</v>
      </c>
      <c r="D19" s="6">
        <f>TONT20000MAI!C19+TONT20000MAI!D19+TONT20000JUIN!G19</f>
        <v>34648.011087033621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14847.428476493616</v>
      </c>
      <c r="D20" s="6">
        <f>TONT20000MAI!C20+TONT20000MAI!D20+TONT20000JUIN!G20</f>
        <v>1129202.3945055057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5633.172286018862</v>
      </c>
      <c r="D21" s="6">
        <f>TONT20000MAI!C21+TONT20000MAI!D21+TONT20000JUIN!G21</f>
        <v>428423.79366267001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5588.725070528405</v>
      </c>
      <c r="D22" s="6">
        <f>TONT20000MAI!C22+TONT20000MAI!D22+TONT20000JUIN!G22+75000</f>
        <v>425043.41690312629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6095.2379644597186</v>
      </c>
      <c r="D23" s="6">
        <f>TONT20000MAI!C23+TONT20000MAI!D23+TONT20000JUIN!G23</f>
        <v>463565.6144392633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5596.0636668247826</v>
      </c>
      <c r="D24" s="6">
        <f>TONT20000MAI!C24+TONT20000MAI!D24+TONT20000JUIN!G24</f>
        <v>425601.54456296307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5655.0858591602791</v>
      </c>
      <c r="D25" s="6">
        <f>TONT20000MAI!C25+TONT20000MAI!D25+TONT20000JUIN!G25</f>
        <v>430090.40275276499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5724.3153066468467</v>
      </c>
      <c r="D26" s="6">
        <f>TONT20000MAI!C26+TONT20000MAI!D26+TONT20000JUIN!G26</f>
        <v>435355.56082346325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6024.6719878032445</v>
      </c>
      <c r="D27" s="6">
        <f>TONT20000MAI!C27+TONT20000MAI!D27+TONT20000JUIN!G27</f>
        <v>458198.80833292211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8043.2701240989618</v>
      </c>
      <c r="D29" s="6">
        <f>TONT20000MAI!C29+TONT20000MAI!D29+TONT20000JUIN!G29</f>
        <v>611720.73656838865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281.20450939146843</v>
      </c>
      <c r="D30" s="6">
        <f>TONT20000MAI!C30+TONT20000MAI!D30+TONT20000JUIN!G30</f>
        <v>21386.653308572255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2089.1969404648657</v>
      </c>
      <c r="D31" s="6">
        <f>TONT20000MAI!C31+TONT20000MAI!D31+TONT20000JUIN!G31</f>
        <v>158891.2309967656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0" customFormat="1" x14ac:dyDescent="0.25">
      <c r="A32" s="18" t="s">
        <v>37</v>
      </c>
      <c r="B32" s="18" t="str">
        <f>VLOOKUP(A32,LISTADHERENT!A$5:H$51,2)</f>
        <v>NJEPDJIO MBOUKAM DELUXE</v>
      </c>
      <c r="C32" s="6">
        <f t="shared" si="0"/>
        <v>5847.4633019802986</v>
      </c>
      <c r="D32" s="6">
        <f>TONT20000MAI!C32+TONT20000MAI!D32+TONT20000JUIN!G32</f>
        <v>444721.42585721263</v>
      </c>
      <c r="E32" s="18"/>
      <c r="F32" s="19">
        <f t="shared" si="1"/>
        <v>23000</v>
      </c>
      <c r="G32" s="19">
        <v>6000</v>
      </c>
      <c r="H32" s="19">
        <v>500</v>
      </c>
      <c r="I32" s="19">
        <v>1000</v>
      </c>
      <c r="J32" s="19">
        <v>2500</v>
      </c>
      <c r="K32" s="19"/>
      <c r="L32" s="19">
        <v>13000</v>
      </c>
      <c r="M32" s="19">
        <v>1000000</v>
      </c>
      <c r="N32" s="19">
        <f t="shared" si="2"/>
        <v>120000</v>
      </c>
      <c r="O32" s="19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589.6647067697744</v>
      </c>
      <c r="D33" s="6">
        <f>TONT20000MAI!C33+TONT20000MAI!D33+TONT20000JUIN!G33</f>
        <v>44846.203495372152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6115.692357835288</v>
      </c>
      <c r="D34" s="6">
        <f>TONT20000MAI!C34+TONT20000MAI!D34+TONT20000JUIN!G34</f>
        <v>465121.2474577633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5704.8547454242444</v>
      </c>
      <c r="D35" s="6">
        <f>TONT20000MAI!C35+TONT20000MAI!D35+TONT20000JUIN!G35</f>
        <v>433875.51245240867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81.550490236228512</v>
      </c>
      <c r="D36" s="6">
        <f>TONT20000MAI!C36+TONT20000MAI!D36+TONT20000JUIN!G36</f>
        <v>6202.2193939939725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281.20450939146843</v>
      </c>
      <c r="D37" s="6">
        <f>TONT20000MAI!C37+TONT20000MAI!D37+TONT20000JUIN!G37</f>
        <v>21386.653308572255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5597.9715649838599</v>
      </c>
      <c r="D38" s="6">
        <f>TONT20000MAI!C38+TONT20000MAI!D38+TONT20000JUIN!G38</f>
        <v>425746.64734443888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5631.9321522154605</v>
      </c>
      <c r="D39" s="6">
        <f>TONT20000MAI!C39+TONT20000MAI!D39+TONT20000JUIN!G39</f>
        <v>428329.47685471061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281.20450939146843</v>
      </c>
      <c r="D40" s="6">
        <f>TONT20000MAI!C40+TONT20000MAI!D40+TONT20000JUIN!G40</f>
        <v>21386.653308572255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5609.4462096263205</v>
      </c>
      <c r="D41" s="6">
        <f>TONT20000MAI!C41+TONT20000MAI!D41+TONT20000JUIN!G41</f>
        <v>426619.33693017287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5604.7309756045979</v>
      </c>
      <c r="D42" s="6">
        <f>TONT20000MAI!C42+TONT20000MAI!D42+TONT20000JUIN!G42</f>
        <v>426260.72577023949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8340.2415467067349</v>
      </c>
      <c r="D43" s="6">
        <f>TONT20000MAI!C43+TONT20000MAI!D43+TONT20000JUIN!G43-854773</f>
        <v>634306.52252043504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281.20450939146843</v>
      </c>
      <c r="D44" s="6">
        <f>TONT20000MAI!C44+TONT20000MAI!D44+TONT20000JUIN!G44</f>
        <v>21386.653308572255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281.20450939146843</v>
      </c>
      <c r="D45" s="6">
        <f>TONT20000MAI!C45+TONT20000MAI!D45+TONT20000JUIN!G45</f>
        <v>21386.653308572255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5683.7860986104197</v>
      </c>
      <c r="D46" s="6">
        <f>TONT20000MAI!C46+TONT20000MAI!D46+TONT20000JUIN!G46</f>
        <v>432273.16316553875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4092.6202382141055</v>
      </c>
      <c r="D47" s="6">
        <f>TONT20000MAI!C47+TONT20000MAI!D47+TONT20000JUIN!G47</f>
        <v>311259.05607894564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121.25395077880184</v>
      </c>
      <c r="D48" s="6">
        <f>TONT20000MAI!C48+TONT20000MAI!D48+TONT20000JUIN!G48</f>
        <v>9221.815870636945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5567.4053197513167</v>
      </c>
      <c r="D49" s="6">
        <f>TONT20000MAI!C49+TONT20000MAI!D49+TONT20000JUIN!G49</f>
        <v>423421.97022191394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5836.4043234927158</v>
      </c>
      <c r="D50" s="6">
        <f>TONT20000MAI!C50+TONT20000MAI!D50+TONT20000JUIN!G50</f>
        <v>443880.34923517442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11336.615787080516</v>
      </c>
      <c r="D51" s="6">
        <f>TONT20000MAI!C51+TONT20000MAI!D51+TONT20000JUIN!G51</f>
        <v>862191.97570995218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19268.593360697956</v>
      </c>
      <c r="D52" s="6">
        <f>TONT20000MAI!C52+TONT20000MAI!D52+TONT20000JUIN!G52</f>
        <v>1465448.4981086398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271200.00000000012</v>
      </c>
      <c r="D56" s="9">
        <f t="shared" ref="D56:Q56" si="3">SUM(D5:D52)</f>
        <v>20625772.999999996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8" activePane="bottomRight" state="frozen"/>
      <selection activeCell="B22" sqref="B22"/>
      <selection pane="topRight" activeCell="B22" sqref="B22"/>
      <selection pane="bottomLeft" activeCell="B22" sqref="B22"/>
      <selection pane="bottomRight" activeCell="D5" sqref="D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6510.095331481858</v>
      </c>
      <c r="D5" s="6">
        <f>TONT20000JUIN!C5+TONT20000JUIN!D5+TONT20000JUIL!G5</f>
        <v>334076.51908915327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9088.9143713929061</v>
      </c>
      <c r="D6" s="6">
        <f>TONT20000JUIN!C6+TONT20000JUIN!D6+TONT20000JUIL!G6</f>
        <v>466412.96646007238</v>
      </c>
      <c r="E6" s="1"/>
      <c r="F6" s="7">
        <f t="shared" ref="F6:F52" si="1">G6+H6+I6+J6+K6+L6</f>
        <v>0</v>
      </c>
      <c r="G6" s="7"/>
      <c r="H6" s="7"/>
      <c r="I6" s="7"/>
      <c r="J6" s="7"/>
      <c r="K6" s="7"/>
      <c r="L6" s="7"/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8496.0072584775771</v>
      </c>
      <c r="D7" s="6">
        <f>TONT20000JUIN!C7+TONT20000JUIN!D7+TONT20000JUIL!G7</f>
        <v>435986.93821620248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>
        <v>1000000</v>
      </c>
      <c r="N7" s="7">
        <f>IF(M7&lt;=500000,(M7*1*3/100),(M7*12/100))/3</f>
        <v>40000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8498.8311065837715</v>
      </c>
      <c r="D8" s="6">
        <f>TONT20000JUIN!C8+TONT20000JUIN!D8+TONT20000JUIL!G8</f>
        <v>436131.84874327137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ref="N8:N54" si="2">IF(M8&lt;=500000,(M8*1*3/100),(M8*12/100))</f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8628.0323887757786</v>
      </c>
      <c r="D9" s="6">
        <f>TONT20000JUIN!C9+TONT20000JUIN!D9+TONT20000JUIL!G9</f>
        <v>442762.03039481048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9376.9302113581471</v>
      </c>
      <c r="D10" s="6">
        <f>TONT20000JUIN!C10+TONT20000JUIN!D10+TONT20000JUIL!G10</f>
        <v>481192.98493273964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102.31333718087438</v>
      </c>
      <c r="D11" s="6">
        <f>TONT20000JUIN!C11+TONT20000JUIN!D11+TONT20000JUIL!G11</f>
        <v>5250.3814155362052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38949.914109730649</v>
      </c>
      <c r="D12" s="6">
        <f>TONT20000JUIN!C12+TONT20000JUIN!D12+TONT20000JUIL!G12</f>
        <v>1998780.5188773486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7011.0314826343674</v>
      </c>
      <c r="D13" s="6">
        <f>TONT20000JUIN!C13+TONT20000JUIN!D13+TONT20000JUIL!G13</f>
        <v>359782.90235111007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9376.5158382561822</v>
      </c>
      <c r="D14" s="6">
        <f>TONT20000JUIN!C14+TONT20000JUIN!D14+TONT20000JUIL!G14</f>
        <v>481171.72067830712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8529.0340037195638</v>
      </c>
      <c r="D15" s="6">
        <f>TONT20000JUIN!C15+TONT20000JUIN!D15+TONT20000JUIL!G15</f>
        <v>437681.76133713761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30642.465747305549</v>
      </c>
      <c r="D16" s="6">
        <f>TONT20000JUIN!C16+TONT20000JUIN!D16+TONT20000JUIL!G16</f>
        <v>1572469.7983552064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1467.8517523166556</v>
      </c>
      <c r="D17" s="6">
        <f>TONT20000JUIN!C17+TONT20000JUIN!D17+TONT20000JUIL!G17</f>
        <v>75325.28772374228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8639.6347212120891</v>
      </c>
      <c r="D18" s="6">
        <f>TONT20000JUIN!C18+TONT20000JUIN!D18+TONT20000JUIL!G18</f>
        <v>443357.4236473323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742.51840290399014</v>
      </c>
      <c r="D19" s="6">
        <f>TONT20000JUIN!C19+TONT20000JUIN!D19+TONT20000JUIL!G19</f>
        <v>38103.583860320883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22410.835709074934</v>
      </c>
      <c r="D20" s="6">
        <f>TONT20000JUIN!C20+TONT20000JUIN!D20+TONT20000JUIL!G20</f>
        <v>1150049.8229819993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8516.8587165950412</v>
      </c>
      <c r="D21" s="6">
        <f>TONT20000JUIN!C21+TONT20000JUIN!D21+TONT20000JUIL!G21</f>
        <v>437056.96594868886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>
        <v>1000000</v>
      </c>
      <c r="N21" s="7">
        <f t="shared" si="2"/>
        <v>120000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8450.1197232895374</v>
      </c>
      <c r="D22" s="6">
        <f>TONT20000JUIN!C22+TONT20000JUIN!D22+TONT20000JUIL!G22</f>
        <v>433632.14197365468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800000</v>
      </c>
      <c r="N22" s="7">
        <f t="shared" si="2"/>
        <v>96000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9210.665918685987</v>
      </c>
      <c r="D23" s="6">
        <f>TONT20000JUIN!C23+TONT20000JUIN!D23+TONT20000JUIL!G23</f>
        <v>472660.85240372299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>
        <v>1000000</v>
      </c>
      <c r="N23" s="7">
        <v>32000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8461.1388731663374</v>
      </c>
      <c r="D24" s="6">
        <f>TONT20000JUIN!C24+TONT20000JUIN!D24+TONT20000JUIL!G24</f>
        <v>434197.60822978785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8549.7626858324093</v>
      </c>
      <c r="D25" s="6">
        <f>TONT20000JUIN!C25+TONT20000JUIN!D25+TONT20000JUIL!G25</f>
        <v>438745.48861192528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8653.7130364081786</v>
      </c>
      <c r="D26" s="6">
        <f>TONT20000JUIN!C26+TONT20000JUIN!D26+TONT20000JUIL!G26</f>
        <v>444079.87613011012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>
        <v>1000000</v>
      </c>
      <c r="N26" s="7">
        <f t="shared" si="2"/>
        <v>120000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9202.142919334201</v>
      </c>
      <c r="D27" s="6">
        <f>TONT20000JUIN!C27+TONT20000JUIN!D27+TONT20000JUIL!G27</f>
        <v>472223.48032072536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TONT20000JUIN!C28+TONT20000JUIN!D28+TONT20000JUIL!G28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12135.701915350006</v>
      </c>
      <c r="D29" s="6">
        <f>TONT20000JUIN!C29+TONT20000JUIN!D29+TONT20000JUIL!G29</f>
        <v>622764.00669248763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480.6985730581323</v>
      </c>
      <c r="D30" s="6">
        <f>TONT20000JUIN!C30+TONT20000JUIN!D30+TONT20000JUIL!G30</f>
        <v>24667.857817963722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3195.4601936081463</v>
      </c>
      <c r="D31" s="6">
        <f>TONT20000JUIN!C31+TONT20000JUIN!D31+TONT20000JUIL!G31</f>
        <v>163980.42793723047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8838.623905299617</v>
      </c>
      <c r="D32" s="6">
        <f>TONT20000JUIN!C32+TONT20000JUIN!D32+TONT20000JUIL!G32</f>
        <v>453568.88915919291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1002.3224809886144</v>
      </c>
      <c r="D33" s="6">
        <f>TONT20000JUIN!C33+TONT20000JUIN!D33+TONT20000JUIL!G33</f>
        <v>51435.86820214193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9338.8130751404133</v>
      </c>
      <c r="D34" s="6">
        <f>TONT20000JUIN!C34+TONT20000JUIN!D34+TONT20000JUIL!G34</f>
        <v>479236.9398155986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8624.4923473093204</v>
      </c>
      <c r="D35" s="6">
        <f>TONT20000JUIN!C35+TONT20000JUIN!D35+TONT20000JUIL!G35</f>
        <v>442580.36719783291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122.45081186480044</v>
      </c>
      <c r="D36" s="6">
        <f>TONT20000JUIN!C36+TONT20000JUIN!D36+TONT20000JUIL!G36</f>
        <v>6283.7698842302007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480.6985730581323</v>
      </c>
      <c r="D37" s="6">
        <f>TONT20000JUIN!C37+TONT20000JUIN!D37+TONT20000JUIL!G37</f>
        <v>24667.857817963722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8464.003646607398</v>
      </c>
      <c r="D38" s="6">
        <f>TONT20000JUIN!C38+TONT20000JUIN!D38+TONT20000JUIL!G38</f>
        <v>434344.61890942272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8514.9966138583477</v>
      </c>
      <c r="D39" s="6">
        <f>TONT20000JUIN!C39+TONT20000JUIN!D39+TONT20000JUIL!G39</f>
        <v>436961.40900692606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480.6985730581323</v>
      </c>
      <c r="D40" s="6">
        <f>TONT20000JUIN!C40+TONT20000JUIN!D40+TONT20000JUIL!G40</f>
        <v>24667.857817963722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8481.2332125886605</v>
      </c>
      <c r="D41" s="6">
        <f>TONT20000JUIN!C41+TONT20000JUIN!D41+TONT20000JUIL!G41</f>
        <v>435228.7831397992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8474.1531296557441</v>
      </c>
      <c r="D42" s="6">
        <f>TONT20000JUIN!C42+TONT20000JUIN!D42+TONT20000JUIL!G42</f>
        <v>434865.4567458441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12581.614523522308</v>
      </c>
      <c r="D43" s="6">
        <f>TONT20000JUIN!C43+TONT20000JUIN!D43+TONT20000JUIL!G43</f>
        <v>645646.7640671418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70000</v>
      </c>
      <c r="N43" s="7">
        <f t="shared" si="2"/>
        <v>2100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480.6985730581323</v>
      </c>
      <c r="D44" s="6">
        <f>TONT20000JUIN!C44+TONT20000JUIN!D44+TONT20000JUIL!G44</f>
        <v>24667.857817963722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480.6985730581323</v>
      </c>
      <c r="D45" s="6">
        <f>TONT20000JUIN!C45+TONT20000JUIN!D45+TONT20000JUIL!G45</f>
        <v>24667.857817963722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8592.8570634529951</v>
      </c>
      <c r="D46" s="6">
        <f>TONT20000JUIN!C46+TONT20000JUIN!D46+TONT20000JUIL!G46</f>
        <v>440956.94926414918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6262.1283694527519</v>
      </c>
      <c r="D47" s="6">
        <f>TONT20000JUIN!C47+TONT20000JUIN!D47+TONT20000JUIL!G47</f>
        <v>321351.67631715973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240.52741401771328</v>
      </c>
      <c r="D48" s="6">
        <f>TONT20000JUIN!C48+TONT20000JUIN!D48+TONT20000JUIL!G48</f>
        <v>12343.069821415747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8418.1073983623974</v>
      </c>
      <c r="D49" s="6">
        <f>TONT20000JUIN!C49+TONT20000JUIN!D49+TONT20000JUIL!G49</f>
        <v>431989.37554166524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8822.0184760707161</v>
      </c>
      <c r="D50" s="6">
        <f>TONT20000JUIN!C50+TONT20000JUIN!D50+TONT20000JUIL!G50</f>
        <v>452716.75355866714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17080.771515978333</v>
      </c>
      <c r="D51" s="6">
        <f>TONT20000JUIN!C51+TONT20000JUIN!D51+TONT20000JUIL!G51</f>
        <v>876528.59149703267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28990.903395864436</v>
      </c>
      <c r="D52" s="6">
        <f>TONT20000JUIN!C52+TONT20000JUIN!D52+TONT20000JUIL!G52</f>
        <v>1487717.0914693377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410100</v>
      </c>
      <c r="D56" s="9">
        <f t="shared" ref="D56:Q56" si="3">SUM(D5:D52)</f>
        <v>21044973</v>
      </c>
      <c r="E56" s="9">
        <f t="shared" si="3"/>
        <v>0</v>
      </c>
      <c r="F56" s="9">
        <f t="shared" si="3"/>
        <v>879000</v>
      </c>
      <c r="G56" s="9">
        <f t="shared" si="3"/>
        <v>148000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4870000</v>
      </c>
      <c r="N56" s="9">
        <f t="shared" si="3"/>
        <v>410100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A13" sqref="A13:XFD1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2.5703125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6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43.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1594.943439193951</v>
      </c>
      <c r="D5" s="6">
        <f>TONT20000JUIL!C5+TONT20000JUIL!D5+TONT20000AOUT!G5</f>
        <v>340586.6144206351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2240.7910445110915</v>
      </c>
      <c r="D6" s="6">
        <f>TONT20000JUIL!C6+TONT20000JUIL!D6+TONT20000AOUT!G6</f>
        <v>478501.8808314653</v>
      </c>
      <c r="E6" s="1"/>
      <c r="F6" s="7">
        <f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>
        <v>500000</v>
      </c>
      <c r="N6" s="7">
        <f>IF(M6&lt;=500000,(M6*1*3/100),(M6*12/100))</f>
        <v>15000</v>
      </c>
      <c r="P6" s="7"/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2095.5315265401809</v>
      </c>
      <c r="D7" s="6">
        <f>TONT20000JUIL!C7+TONT20000JUIL!D7+TONT20000AOUT!G7</f>
        <v>447482.94547468005</v>
      </c>
      <c r="E7" s="1"/>
      <c r="F7" s="7">
        <f t="shared" ref="F7:F52" si="1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  <c r="P7" s="7"/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2096.2233563492582</v>
      </c>
      <c r="D8" s="6">
        <f>TONT20000JUIL!C8+TONT20000JUIL!D8+TONT20000AOUT!G8</f>
        <v>447630.67984985514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  <c r="P8" s="7"/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2127.8770767442684</v>
      </c>
      <c r="D9" s="6">
        <f>TONT20000JUIL!C9+TONT20000JUIL!D9+TONT20000AOUT!G9</f>
        <v>454390.06278358627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>
        <v>100000</v>
      </c>
      <c r="N9" s="7">
        <f t="shared" si="2"/>
        <v>3000</v>
      </c>
      <c r="P9" s="7"/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2311.3536017312686</v>
      </c>
      <c r="D10" s="6">
        <f>TONT20000JUIL!C10+TONT20000JUIL!D10+TONT20000AOUT!G10</f>
        <v>493569.91514409776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  <c r="P10" s="7"/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25.066297430321878</v>
      </c>
      <c r="D11" s="6">
        <f>TONT20000JUIL!C11+TONT20000JUIL!D11+TONT20000AOUT!G11</f>
        <v>5352.6947527170796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  <c r="P11" s="7"/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9556.5987547482764</v>
      </c>
      <c r="D12" s="6">
        <f>TONT20000JUIL!C12+TONT20000JUIL!D12+TONT20000AOUT!G12</f>
        <v>2040730.4329870793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  <c r="P12" s="7"/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1879.5125717190542</v>
      </c>
      <c r="D13" s="6">
        <f>TONT20000JUIL!C13+TONT20000JUIL!D13+TONT20000AOUT!G13</f>
        <v>401353.93383374444</v>
      </c>
      <c r="E13" s="1"/>
      <c r="F13" s="7">
        <f>G13+H13+I13+J13+K13+L13+P13</f>
        <v>51560</v>
      </c>
      <c r="G13" s="7">
        <v>34560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>
        <v>700000</v>
      </c>
      <c r="N13" s="7">
        <f t="shared" si="2"/>
        <v>84000</v>
      </c>
      <c r="P13" s="7"/>
      <c r="Q13" s="7">
        <v>48440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2311.252082225531</v>
      </c>
      <c r="D14" s="6">
        <f>TONT20000JUIL!C14+TONT20000JUIL!D14+TONT20000AOUT!G14</f>
        <v>493548.23651656328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  <c r="P14" s="7"/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2103.6229273506888</v>
      </c>
      <c r="D15" s="6">
        <f>TONT20000JUIL!C15+TONT20000JUIL!D15+TONT20000AOUT!G15</f>
        <v>449210.79534085718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  <c r="P15" s="7"/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7521.3120826748518</v>
      </c>
      <c r="D16" s="6">
        <f>TONT20000JUIL!C16+TONT20000JUIL!D16+TONT20000AOUT!G16</f>
        <v>1606112.264102512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  <c r="P16" s="7"/>
    </row>
    <row r="17" spans="1:16" x14ac:dyDescent="0.25">
      <c r="A17" s="1" t="s">
        <v>22</v>
      </c>
      <c r="B17" s="1" t="str">
        <f>VLOOKUP(A17,LISTADHERENT!A$5:H$51,2)</f>
        <v>HODIEP JULES</v>
      </c>
      <c r="C17" s="6">
        <f t="shared" si="0"/>
        <v>373.66572528552496</v>
      </c>
      <c r="D17" s="6">
        <f>TONT20000JUIL!C17+TONT20000JUIL!D17+TONT20000AOUT!G17</f>
        <v>79793.139476058932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  <c r="P17" s="7"/>
    </row>
    <row r="18" spans="1:16" x14ac:dyDescent="0.25">
      <c r="A18" s="1" t="s">
        <v>23</v>
      </c>
      <c r="B18" s="1" t="str">
        <f>VLOOKUP(A18,LISTADHERENT!A$5:H$51,2)</f>
        <v>HOTCHO BENJAMIN</v>
      </c>
      <c r="C18" s="6">
        <f t="shared" si="0"/>
        <v>2130.7195948728672</v>
      </c>
      <c r="D18" s="6">
        <f>TONT20000JUIL!C18+TONT20000JUIL!D18+TONT20000AOUT!G18</f>
        <v>454997.05836854439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  <c r="P18" s="7"/>
    </row>
    <row r="19" spans="1:16" x14ac:dyDescent="0.25">
      <c r="A19" s="1" t="s">
        <v>24</v>
      </c>
      <c r="B19" s="1" t="str">
        <f>VLOOKUP(A19,LISTADHERENT!A$5:H$51,2)</f>
        <v>KEPHE DAVID</v>
      </c>
      <c r="C19" s="6">
        <f t="shared" si="0"/>
        <v>195.96238793501436</v>
      </c>
      <c r="D19" s="6">
        <f>TONT20000JUIL!C19+TONT20000JUIL!D19+TONT20000AOUT!G19</f>
        <v>41846.102263224871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  <c r="P19" s="7"/>
    </row>
    <row r="20" spans="1:16" x14ac:dyDescent="0.25">
      <c r="A20" s="1" t="s">
        <v>25</v>
      </c>
      <c r="B20" s="1" t="str">
        <f>VLOOKUP(A20,LISTADHERENT!A$5:H$51,2)</f>
        <v>KEPSEU FRANCIS</v>
      </c>
      <c r="C20" s="6">
        <f t="shared" si="0"/>
        <v>5518.6493430601267</v>
      </c>
      <c r="D20" s="6">
        <f>TONT20000JUIL!C20+TONT20000JUIL!D20+TONT20000AOUT!G20</f>
        <v>1178460.6586910742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  <c r="P20" s="7"/>
    </row>
    <row r="21" spans="1:16" x14ac:dyDescent="0.25">
      <c r="A21" s="1" t="s">
        <v>26</v>
      </c>
      <c r="B21" s="1" t="str">
        <f>VLOOKUP(A21,LISTADHERENT!A$5:H$51,2)</f>
        <v>KOUAMOU EMMANUEL</v>
      </c>
      <c r="C21" s="6">
        <f t="shared" si="0"/>
        <v>2100.6400379564807</v>
      </c>
      <c r="D21" s="6">
        <f>TONT20000JUIL!C21+TONT20000JUIL!D21+TONT20000AOUT!G21</f>
        <v>448573.8246652839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  <c r="P21" s="7"/>
    </row>
    <row r="22" spans="1:16" x14ac:dyDescent="0.25">
      <c r="A22" s="1" t="s">
        <v>27</v>
      </c>
      <c r="B22" s="1" t="str">
        <f>VLOOKUP(A22,LISTADHERENT!A$5:H$51,2)</f>
        <v>KOUAMOU MOISE</v>
      </c>
      <c r="C22" s="6">
        <f t="shared" si="0"/>
        <v>2084.2892912944053</v>
      </c>
      <c r="D22" s="6">
        <f>TONT20000JUIL!C22+TONT20000JUIL!D22+TONT20000AOUT!G22</f>
        <v>445082.26169694425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  <c r="P22" s="7"/>
    </row>
    <row r="23" spans="1:16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2270.6196140909797</v>
      </c>
      <c r="D23" s="6">
        <f>TONT20000JUIL!C23+TONT20000JUIL!D23+TONT20000AOUT!G23</f>
        <v>484871.51832240896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  <c r="P23" s="7"/>
    </row>
    <row r="24" spans="1:16" x14ac:dyDescent="0.25">
      <c r="A24" s="1" t="s">
        <v>29</v>
      </c>
      <c r="B24" s="1" t="str">
        <f>VLOOKUP(A24,LISTADHERENT!A$5:H$51,2)</f>
        <v>KOUATCHO MESSACK</v>
      </c>
      <c r="C24" s="6">
        <f t="shared" si="0"/>
        <v>2086.9889323759276</v>
      </c>
      <c r="D24" s="6">
        <f>TONT20000JUIL!C24+TONT20000JUIL!D24+TONT20000AOUT!G24</f>
        <v>445658.74710295419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  <c r="P24" s="7"/>
    </row>
    <row r="25" spans="1:16" x14ac:dyDescent="0.25">
      <c r="A25" s="1" t="s">
        <v>30</v>
      </c>
      <c r="B25" s="1" t="str">
        <f>VLOOKUP(A25,LISTADHERENT!A$5:H$51,2)</f>
        <v>LOWE JEAN</v>
      </c>
      <c r="C25" s="6">
        <f t="shared" si="0"/>
        <v>2108.701359210072</v>
      </c>
      <c r="D25" s="6">
        <f>TONT20000JUIL!C25+TONT20000JUIL!D25+TONT20000AOUT!G25</f>
        <v>450295.25129775767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  <c r="P25" s="7"/>
    </row>
    <row r="26" spans="1:16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2134.1687173992796</v>
      </c>
      <c r="D26" s="6">
        <f>TONT20000JUIL!C26+TONT20000JUIL!D26+TONT20000AOUT!G26</f>
        <v>455733.5891665183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  <c r="P26" s="7"/>
    </row>
    <row r="27" spans="1:16" x14ac:dyDescent="0.25">
      <c r="A27" s="1" t="s">
        <v>32</v>
      </c>
      <c r="B27" s="1" t="str">
        <f>VLOOKUP(A27,LISTADHERENT!A$5:H$51,2)</f>
        <v>NDJOMO ETIENNE</v>
      </c>
      <c r="C27" s="6">
        <f t="shared" si="0"/>
        <v>2291.9461708382655</v>
      </c>
      <c r="D27" s="6">
        <f>TONT20000JUIL!C27+TONT20000JUIL!D27+TONT20000AOUT!G27</f>
        <v>489425.62324005953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  <c r="P27" s="7"/>
    </row>
    <row r="28" spans="1:16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TONT20000JUIL!C28+TONT20000JUIL!D28+TONT20000AOUT!G28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  <c r="P28" s="7"/>
    </row>
    <row r="29" spans="1:16" x14ac:dyDescent="0.25">
      <c r="A29" s="1" t="s">
        <v>34</v>
      </c>
      <c r="B29" s="1" t="str">
        <f>VLOOKUP(A29,LISTADHERENT!A$5:H$51,2)</f>
        <v>NGONDIEP CLAUDE</v>
      </c>
      <c r="C29" s="6">
        <f t="shared" si="0"/>
        <v>2987.2399913264521</v>
      </c>
      <c r="D29" s="6">
        <f>TONT20000JUIL!C29+TONT20000JUIL!D29+TONT20000AOUT!G29</f>
        <v>637899.70860783767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  <c r="P29" s="7"/>
    </row>
    <row r="30" spans="1:16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131.81773281082062</v>
      </c>
      <c r="D30" s="6">
        <f>TONT20000JUIL!C30+TONT20000JUIL!D30+TONT20000AOUT!G30</f>
        <v>28148.556391021855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  <c r="P30" s="7"/>
    </row>
    <row r="31" spans="1:16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796.92185421025238</v>
      </c>
      <c r="D31" s="6">
        <f>TONT20000JUIL!C31+TONT20000JUIL!D31+TONT20000AOUT!G31</f>
        <v>170175.88813083863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  <c r="P31" s="7"/>
    </row>
    <row r="32" spans="1:16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2179.4710305233057</v>
      </c>
      <c r="D32" s="6">
        <f>TONT20000JUIL!C32+TONT20000JUIL!D32+TONT20000AOUT!G32</f>
        <v>465407.51306449255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  <c r="P32" s="7"/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610.83297945893673</v>
      </c>
      <c r="D33" s="6">
        <f>TONT20000JUIL!C33+TONT20000JUIL!D33+TONT20000AOUT!G33+72000</f>
        <v>130438.19068313055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  <c r="P33" s="7"/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2325.4297309456897</v>
      </c>
      <c r="D34" s="6">
        <f>TONT20000JUIL!C34+TONT20000JUIL!D34+TONT20000AOUT!G34</f>
        <v>496575.75289073901</v>
      </c>
      <c r="E34" s="1"/>
      <c r="F34" s="7">
        <f t="shared" si="1"/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  <c r="P34" s="7"/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2127.0097828531793</v>
      </c>
      <c r="D35" s="6">
        <f>TONT20000JUIL!C35+TONT20000JUIL!D35+TONT20000AOUT!G35</f>
        <v>454204.85954514222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  <c r="P35" s="7"/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29.99988618650239</v>
      </c>
      <c r="D36" s="6">
        <f>TONT20000JUIL!C36+TONT20000JUIL!D36+TONT20000AOUT!G36</f>
        <v>6406.2206960950007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  <c r="P36" s="7"/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131.81773281082062</v>
      </c>
      <c r="D37" s="6">
        <f>TONT20000JUIL!C37+TONT20000JUIL!D37+TONT20000AOUT!G37</f>
        <v>28148.556391021855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  <c r="P37" s="7"/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2087.6907887039761</v>
      </c>
      <c r="D38" s="6">
        <f>TONT20000JUIL!C38+TONT20000JUIL!D38+TONT20000AOUT!G38</f>
        <v>445808.62255603011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  <c r="P38" s="7"/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2100.1838313432486</v>
      </c>
      <c r="D39" s="6">
        <f>TONT20000JUIL!C39+TONT20000JUIL!D39+TONT20000AOUT!G39</f>
        <v>448476.40562078438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  <c r="P39" s="7"/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131.81773281082062</v>
      </c>
      <c r="D40" s="6">
        <f>TONT20000JUIL!C40+TONT20000JUIL!D40+TONT20000AOUT!G40</f>
        <v>28148.556391021855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  <c r="P40" s="7"/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2091.9119531912429</v>
      </c>
      <c r="D41" s="6">
        <f>TONT20000JUIL!C41+TONT20000JUIL!D41+TONT20000AOUT!G41</f>
        <v>446710.01635238784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  <c r="P41" s="7"/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2090.1773654090648</v>
      </c>
      <c r="D42" s="6">
        <f>TONT20000JUIL!C42+TONT20000JUIL!D42+TONT20000AOUT!G42</f>
        <v>446339.60987549985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  <c r="P42" s="7"/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3096.4865311457684</v>
      </c>
      <c r="D43" s="6">
        <f>TONT20000JUIL!C43+TONT20000JUIL!D43+TONT20000AOUT!G43</f>
        <v>661228.37859066413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  <c r="P43" s="7"/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131.81773281082062</v>
      </c>
      <c r="D44" s="6">
        <f>TONT20000JUIL!C44+TONT20000JUIL!D44+TONT20000AOUT!G44</f>
        <v>28148.556391021855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  <c r="P44" s="7"/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131.81773281082062</v>
      </c>
      <c r="D45" s="6">
        <f>TONT20000JUIL!C45+TONT20000JUIL!D45+TONT20000AOUT!G45</f>
        <v>28148.556391021855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  <c r="P45" s="7"/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2119.2592836877243</v>
      </c>
      <c r="D46" s="6">
        <f>TONT20000JUIL!C46+TONT20000JUIL!D46+TONT20000AOUT!G46</f>
        <v>452549.80632760219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/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1883.5392871484578</v>
      </c>
      <c r="D47" s="6">
        <f>TONT20000JUIL!C47+TONT20000JUIL!D47+TONT20000AOUT!G47+68600</f>
        <v>402213.80468661245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  <c r="P47" s="7"/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72.976902547905013</v>
      </c>
      <c r="D48" s="6">
        <f>TONT20000JUIL!C48+TONT20000JUIL!D48+TONT20000AOUT!G48</f>
        <v>15583.597235433461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  <c r="P48" s="7"/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2090.495210252001</v>
      </c>
      <c r="D49" s="6">
        <f>TONT20000JUIL!C49+TONT20000JUIL!D49+TONT20000AOUT!G49</f>
        <v>446407.48294002766</v>
      </c>
      <c r="E49" s="1"/>
      <c r="F49" s="7">
        <f t="shared" si="1"/>
        <v>40000</v>
      </c>
      <c r="G49" s="7">
        <v>6000</v>
      </c>
      <c r="H49" s="7">
        <v>1000</v>
      </c>
      <c r="I49" s="7">
        <v>2000</v>
      </c>
      <c r="J49" s="7">
        <v>5000</v>
      </c>
      <c r="K49" s="7"/>
      <c r="L49" s="7">
        <v>26000</v>
      </c>
      <c r="N49" s="7">
        <f t="shared" si="2"/>
        <v>0</v>
      </c>
      <c r="P49" s="7"/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2175.4027766721588</v>
      </c>
      <c r="D50" s="6">
        <f>TONT20000JUIL!C50+TONT20000JUIL!D50+TONT20000AOUT!G50</f>
        <v>464538.77203473786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  <c r="P50" s="7"/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4198.7593185072265</v>
      </c>
      <c r="D51" s="6">
        <f>TONT20000JUIL!C51+TONT20000JUIL!D51+TONT20000AOUT!G51</f>
        <v>896609.36301301105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  <c r="P51" s="7"/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7116.6868962951085</v>
      </c>
      <c r="D52" s="6">
        <f>TONT20000JUIL!C52+TONT20000JUIL!D52+TONT20000AOUT!G52</f>
        <v>1519707.9948652021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  <c r="P52" s="7"/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  <c r="P53" s="7"/>
    </row>
    <row r="54" spans="1:17" ht="18" x14ac:dyDescent="0.25">
      <c r="A54" s="1"/>
      <c r="B54" s="1" t="s">
        <v>180</v>
      </c>
      <c r="C54" s="1"/>
      <c r="D54" s="1"/>
      <c r="E54" s="1"/>
      <c r="L54" s="7"/>
      <c r="N54" s="7">
        <f t="shared" si="2"/>
        <v>0</v>
      </c>
      <c r="O54" s="9"/>
      <c r="P54" s="7"/>
    </row>
    <row r="55" spans="1:17" ht="18" x14ac:dyDescent="0.25">
      <c r="A55" s="1"/>
      <c r="B55" s="1"/>
      <c r="C55" s="1"/>
      <c r="D55" s="1"/>
      <c r="E55" s="1"/>
      <c r="O55" s="9"/>
    </row>
    <row r="56" spans="1:17" ht="18" x14ac:dyDescent="0.25">
      <c r="A56" s="8" t="s">
        <v>56</v>
      </c>
      <c r="B56" s="8"/>
      <c r="C56" s="9">
        <f>SUM(C5:C52)</f>
        <v>101999.99999999997</v>
      </c>
      <c r="D56" s="9">
        <f t="shared" ref="D56:Q56" si="3">SUM(D5:D52)</f>
        <v>21781233</v>
      </c>
      <c r="E56" s="9">
        <f t="shared" si="3"/>
        <v>0</v>
      </c>
      <c r="F56" s="9">
        <f t="shared" si="3"/>
        <v>950560</v>
      </c>
      <c r="G56" s="9">
        <f t="shared" si="3"/>
        <v>185560</v>
      </c>
      <c r="H56" s="9">
        <f t="shared" si="3"/>
        <v>22500</v>
      </c>
      <c r="I56" s="9">
        <f t="shared" si="3"/>
        <v>45000</v>
      </c>
      <c r="J56" s="9">
        <f t="shared" si="3"/>
        <v>112500</v>
      </c>
      <c r="K56" s="9">
        <f t="shared" si="3"/>
        <v>0</v>
      </c>
      <c r="L56" s="9">
        <f t="shared" si="3"/>
        <v>585000</v>
      </c>
      <c r="M56" s="9">
        <f t="shared" si="3"/>
        <v>1300000</v>
      </c>
      <c r="N56" s="9">
        <f t="shared" si="3"/>
        <v>102000</v>
      </c>
      <c r="O56" s="9">
        <f t="shared" si="3"/>
        <v>0</v>
      </c>
      <c r="P56" s="9">
        <f t="shared" si="3"/>
        <v>0</v>
      </c>
      <c r="Q56" s="9">
        <f t="shared" si="3"/>
        <v>48440</v>
      </c>
    </row>
  </sheetData>
  <autoFilter ref="A4:O51"/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35" activePane="bottomRight" state="frozen"/>
      <selection activeCell="D29" sqref="D29"/>
      <selection pane="topRight" activeCell="D29" sqref="D29"/>
      <selection pane="bottomLeft" activeCell="D29" sqref="D29"/>
      <selection pane="bottomRight" activeCell="D44" sqref="D4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7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3257.6391883323172</v>
      </c>
      <c r="D5" s="6">
        <f>TONT20000AOUT!C5+TONT20000AOUT!D5+TONT20000SEPT!G5</f>
        <v>342181.55785982904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4576.7696459208219</v>
      </c>
      <c r="D6" s="6">
        <f>TONT20000AOUT!C6+TONT20000AOUT!D6+TONT20000SEPT!G6</f>
        <v>480742.67187597638</v>
      </c>
      <c r="E6" s="1"/>
      <c r="F6" s="7">
        <f t="shared" ref="F6:F52" si="1">G6+H6+I6+J6+K6+L6</f>
        <v>0</v>
      </c>
      <c r="G6" s="7"/>
      <c r="H6" s="7"/>
      <c r="I6" s="7"/>
      <c r="J6" s="7"/>
      <c r="K6" s="7"/>
      <c r="L6" s="7"/>
      <c r="M6" s="7"/>
      <c r="N6" s="7">
        <f>IF(M6&lt;=500000,(M6*1*3/100),(M6*12/100))</f>
        <v>0</v>
      </c>
      <c r="Q6" s="7"/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4308.6406868218119</v>
      </c>
      <c r="D7" s="6">
        <f>TONT20000AOUT!C7+TONT20000AOUT!D7+TONT20000SEPT!G7</f>
        <v>452578.47700122022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  <c r="Q7" s="7"/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4310.0537349853539</v>
      </c>
      <c r="D8" s="6">
        <f>TONT20000AOUT!C8+TONT20000AOUT!D8+TONT20000SEPT!G8</f>
        <v>452726.90320620441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  <c r="Q8" s="7"/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4374.7058082070935</v>
      </c>
      <c r="D9" s="6">
        <f>TONT20000AOUT!C9+TONT20000AOUT!D9+TONT20000SEPT!G9</f>
        <v>459517.93986033055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  <c r="Q9" s="7"/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4749.4528388847139</v>
      </c>
      <c r="D10" s="6">
        <f>TONT20000AOUT!C10+TONT20000AOUT!D10+TONT20000SEPT!G10</f>
        <v>498881.268745829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  <c r="Q10" s="7"/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51.197397229758714</v>
      </c>
      <c r="D11" s="6">
        <f>TONT20000AOUT!C11+TONT20000AOUT!D11+TONT20000SEPT!G11</f>
        <v>5377.7610501474019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  <c r="Q11" s="7"/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19547.717128100579</v>
      </c>
      <c r="D12" s="6">
        <f>TONT20000AOUT!C12+TONT20000AOUT!D12+TONT20000SEPT!G12</f>
        <v>2053287.0317418275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  <c r="Q12" s="7"/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4542.0853860825555</v>
      </c>
      <c r="D13" s="6">
        <f>TONT20000AOUT!C13+TONT20000AOUT!D13+TONT20000SEPT!G13+70866</f>
        <v>477099.4464054635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  <c r="Q13" s="7"/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4749.2454873811157</v>
      </c>
      <c r="D14" s="6">
        <f>TONT20000AOUT!C14+TONT20000AOUT!D14+TONT20000SEPT!G14</f>
        <v>498859.4885987888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  <c r="Q14" s="7"/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4325.1672066475785</v>
      </c>
      <c r="D15" s="6">
        <f>TONT20000AOUT!C15+TONT20000AOUT!D15+TONT20000SEPT!G15</f>
        <v>454314.41826820787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  <c r="Q15" s="7"/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15390.685938463143</v>
      </c>
      <c r="D16" s="6">
        <f>TONT20000AOUT!C16+TONT20000AOUT!D16+TONT20000SEPT!G16</f>
        <v>1616633.5761851869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  <c r="Q16" s="7"/>
    </row>
    <row r="17" spans="1:17" x14ac:dyDescent="0.25">
      <c r="A17" s="1" t="s">
        <v>22</v>
      </c>
      <c r="B17" s="1" t="str">
        <f>VLOOKUP(A17,LISTADHERENT!A$5:H$51,2)</f>
        <v>HODIEP JULES</v>
      </c>
      <c r="C17" s="6">
        <f t="shared" si="0"/>
        <v>791.76518304146055</v>
      </c>
      <c r="D17" s="6">
        <f>TONT20000AOUT!C17+TONT20000AOUT!D17+TONT20000SEPT!G17</f>
        <v>83166.805201344454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  <c r="Q17" s="7"/>
    </row>
    <row r="18" spans="1:17" x14ac:dyDescent="0.25">
      <c r="A18" s="1" t="s">
        <v>23</v>
      </c>
      <c r="B18" s="1" t="str">
        <f>VLOOKUP(A18,LISTADHERENT!A$5:H$51,2)</f>
        <v>HOTCHO BENJAMIN</v>
      </c>
      <c r="C18" s="6">
        <f t="shared" si="0"/>
        <v>4380.5115930529473</v>
      </c>
      <c r="D18" s="6">
        <f>TONT20000AOUT!C18+TONT20000AOUT!D18+TONT20000SEPT!G18</f>
        <v>460127.77796341723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  <c r="Q18" s="7"/>
    </row>
    <row r="19" spans="1:17" x14ac:dyDescent="0.25">
      <c r="A19" s="1" t="s">
        <v>24</v>
      </c>
      <c r="B19" s="1" t="str">
        <f>VLOOKUP(A19,LISTADHERENT!A$5:H$51,2)</f>
        <v>KEPHE DAVID</v>
      </c>
      <c r="C19" s="6">
        <f t="shared" si="0"/>
        <v>428.80976943568334</v>
      </c>
      <c r="D19" s="6">
        <f>TONT20000AOUT!C19+TONT20000AOUT!D19+TONT20000SEPT!G19</f>
        <v>45042.064651159882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  <c r="Q19" s="7"/>
    </row>
    <row r="20" spans="1:17" x14ac:dyDescent="0.25">
      <c r="A20" s="1" t="s">
        <v>25</v>
      </c>
      <c r="B20" s="1" t="str">
        <f>VLOOKUP(A20,LISTADHERENT!A$5:H$51,2)</f>
        <v>KEPSEU FRANCIS</v>
      </c>
      <c r="C20" s="6">
        <f t="shared" si="0"/>
        <v>11328.849080594067</v>
      </c>
      <c r="D20" s="6">
        <f>TONT20000AOUT!C20+TONT20000AOUT!D20+TONT20000SEPT!G20</f>
        <v>1189979.3080341343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  <c r="Q20" s="7"/>
    </row>
    <row r="21" spans="1:17" x14ac:dyDescent="0.25">
      <c r="A21" s="1" t="s">
        <v>26</v>
      </c>
      <c r="B21" s="1" t="str">
        <f>VLOOKUP(A21,LISTADHERENT!A$5:H$51,2)</f>
        <v>KOUAMOU EMMANUEL</v>
      </c>
      <c r="C21" s="6">
        <f t="shared" si="0"/>
        <v>4319.0747163772376</v>
      </c>
      <c r="D21" s="6">
        <f>TONT20000AOUT!C21+TONT20000AOUT!D21+TONT20000SEPT!G21</f>
        <v>453674.46470324037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  <c r="Q21" s="7"/>
    </row>
    <row r="22" spans="1:17" x14ac:dyDescent="0.25">
      <c r="A22" s="1" t="s">
        <v>27</v>
      </c>
      <c r="B22" s="1" t="str">
        <f>VLOOKUP(A22,LISTADHERENT!A$5:H$51,2)</f>
        <v>KOUAMOU MOISE</v>
      </c>
      <c r="C22" s="6">
        <f t="shared" si="0"/>
        <v>4285.6786524316776</v>
      </c>
      <c r="D22" s="6">
        <f>TONT20000AOUT!C22+TONT20000AOUT!D22+TONT20000SEPT!G22</f>
        <v>450166.55098823865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  <c r="Q22" s="7"/>
    </row>
    <row r="23" spans="1:17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4666.2545064716778</v>
      </c>
      <c r="D23" s="6">
        <f>TONT20000AOUT!C23+TONT20000AOUT!D23+TONT20000SEPT!G23</f>
        <v>490142.13793649996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  <c r="Q23" s="7"/>
    </row>
    <row r="24" spans="1:17" x14ac:dyDescent="0.25">
      <c r="A24" s="1" t="s">
        <v>29</v>
      </c>
      <c r="B24" s="1" t="str">
        <f>VLOOKUP(A24,LISTADHERENT!A$5:H$51,2)</f>
        <v>KOUATCHO MESSACK</v>
      </c>
      <c r="C24" s="6">
        <f t="shared" si="0"/>
        <v>4291.1926138459112</v>
      </c>
      <c r="D24" s="6">
        <f>TONT20000AOUT!C24+TONT20000AOUT!D24+TONT20000SEPT!G24</f>
        <v>450745.7360353301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  <c r="Q24" s="7"/>
    </row>
    <row r="25" spans="1:17" x14ac:dyDescent="0.25">
      <c r="A25" s="1" t="s">
        <v>30</v>
      </c>
      <c r="B25" s="1" t="str">
        <f>VLOOKUP(A25,LISTADHERENT!A$5:H$51,2)</f>
        <v>LOWE JEAN</v>
      </c>
      <c r="C25" s="6">
        <f t="shared" si="0"/>
        <v>4335.5397993263277</v>
      </c>
      <c r="D25" s="6">
        <f>TONT20000AOUT!C25+TONT20000AOUT!D25+TONT20000SEPT!G25</f>
        <v>455403.95265696774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  <c r="Q25" s="7"/>
    </row>
    <row r="26" spans="1:17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4387.5563549117633</v>
      </c>
      <c r="D26" s="6">
        <f>TONT20000AOUT!C26+TONT20000AOUT!D26+TONT20000SEPT!G26</f>
        <v>460867.7578839176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  <c r="Q26" s="7"/>
    </row>
    <row r="27" spans="1:17" x14ac:dyDescent="0.25">
      <c r="A27" s="1" t="s">
        <v>32</v>
      </c>
      <c r="B27" s="1" t="str">
        <f>VLOOKUP(A27,LISTADHERENT!A$5:H$51,2)</f>
        <v>NDJOMO ETIENNE</v>
      </c>
      <c r="C27" s="6">
        <f t="shared" si="0"/>
        <v>4757.4145941493634</v>
      </c>
      <c r="D27" s="6">
        <f>TONT20000AOUT!C27+TONT20000AOUT!D27+TONT20000SEPT!G27</f>
        <v>499717.56941089779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  <c r="P27" s="7"/>
      <c r="Q27" s="7"/>
    </row>
    <row r="28" spans="1:17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TONT20000AOUT!C28+TONT20000AOUT!D28+TONT20000SEPT!G28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  <c r="Q28" s="7"/>
    </row>
    <row r="29" spans="1:17" x14ac:dyDescent="0.25">
      <c r="A29" s="1" t="s">
        <v>34</v>
      </c>
      <c r="B29" s="1" t="str">
        <f>VLOOKUP(A29,LISTADHERENT!A$5:H$51,2)</f>
        <v>NGONDIEP CLAUDE</v>
      </c>
      <c r="C29" s="6">
        <f t="shared" si="0"/>
        <v>6129.9368958732503</v>
      </c>
      <c r="D29" s="6">
        <f>TONT20000AOUT!C29+TONT20000AOUT!D29+TONT20000SEPT!G29</f>
        <v>643886.94859916414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  <c r="Q29" s="7"/>
    </row>
    <row r="30" spans="1:17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297.79562992473075</v>
      </c>
      <c r="D30" s="6">
        <f>TONT20000AOUT!C30+TONT20000AOUT!D30+TONT20000SEPT!G30</f>
        <v>31280.374123832677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  <c r="Q30" s="7"/>
    </row>
    <row r="31" spans="1:17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9034.9505145748299</v>
      </c>
      <c r="D31" s="6">
        <f>TONT20000AOUT!C31+TONT20000AOUT!D31+TONT20000SEPT!G31+375111</f>
        <v>949028.80998504884</v>
      </c>
      <c r="E31" s="1"/>
      <c r="F31" s="7">
        <f>G31+H31+I31+J31+K31+L31+Q31</f>
        <v>520000</v>
      </c>
      <c r="G31" s="7">
        <v>402945</v>
      </c>
      <c r="H31" s="7">
        <v>500</v>
      </c>
      <c r="I31" s="7">
        <v>1000</v>
      </c>
      <c r="J31" s="7">
        <v>2500</v>
      </c>
      <c r="K31" s="7">
        <v>50000</v>
      </c>
      <c r="L31" s="7">
        <v>13000</v>
      </c>
      <c r="N31" s="7">
        <f t="shared" si="2"/>
        <v>0</v>
      </c>
      <c r="Q31" s="7">
        <v>50055</v>
      </c>
    </row>
    <row r="32" spans="1:17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4480.0853982172184</v>
      </c>
      <c r="D32" s="6">
        <f>TONT20000AOUT!C32+TONT20000AOUT!D32+TONT20000SEPT!G32</f>
        <v>470586.98409501585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  <c r="Q32" s="7"/>
    </row>
    <row r="33" spans="1:17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1304.7350447472697</v>
      </c>
      <c r="D33" s="6">
        <f>TONT20000AOUT!C33+TONT20000AOUT!D33+TONT20000SEPT!G33</f>
        <v>137049.02366258949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  <c r="Q33" s="7"/>
    </row>
    <row r="34" spans="1:17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4825.8040773688745</v>
      </c>
      <c r="D34" s="6">
        <f>TONT20000AOUT!C34+TONT20000AOUT!D34+TONT20000SEPT!G34</f>
        <v>506901.18262168468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  <c r="Q34" s="7"/>
    </row>
    <row r="35" spans="1:17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4344.3737579123854</v>
      </c>
      <c r="D35" s="6">
        <f>TONT20000AOUT!C35+TONT20000AOUT!D35+TONT20000SEPT!G35</f>
        <v>456331.8693279954</v>
      </c>
      <c r="E35" s="1"/>
      <c r="F35" s="7">
        <f t="shared" si="1"/>
        <v>0</v>
      </c>
      <c r="G35" s="7"/>
      <c r="H35" s="7"/>
      <c r="I35" s="7"/>
      <c r="J35" s="7"/>
      <c r="K35" s="7"/>
      <c r="L35" s="7"/>
      <c r="N35" s="7">
        <f t="shared" si="2"/>
        <v>0</v>
      </c>
      <c r="Q35" s="7"/>
    </row>
    <row r="36" spans="1:17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89.834771198219997</v>
      </c>
      <c r="D36" s="6">
        <f>TONT20000AOUT!C36+TONT20000AOUT!D36+TONT20000SEPT!G36</f>
        <v>9436.2205822815031</v>
      </c>
      <c r="E36" s="1"/>
      <c r="F36" s="7">
        <f t="shared" si="1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2"/>
        <v>0</v>
      </c>
      <c r="Q36" s="7"/>
    </row>
    <row r="37" spans="1:17" x14ac:dyDescent="0.25">
      <c r="A37" s="1" t="s">
        <v>42</v>
      </c>
      <c r="B37" s="1" t="str">
        <f>VLOOKUP(A37,LISTADHERENT!A$5:H$51,2)</f>
        <v>NTOMBOU ADOLPHE</v>
      </c>
      <c r="C37" s="6">
        <f t="shared" si="0"/>
        <v>269.23500957417309</v>
      </c>
      <c r="D37" s="6">
        <f>TONT20000AOUT!C37+TONT20000AOUT!D37+TONT20000SEPT!G37</f>
        <v>28280.374123832677</v>
      </c>
      <c r="E37" s="1"/>
      <c r="F37" s="7">
        <f t="shared" si="1"/>
        <v>0</v>
      </c>
      <c r="G37" s="7"/>
      <c r="H37" s="7"/>
      <c r="I37" s="7"/>
      <c r="J37" s="7"/>
      <c r="K37" s="7"/>
      <c r="L37" s="7"/>
      <c r="N37" s="7">
        <f t="shared" si="2"/>
        <v>0</v>
      </c>
      <c r="Q37" s="7"/>
    </row>
    <row r="38" spans="1:17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4292.626140968343</v>
      </c>
      <c r="D38" s="6">
        <f>TONT20000AOUT!C38+TONT20000AOUT!D38+TONT20000SEPT!G38</f>
        <v>450896.31334473408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  <c r="Q38" s="7"/>
    </row>
    <row r="39" spans="1:17" x14ac:dyDescent="0.25">
      <c r="A39" s="1" t="s">
        <v>44</v>
      </c>
      <c r="B39" s="1" t="str">
        <f>VLOOKUP(A39,LISTADHERENT!A$5:H$51,2)</f>
        <v>SEUNOU RICHELOT</v>
      </c>
      <c r="C39" s="6">
        <f t="shared" si="0"/>
        <v>4318.142923747655</v>
      </c>
      <c r="D39" s="6">
        <f>TONT20000AOUT!C39+TONT20000AOUT!D39+TONT20000SEPT!G39</f>
        <v>453576.58945212764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  <c r="Q39" s="7"/>
    </row>
    <row r="40" spans="1:17" x14ac:dyDescent="0.25">
      <c r="A40" s="1" t="s">
        <v>45</v>
      </c>
      <c r="B40" s="1" t="str">
        <f>VLOOKUP(A40,LISTADHERENT!A$5:H$51,2)</f>
        <v>SIME ABEL</v>
      </c>
      <c r="C40" s="6">
        <f t="shared" si="0"/>
        <v>4010.6762754972247</v>
      </c>
      <c r="D40" s="6">
        <f>TONT20000AOUT!C40+TONT20000AOUT!D40+TONT20000SEPT!G40+390000</f>
        <v>421280.37412383268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  <c r="Q40" s="7"/>
    </row>
    <row r="41" spans="1:17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4301.247782661836</v>
      </c>
      <c r="D41" s="6">
        <f>TONT20000AOUT!C41+TONT20000AOUT!D41+TONT20000SEPT!G41</f>
        <v>451801.92830557906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>
        <v>1000000</v>
      </c>
      <c r="N41" s="7">
        <f t="shared" si="2"/>
        <v>120000</v>
      </c>
      <c r="Q41" s="7"/>
    </row>
    <row r="42" spans="1:17" x14ac:dyDescent="0.25">
      <c r="A42" s="1" t="s">
        <v>47</v>
      </c>
      <c r="B42" s="1" t="str">
        <f>VLOOKUP(A42,LISTADHERENT!A$5:H$51,2)</f>
        <v>SIME MATHIEU</v>
      </c>
      <c r="C42" s="6">
        <f t="shared" si="0"/>
        <v>4297.704922773537</v>
      </c>
      <c r="D42" s="6">
        <f>TONT20000AOUT!C42+TONT20000AOUT!D42+TONT20000SEPT!G42</f>
        <v>451429.78724090895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>
        <v>800000</v>
      </c>
      <c r="N42" s="7">
        <f t="shared" si="2"/>
        <v>96000</v>
      </c>
      <c r="Q42" s="7"/>
    </row>
    <row r="43" spans="1:17" x14ac:dyDescent="0.25">
      <c r="A43" s="1" t="s">
        <v>48</v>
      </c>
      <c r="B43" s="1" t="str">
        <f>VLOOKUP(A43,LISTADHERENT!A$5:H$51,2)</f>
        <v>SIME PIERRE</v>
      </c>
      <c r="C43" s="6">
        <f t="shared" si="0"/>
        <v>11589.184438679265</v>
      </c>
      <c r="D43" s="6">
        <f>TONT20000AOUT!C43+TONT20000AOUT!D43+TONT20000SEPT!G43+550000</f>
        <v>1217324.8651218098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  <c r="Q43" s="7"/>
    </row>
    <row r="44" spans="1:17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4010.6762754972247</v>
      </c>
      <c r="D44" s="6">
        <f>TONT20000AOUT!C44+TONT20000AOUT!D44+TONT20000SEPT!G44+390000</f>
        <v>421280.37412383268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  <c r="Q44" s="7"/>
    </row>
    <row r="45" spans="1:17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297.79562992473075</v>
      </c>
      <c r="D45" s="6">
        <f>TONT20000AOUT!C45+TONT20000AOUT!D45+TONT20000SEPT!G45</f>
        <v>31280.374123832677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  <c r="Q45" s="7"/>
    </row>
    <row r="46" spans="1:17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4357.1041430395026</v>
      </c>
      <c r="D46" s="6">
        <f>TONT20000AOUT!C46+TONT20000AOUT!D46+TONT20000SEPT!G46</f>
        <v>457669.06561128993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>
        <v>40750</v>
      </c>
      <c r="Q46" s="7"/>
    </row>
    <row r="47" spans="1:17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3875.6508956516536</v>
      </c>
      <c r="D47" s="6">
        <f>TONT20000AOUT!C47+TONT20000AOUT!D47+TONT20000SEPT!G47</f>
        <v>407097.3439737609</v>
      </c>
      <c r="E47" s="1"/>
      <c r="F47" s="7">
        <f t="shared" si="1"/>
        <v>20000</v>
      </c>
      <c r="G47" s="7">
        <v>3000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  <c r="Q47" s="7"/>
    </row>
    <row r="48" spans="1:17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177.61444366563936</v>
      </c>
      <c r="D48" s="6">
        <f>TONT20000AOUT!C48+TONT20000AOUT!D48+TONT20000SEPT!G48</f>
        <v>18656.574137981366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  <c r="Q48" s="7"/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4298.3541143315024</v>
      </c>
      <c r="D49" s="6">
        <f>TONT20000AOUT!C49+TONT20000AOUT!D49+TONT20000SEPT!G49</f>
        <v>451497.97815027967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  <c r="Q49" s="7"/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4471.7760733547157</v>
      </c>
      <c r="D50" s="6">
        <f>TONT20000AOUT!C50+TONT20000AOUT!D50+TONT20000SEPT!G50</f>
        <v>469714.17481141002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  <c r="Q50" s="7"/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8604.4402172202845</v>
      </c>
      <c r="D51" s="6">
        <f>TONT20000AOUT!C51+TONT20000AOUT!D51+TONT20000SEPT!G51</f>
        <v>903808.12233151833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  <c r="Q51" s="7"/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14564.247312900929</v>
      </c>
      <c r="D52" s="6">
        <f>TONT20000AOUT!C52+TONT20000AOUT!D52+TONT20000SEPT!G52</f>
        <v>1529824.6817614972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  <c r="Q52" s="7"/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  <c r="Q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/>
      <c r="N54" s="7">
        <f t="shared" si="2"/>
        <v>0</v>
      </c>
      <c r="O54" s="9"/>
      <c r="P54" s="9"/>
      <c r="Q54" s="7"/>
    </row>
    <row r="55" spans="1:17" ht="18" x14ac:dyDescent="0.25">
      <c r="A55" s="1"/>
      <c r="B55" s="1"/>
      <c r="C55" s="1"/>
      <c r="D55" s="1"/>
      <c r="E55" s="1"/>
      <c r="H55" s="4"/>
      <c r="O55" s="9"/>
      <c r="P55" s="9"/>
    </row>
    <row r="56" spans="1:17" ht="18" x14ac:dyDescent="0.25">
      <c r="A56" s="8" t="s">
        <v>56</v>
      </c>
      <c r="B56" s="8"/>
      <c r="C56" s="9">
        <f>SUM(C5:C52)</f>
        <v>230399.99999999991</v>
      </c>
      <c r="D56" s="9">
        <f t="shared" ref="D56:Q56" si="3">SUM(D5:D52)</f>
        <v>24201155.000000004</v>
      </c>
      <c r="E56" s="9">
        <f t="shared" si="3"/>
        <v>0</v>
      </c>
      <c r="F56" s="9">
        <f t="shared" si="3"/>
        <v>1356000</v>
      </c>
      <c r="G56" s="9">
        <f t="shared" si="3"/>
        <v>541945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50000</v>
      </c>
      <c r="L56" s="9">
        <f t="shared" si="3"/>
        <v>546000</v>
      </c>
      <c r="M56" s="9">
        <f t="shared" si="3"/>
        <v>2280000</v>
      </c>
      <c r="N56" s="9">
        <f t="shared" si="3"/>
        <v>230400</v>
      </c>
      <c r="O56" s="9">
        <f t="shared" si="3"/>
        <v>480000</v>
      </c>
      <c r="P56" s="9">
        <f t="shared" si="3"/>
        <v>40750</v>
      </c>
      <c r="Q56" s="9">
        <f t="shared" si="3"/>
        <v>50055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38" activePane="bottomRight" state="frozen"/>
      <selection activeCell="D29" sqref="D29"/>
      <selection pane="topRight" activeCell="D29" sqref="D29"/>
      <selection pane="bottomLeft" activeCell="D29" sqref="D29"/>
      <selection pane="bottomRight" activeCell="A13" sqref="A13:XFD1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2.5703125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43.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2722.3288503201998</v>
      </c>
      <c r="D5" s="6">
        <f>TONT20000SEPT!C5+TONT20000SEPT!D5+TONT20000OCT!G5</f>
        <v>345439.19704816135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3871.9783446919878</v>
      </c>
      <c r="D6" s="6">
        <f>TONT20000SEPT!C6+TONT20000SEPT!D6+TONT20000OCT!G6</f>
        <v>491319.44152189721</v>
      </c>
      <c r="E6" s="1"/>
      <c r="F6" s="7">
        <f t="shared" ref="F6:F52" si="1">G6+H6+I6+J6+K6+L6</f>
        <v>65000</v>
      </c>
      <c r="G6" s="7">
        <v>6000</v>
      </c>
      <c r="H6" s="7">
        <v>1000</v>
      </c>
      <c r="I6" s="7">
        <v>2000</v>
      </c>
      <c r="J6" s="7">
        <v>5000</v>
      </c>
      <c r="K6" s="7">
        <v>25000</v>
      </c>
      <c r="L6" s="7">
        <v>26000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3624.2672489717729</v>
      </c>
      <c r="D7" s="6">
        <f>TONT20000SEPT!C7+TONT20000SEPT!D7+TONT20000OCT!G7</f>
        <v>459887.11768804205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3625.4480985257328</v>
      </c>
      <c r="D8" s="6">
        <f>TONT20000SEPT!C8+TONT20000SEPT!D8+TONT20000OCT!G8</f>
        <v>460036.95694118977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3718.8801228549673</v>
      </c>
      <c r="D9" s="6">
        <f>TONT20000SEPT!C9+TONT20000SEPT!D9+TONT20000OCT!G9</f>
        <v>471892.64566853765</v>
      </c>
      <c r="E9" s="1"/>
      <c r="F9" s="7">
        <f t="shared" si="1"/>
        <v>25000</v>
      </c>
      <c r="G9" s="7">
        <v>8000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3992.6431094509403</v>
      </c>
      <c r="D10" s="6">
        <f>TONT20000SEPT!C10+TONT20000SEPT!D10+TONT20000OCT!G10</f>
        <v>506630.72158471373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42.784404128938057</v>
      </c>
      <c r="D11" s="6">
        <f>TONT20000SEPT!C11+TONT20000SEPT!D11+TONT20000OCT!G11</f>
        <v>5428.9584473771602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16359.18816867187</v>
      </c>
      <c r="D12" s="6">
        <f>TONT20000SEPT!C12+TONT20000SEPT!D12+TONT20000OCT!G12</f>
        <v>2075834.7488699281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3819.3512355679632</v>
      </c>
      <c r="D13" s="6">
        <f>TONT20000SEPT!C13+TONT20000SEPT!D13+TONT20000OCT!G13</f>
        <v>484641.53179154603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3992.4698309054143</v>
      </c>
      <c r="D14" s="6">
        <f>TONT20000SEPT!C14+TONT20000SEPT!D14+TONT20000OCT!G14</f>
        <v>506608.73408616992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3638.0780546245946</v>
      </c>
      <c r="D15" s="6">
        <f>TONT20000SEPT!C15+TONT20000SEPT!D15+TONT20000OCT!G15</f>
        <v>461639.58547485544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12861.61724311302</v>
      </c>
      <c r="D16" s="6">
        <f>TONT20000SEPT!C16+TONT20000SEPT!D16+TONT20000OCT!G16</f>
        <v>1632024.2621236499</v>
      </c>
      <c r="E16" s="1"/>
      <c r="F16" s="7">
        <f t="shared" si="1"/>
        <v>0</v>
      </c>
      <c r="G16" s="7"/>
      <c r="H16" s="7"/>
      <c r="I16" s="7"/>
      <c r="J16" s="7"/>
      <c r="K16" s="7"/>
      <c r="L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685.30099352624552</v>
      </c>
      <c r="D17" s="6">
        <f>TONT20000SEPT!C17+TONT20000SEPT!D17+TONT20000OCT!G17</f>
        <v>86958.570384385908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4062.6052319220089</v>
      </c>
      <c r="D18" s="6">
        <f>TONT20000SEPT!C18+TONT20000SEPT!D18+TONT20000OCT!G18</f>
        <v>515508.28955647018</v>
      </c>
      <c r="E18" s="1"/>
      <c r="F18" s="7">
        <f t="shared" si="1"/>
        <v>118000</v>
      </c>
      <c r="G18" s="7">
        <v>51000</v>
      </c>
      <c r="H18" s="7">
        <v>500</v>
      </c>
      <c r="I18" s="7">
        <v>1000</v>
      </c>
      <c r="J18" s="7">
        <v>2500</v>
      </c>
      <c r="K18" s="7">
        <v>50000</v>
      </c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381.98809215341493</v>
      </c>
      <c r="D19" s="6">
        <f>TONT20000SEPT!C19+TONT20000SEPT!D19+TONT20000OCT!G19</f>
        <v>48470.874420595566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9514.5248582838303</v>
      </c>
      <c r="D20" s="6">
        <f>TONT20000SEPT!C20+TONT20000SEPT!D20+TONT20000OCT!G20</f>
        <v>1207308.1571147284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3632.9867105332514</v>
      </c>
      <c r="D21" s="6">
        <f>TONT20000SEPT!C21+TONT20000SEPT!D21+TONT20000OCT!G21</f>
        <v>460993.53941961762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3605.0784422720644</v>
      </c>
      <c r="D22" s="6">
        <f>TONT20000SEPT!C22+TONT20000SEPT!D22+TONT20000OCT!G22</f>
        <v>457452.22964067035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3923.1163118124064</v>
      </c>
      <c r="D23" s="6">
        <f>TONT20000SEPT!C23+TONT20000SEPT!D23+TONT20000OCT!G23</f>
        <v>497808.39244297164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3609.6863240446319</v>
      </c>
      <c r="D24" s="6">
        <f>TONT20000SEPT!C24+TONT20000SEPT!D24+TONT20000OCT!G24</f>
        <v>458036.92864917603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3646.7461749011177</v>
      </c>
      <c r="D25" s="6">
        <f>TONT20000SEPT!C25+TONT20000SEPT!D25+TONT20000OCT!G25</f>
        <v>462739.49245629407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3690.2151294961195</v>
      </c>
      <c r="D26" s="6">
        <f>TONT20000SEPT!C26+TONT20000SEPT!D26+TONT20000OCT!G26</f>
        <v>468255.31423882936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4038.7004310625862</v>
      </c>
      <c r="D27" s="6">
        <f>TONT20000SEPT!C27+TONT20000SEPT!D27+TONT20000OCT!G27</f>
        <v>512474.98400504718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TONT20000SEPT!C28+TONT20000SEPT!D28+TONT20000OCT!G28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5146.2796414546174</v>
      </c>
      <c r="D29" s="6">
        <f>TONT20000SEPT!C29+TONT20000SEPT!D29+TONT20000OCT!G29</f>
        <v>653016.88549503742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272.50280198746236</v>
      </c>
      <c r="D30" s="6">
        <f>TONT20000SEPT!C30+TONT20000SEPT!D30+TONT20000OCT!G30</f>
        <v>34578.169753757407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7573.9279866395073</v>
      </c>
      <c r="D31" s="6">
        <f>TONT20000SEPT!C31+TONT20000SEPT!D31+TONT20000OCT!G31</f>
        <v>961063.76049962372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3767.5393724586802</v>
      </c>
      <c r="D32" s="6">
        <f>TONT20000SEPT!C32+TONT20000SEPT!D32+TONT20000OCT!G32</f>
        <v>478067.06949323305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1137.6196023474265</v>
      </c>
      <c r="D33" s="6">
        <f>TONT20000SEPT!C33+TONT20000SEPT!D33+TONT20000OCT!G33</f>
        <v>144353.75870733676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4095.8518380980213</v>
      </c>
      <c r="D34" s="6">
        <f>TONT20000SEPT!C34+TONT20000SEPT!D34+TONT20000OCT!G34</f>
        <v>519726.98669905355</v>
      </c>
      <c r="E34" s="1"/>
      <c r="F34" s="10">
        <f>G34+H34+I34+J34+K34+L34</f>
        <v>50000</v>
      </c>
      <c r="G34" s="7">
        <v>8000</v>
      </c>
      <c r="H34" s="7">
        <v>500</v>
      </c>
      <c r="I34" s="7">
        <v>1000</v>
      </c>
      <c r="J34" s="7">
        <v>2500</v>
      </c>
      <c r="K34" s="7">
        <v>25000</v>
      </c>
      <c r="L34" s="7">
        <v>13000</v>
      </c>
      <c r="M34" s="7">
        <v>600000</v>
      </c>
      <c r="N34" s="7">
        <f t="shared" si="2"/>
        <v>72000</v>
      </c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3630.4861692781178</v>
      </c>
      <c r="D35" s="6">
        <f>TONT20000SEPT!C35+TONT20000SEPT!D35+TONT20000OCT!G35</f>
        <v>460676.24308590777</v>
      </c>
      <c r="E35" s="1"/>
      <c r="F35" s="7">
        <f t="shared" si="1"/>
        <v>0</v>
      </c>
      <c r="G35" s="7"/>
      <c r="H35" s="7"/>
      <c r="I35" s="7"/>
      <c r="J35" s="7"/>
      <c r="K35" s="7"/>
      <c r="L35" s="7"/>
      <c r="N35" s="7">
        <f t="shared" si="2"/>
        <v>0</v>
      </c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98.715033386125526</v>
      </c>
      <c r="D36" s="6">
        <f>TONT20000SEPT!C36+TONT20000SEPT!D36+TONT20000OCT!G36</f>
        <v>12526.055353479724</v>
      </c>
      <c r="E36" s="1"/>
      <c r="F36" s="7">
        <f t="shared" si="1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2"/>
        <v>0</v>
      </c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224.99306758868644</v>
      </c>
      <c r="D37" s="6">
        <f>TONT20000SEPT!C37+TONT20000SEPT!D37+TONT20000OCT!G37</f>
        <v>28549.609133406848</v>
      </c>
      <c r="E37" s="1"/>
      <c r="F37" s="7">
        <f t="shared" si="1"/>
        <v>0</v>
      </c>
      <c r="G37" s="7"/>
      <c r="H37" s="7"/>
      <c r="I37" s="7"/>
      <c r="J37" s="7"/>
      <c r="K37" s="7"/>
      <c r="L37" s="7"/>
      <c r="N37" s="7">
        <f t="shared" si="2"/>
        <v>0</v>
      </c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3610.8842873602407</v>
      </c>
      <c r="D38" s="6">
        <f>TONT20000SEPT!C38+TONT20000SEPT!D38+TONT20000OCT!G38</f>
        <v>458188.93948570243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3632.2080343781045</v>
      </c>
      <c r="D39" s="6">
        <f>TONT20000SEPT!C39+TONT20000SEPT!D39+TONT20000OCT!G39</f>
        <v>460894.73237587529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>
        <v>1000000</v>
      </c>
      <c r="N39" s="7">
        <f t="shared" si="2"/>
        <v>120000</v>
      </c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3375.26572780182</v>
      </c>
      <c r="D40" s="6">
        <f>TONT20000SEPT!C40+TONT20000SEPT!D40+TONT20000OCT!G40</f>
        <v>428291.05039932992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3618.0891810155549</v>
      </c>
      <c r="D41" s="6">
        <f>TONT20000SEPT!C41+TONT20000SEPT!D41+TONT20000OCT!G41</f>
        <v>459103.17608824087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3615.1285002498335</v>
      </c>
      <c r="D42" s="6">
        <f>TONT20000SEPT!C42+TONT20000SEPT!D42+TONT20000OCT!G42</f>
        <v>458727.49216368247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9708.4383789999847</v>
      </c>
      <c r="D43" s="6">
        <f>TONT20000SEPT!C43+TONT20000SEPT!D43+TONT20000OCT!G43</f>
        <v>1231914.0495604891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70000</v>
      </c>
      <c r="N43" s="7">
        <f t="shared" si="2"/>
        <v>2100</v>
      </c>
      <c r="O43" s="7">
        <v>70000</v>
      </c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3375.26572780182</v>
      </c>
      <c r="D44" s="6">
        <f>TONT20000SEPT!C44+TONT20000SEPT!D44+TONT20000OCT!G44</f>
        <v>428291.05039932992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272.50280198746236</v>
      </c>
      <c r="D45" s="6">
        <f>TONT20000SEPT!C45+TONT20000SEPT!D45+TONT20000OCT!G45</f>
        <v>34578.169753757407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3664.766965920227</v>
      </c>
      <c r="D46" s="6">
        <f>TONT20000SEPT!C46+TONT20000SEPT!D46+TONT20000OCT!G46</f>
        <v>465026.16975432943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>
        <v>54075</v>
      </c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3262.4283428650251</v>
      </c>
      <c r="D47" s="6">
        <f>TONT20000SEPT!C47+TONT20000SEPT!D47+TONT20000OCT!G47</f>
        <v>413972.99486941256</v>
      </c>
      <c r="E47" s="1"/>
      <c r="F47" s="7">
        <f t="shared" si="1"/>
        <v>20000</v>
      </c>
      <c r="G47" s="7">
        <v>3000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172.07034409260277</v>
      </c>
      <c r="D48" s="6">
        <f>TONT20000SEPT!C48+TONT20000SEPT!D48+TONT20000OCT!G48</f>
        <v>21834.188581647006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3615.6710136484821</v>
      </c>
      <c r="D49" s="6">
        <f>TONT20000SEPT!C49+TONT20000SEPT!D49+TONT20000OCT!G49</f>
        <v>458796.33226461115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3760.5954742882218</v>
      </c>
      <c r="D50" s="6">
        <f>TONT20000SEPT!C50+TONT20000SEPT!D50+TONT20000OCT!G50</f>
        <v>477185.95088476472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7214.1611324569285</v>
      </c>
      <c r="D51" s="6">
        <f>TONT20000SEPT!C51+TONT20000SEPT!D51+TONT20000OCT!G51</f>
        <v>915412.56254873867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12194.625162060001</v>
      </c>
      <c r="D52" s="6">
        <f>TONT20000SEPT!C52+TONT20000SEPT!D52+TONT20000OCT!G52</f>
        <v>1547388.929074398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L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O55" s="9"/>
    </row>
    <row r="56" spans="1:17" ht="18" x14ac:dyDescent="0.25">
      <c r="A56" s="8" t="s">
        <v>56</v>
      </c>
      <c r="B56" s="8"/>
      <c r="C56" s="9">
        <f>SUM(C5:C52)</f>
        <v>194100.00000000003</v>
      </c>
      <c r="D56" s="9">
        <f t="shared" ref="D56:Q56" si="3">SUM(D5:D52)</f>
        <v>24629554.999999996</v>
      </c>
      <c r="E56" s="9">
        <f t="shared" si="3"/>
        <v>0</v>
      </c>
      <c r="F56" s="9">
        <f t="shared" si="3"/>
        <v>1029000</v>
      </c>
      <c r="G56" s="9">
        <f t="shared" si="3"/>
        <v>198000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100000</v>
      </c>
      <c r="L56" s="9">
        <f t="shared" si="3"/>
        <v>559000</v>
      </c>
      <c r="M56" s="9">
        <f t="shared" si="3"/>
        <v>1670000</v>
      </c>
      <c r="N56" s="9">
        <f t="shared" si="3"/>
        <v>194100</v>
      </c>
      <c r="O56" s="9">
        <f t="shared" si="3"/>
        <v>70000</v>
      </c>
      <c r="P56" s="9">
        <f t="shared" si="3"/>
        <v>54075</v>
      </c>
      <c r="Q56" s="9">
        <f t="shared" si="3"/>
        <v>0</v>
      </c>
    </row>
  </sheetData>
  <autoFilter ref="A4:O51"/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>
      <pane xSplit="2" ySplit="4" topLeftCell="H5" activePane="bottomRight" state="frozen"/>
      <selection activeCell="D29" sqref="D29"/>
      <selection pane="topRight" activeCell="D29" sqref="D29"/>
      <selection pane="bottomLeft" activeCell="D29" sqref="D29"/>
      <selection pane="bottomRight" activeCell="E58" sqref="E5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9.5703125" customWidth="1"/>
    <col min="4" max="5" width="22.42578125" customWidth="1"/>
    <col min="6" max="6" width="14.5703125" customWidth="1"/>
    <col min="7" max="7" width="13.85546875" style="2" customWidth="1"/>
    <col min="8" max="8" width="12.5703125" bestFit="1" customWidth="1"/>
    <col min="9" max="9" width="17.5703125" style="3" bestFit="1" customWidth="1"/>
    <col min="10" max="10" width="15.7109375" style="2" customWidth="1"/>
    <col min="11" max="11" width="14.7109375" style="2" customWidth="1"/>
    <col min="12" max="12" width="18.140625" style="2" bestFit="1" customWidth="1"/>
    <col min="13" max="13" width="18.140625" customWidth="1"/>
    <col min="14" max="14" width="15" bestFit="1" customWidth="1"/>
    <col min="15" max="15" width="12.5703125" bestFit="1" customWidth="1"/>
    <col min="16" max="16" width="18.140625" customWidth="1"/>
  </cols>
  <sheetData>
    <row r="1" spans="1:19" x14ac:dyDescent="0.25">
      <c r="A1" s="1" t="s">
        <v>0</v>
      </c>
      <c r="B1" s="1" t="s">
        <v>1</v>
      </c>
      <c r="C1" s="1"/>
      <c r="D1" s="1"/>
      <c r="E1" s="1"/>
      <c r="F1" s="1"/>
    </row>
    <row r="2" spans="1:19" x14ac:dyDescent="0.25">
      <c r="A2" s="1" t="s">
        <v>2</v>
      </c>
      <c r="B2" s="1" t="s">
        <v>3</v>
      </c>
      <c r="C2" s="1"/>
      <c r="D2" s="1"/>
      <c r="E2" s="1"/>
      <c r="F2" s="1"/>
    </row>
    <row r="3" spans="1:19" x14ac:dyDescent="0.25">
      <c r="A3" s="1" t="s">
        <v>4</v>
      </c>
      <c r="B3" s="1" t="s">
        <v>5</v>
      </c>
      <c r="C3" s="1"/>
      <c r="D3" s="1"/>
      <c r="E3" s="1"/>
      <c r="F3" s="1"/>
    </row>
    <row r="4" spans="1:19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5" t="s">
        <v>191</v>
      </c>
      <c r="F4" s="1" t="s">
        <v>184</v>
      </c>
      <c r="G4" s="5" t="s">
        <v>65</v>
      </c>
      <c r="H4" s="1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8</v>
      </c>
      <c r="Q4" s="5" t="s">
        <v>182</v>
      </c>
      <c r="R4" s="5" t="s">
        <v>181</v>
      </c>
    </row>
    <row r="5" spans="1:19" x14ac:dyDescent="0.25">
      <c r="A5" s="1" t="s">
        <v>185</v>
      </c>
      <c r="B5" s="1" t="str">
        <f>VLOOKUP(A5,LISTADHERENT!A$5:H$52,2,0)</f>
        <v>ASELBY</v>
      </c>
      <c r="C5" s="6">
        <f>$O$56/$D$56*D5</f>
        <v>5179.8180482263524</v>
      </c>
      <c r="D5" s="6">
        <f>TONT20000OCT!C5+TONT20000OCT!D5+TONT20000NOV!H5</f>
        <v>348161.52589848154</v>
      </c>
      <c r="E5" s="6">
        <f>C5+D5</f>
        <v>353341.3439467079</v>
      </c>
      <c r="F5" s="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2"/>
    </row>
    <row r="6" spans="1:19" x14ac:dyDescent="0.25">
      <c r="A6" s="1" t="s">
        <v>11</v>
      </c>
      <c r="B6" s="1" t="str">
        <f>VLOOKUP(A6,LISTADHERENT!A$5:H$51,2)</f>
        <v>BAKOP ACHILLE</v>
      </c>
      <c r="C6" s="6">
        <f t="shared" ref="C6:C52" si="0">$O$56/$D$56*D6</f>
        <v>7367.274276881778</v>
      </c>
      <c r="D6" s="6">
        <f>TONT20000OCT!C6+TONT20000OCT!D6+TONT20000NOV!H6</f>
        <v>495191.41986658919</v>
      </c>
      <c r="E6" s="6">
        <f t="shared" ref="E6:E52" si="1">C6+D6</f>
        <v>502558.69414347096</v>
      </c>
      <c r="F6" s="1"/>
      <c r="G6" s="7">
        <f t="shared" ref="G6:G52" si="2">H6+I6+J6+K6+L6+M6</f>
        <v>0</v>
      </c>
      <c r="H6" s="7"/>
      <c r="I6" s="7"/>
      <c r="J6" s="7"/>
      <c r="K6" s="7"/>
      <c r="L6" s="7"/>
      <c r="M6" s="7"/>
      <c r="N6" s="7"/>
      <c r="O6" s="7">
        <f>IF(N6&lt;=500000,(N6*1*3/100),(N6*12/100))</f>
        <v>0</v>
      </c>
    </row>
    <row r="7" spans="1:19" x14ac:dyDescent="0.25">
      <c r="A7" s="1" t="s">
        <v>12</v>
      </c>
      <c r="B7" s="1" t="str">
        <f>VLOOKUP(A7,LISTADHERENT!A$5:H$51,2)</f>
        <v>BOUTCHOUANG WILLIAM</v>
      </c>
      <c r="C7" s="6">
        <f t="shared" si="0"/>
        <v>6940.5833547053471</v>
      </c>
      <c r="D7" s="6">
        <f>TONT20000OCT!C7+TONT20000OCT!D7+TONT20000NOV!H7</f>
        <v>466511.38493701385</v>
      </c>
      <c r="E7" s="6">
        <f t="shared" si="1"/>
        <v>473451.96829171921</v>
      </c>
      <c r="F7" s="1"/>
      <c r="G7" s="7">
        <f t="shared" si="2"/>
        <v>20000</v>
      </c>
      <c r="H7" s="7">
        <v>3000</v>
      </c>
      <c r="I7" s="7">
        <v>500</v>
      </c>
      <c r="J7" s="7">
        <v>1000</v>
      </c>
      <c r="K7" s="7">
        <v>2500</v>
      </c>
      <c r="L7" s="7"/>
      <c r="M7" s="7">
        <v>13000</v>
      </c>
      <c r="N7" s="7">
        <v>700000</v>
      </c>
      <c r="O7" s="7">
        <f t="shared" ref="O7:O54" si="3">IF(N7&lt;=500000,(N7*1*3/100),(N7*12/100))</f>
        <v>84000</v>
      </c>
      <c r="P7" s="7">
        <v>1000000</v>
      </c>
    </row>
    <row r="8" spans="1:19" x14ac:dyDescent="0.25">
      <c r="A8" s="1" t="s">
        <v>13</v>
      </c>
      <c r="B8" s="1" t="str">
        <f>VLOOKUP(A8,LISTADHERENT!A$5:H$51,2)</f>
        <v>CHINGUE FABRICE</v>
      </c>
      <c r="C8" s="6">
        <f t="shared" si="0"/>
        <v>6942.8301757795607</v>
      </c>
      <c r="D8" s="6">
        <f>TONT20000OCT!C8+TONT20000OCT!D8+TONT20000NOV!H8</f>
        <v>466662.40503971552</v>
      </c>
      <c r="E8" s="6">
        <f t="shared" si="1"/>
        <v>473605.23521549511</v>
      </c>
      <c r="F8" s="1"/>
      <c r="G8" s="7">
        <f t="shared" si="2"/>
        <v>20000</v>
      </c>
      <c r="H8" s="7">
        <v>3000</v>
      </c>
      <c r="I8" s="7">
        <v>500</v>
      </c>
      <c r="J8" s="7">
        <v>1000</v>
      </c>
      <c r="K8" s="7">
        <v>2500</v>
      </c>
      <c r="L8" s="7"/>
      <c r="M8" s="7">
        <v>13000</v>
      </c>
      <c r="O8" s="7">
        <f t="shared" si="3"/>
        <v>0</v>
      </c>
    </row>
    <row r="9" spans="1:19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7150.36002055481</v>
      </c>
      <c r="D9" s="6">
        <f>TONT20000OCT!C9+TONT20000OCT!D9+TONT20000NOV!H9</f>
        <v>480611.5257913926</v>
      </c>
      <c r="E9" s="6">
        <f t="shared" si="1"/>
        <v>487761.8858119474</v>
      </c>
      <c r="F9" s="1"/>
      <c r="G9" s="7">
        <f t="shared" si="2"/>
        <v>22000</v>
      </c>
      <c r="H9" s="7">
        <v>5000</v>
      </c>
      <c r="I9" s="7">
        <v>500</v>
      </c>
      <c r="J9" s="7">
        <v>1000</v>
      </c>
      <c r="K9" s="7">
        <v>2500</v>
      </c>
      <c r="L9" s="7"/>
      <c r="M9" s="7">
        <v>13000</v>
      </c>
      <c r="N9" s="7">
        <v>100000</v>
      </c>
      <c r="O9" s="7">
        <f t="shared" si="3"/>
        <v>3000</v>
      </c>
    </row>
    <row r="10" spans="1:19" x14ac:dyDescent="0.25">
      <c r="A10" s="1" t="s">
        <v>15</v>
      </c>
      <c r="B10" s="1" t="str">
        <f>VLOOKUP(A10,LISTADHERENT!A$5:H$51,2)</f>
        <v>DJOUKWE GUY</v>
      </c>
      <c r="C10" s="6">
        <f t="shared" si="0"/>
        <v>7641.4979155661586</v>
      </c>
      <c r="D10" s="6">
        <f>TONT20000OCT!C10+TONT20000OCT!D10+TONT20000NOV!H10</f>
        <v>513623.36469416466</v>
      </c>
      <c r="E10" s="6">
        <f t="shared" si="1"/>
        <v>521264.8626097308</v>
      </c>
      <c r="F10" s="1"/>
      <c r="G10" s="7">
        <f t="shared" si="2"/>
        <v>20000</v>
      </c>
      <c r="H10" s="7">
        <v>3000</v>
      </c>
      <c r="I10" s="7">
        <v>500</v>
      </c>
      <c r="J10" s="7">
        <v>1000</v>
      </c>
      <c r="K10" s="7">
        <v>2500</v>
      </c>
      <c r="L10" s="7"/>
      <c r="M10" s="7">
        <v>13000</v>
      </c>
      <c r="O10" s="7">
        <f t="shared" si="3"/>
        <v>0</v>
      </c>
    </row>
    <row r="11" spans="1:19" x14ac:dyDescent="0.25">
      <c r="A11" s="1" t="s">
        <v>16</v>
      </c>
      <c r="B11" s="1" t="str">
        <f>VLOOKUP(A11,LISTADHERENT!A$5:H$51,2)</f>
        <v>DJOSSEU JOSUE</v>
      </c>
      <c r="C11" s="6">
        <f t="shared" si="0"/>
        <v>81.406560659861896</v>
      </c>
      <c r="D11" s="6">
        <f>TONT20000OCT!C11+TONT20000OCT!D11+TONT20000NOV!H11</f>
        <v>5471.7428515060983</v>
      </c>
      <c r="E11" s="6">
        <f t="shared" si="1"/>
        <v>5553.1494121659598</v>
      </c>
      <c r="F11" s="1"/>
      <c r="G11" s="7">
        <f t="shared" si="2"/>
        <v>0</v>
      </c>
      <c r="H11" s="7"/>
      <c r="I11" s="7"/>
      <c r="J11" s="7"/>
      <c r="K11" s="7"/>
      <c r="L11" s="7"/>
      <c r="M11" s="7"/>
      <c r="O11" s="7">
        <f t="shared" si="3"/>
        <v>0</v>
      </c>
    </row>
    <row r="12" spans="1:19" x14ac:dyDescent="0.25">
      <c r="A12" s="1" t="s">
        <v>17</v>
      </c>
      <c r="B12" s="1" t="str">
        <f>VLOOKUP(A12,LISTADHERENT!A$5:H$51,2)</f>
        <v>DJOUNKEP SAMUEL</v>
      </c>
      <c r="C12" s="6">
        <f t="shared" si="0"/>
        <v>31171.518281923698</v>
      </c>
      <c r="D12" s="6">
        <f>TONT20000OCT!C12+TONT20000OCT!D12+TONT20000NOV!H12</f>
        <v>2095193.9370386</v>
      </c>
      <c r="E12" s="6">
        <f t="shared" si="1"/>
        <v>2126365.4553205236</v>
      </c>
      <c r="F12" s="1"/>
      <c r="G12" s="7">
        <f t="shared" si="2"/>
        <v>20000</v>
      </c>
      <c r="H12" s="7">
        <v>3000</v>
      </c>
      <c r="I12" s="7">
        <v>500</v>
      </c>
      <c r="J12" s="7">
        <v>1000</v>
      </c>
      <c r="K12" s="7">
        <v>2500</v>
      </c>
      <c r="L12" s="7"/>
      <c r="M12" s="7">
        <v>13000</v>
      </c>
      <c r="O12" s="7">
        <f t="shared" si="3"/>
        <v>0</v>
      </c>
    </row>
    <row r="13" spans="1:19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7311.7727334506944</v>
      </c>
      <c r="D13" s="6">
        <f>TONT20000OCT!C13+TONT20000OCT!D13+TONT20000NOV!H13</f>
        <v>491460.88302711397</v>
      </c>
      <c r="E13" s="6">
        <f t="shared" si="1"/>
        <v>498772.65576056467</v>
      </c>
      <c r="F13" s="1"/>
      <c r="G13" s="7">
        <f t="shared" si="2"/>
        <v>20000</v>
      </c>
      <c r="H13" s="7">
        <v>3000</v>
      </c>
      <c r="I13" s="7">
        <v>500</v>
      </c>
      <c r="J13" s="7">
        <v>1000</v>
      </c>
      <c r="K13" s="7">
        <v>2500</v>
      </c>
      <c r="L13" s="7"/>
      <c r="M13" s="7">
        <v>13000</v>
      </c>
      <c r="O13" s="7">
        <f t="shared" si="3"/>
        <v>0</v>
      </c>
    </row>
    <row r="14" spans="1:19" x14ac:dyDescent="0.25">
      <c r="A14" s="1" t="s">
        <v>19</v>
      </c>
      <c r="B14" s="1" t="str">
        <f>VLOOKUP(A14,LISTADHERENT!A$5:H$51,2)</f>
        <v>DONHOU DAVID</v>
      </c>
      <c r="C14" s="6">
        <f t="shared" si="0"/>
        <v>7641.1682157441192</v>
      </c>
      <c r="D14" s="6">
        <f>TONT20000OCT!C14+TONT20000OCT!D14+TONT20000NOV!H14</f>
        <v>513601.20391707536</v>
      </c>
      <c r="E14" s="6">
        <f t="shared" si="1"/>
        <v>521242.3721328195</v>
      </c>
      <c r="F14" s="1"/>
      <c r="G14" s="7">
        <f t="shared" si="2"/>
        <v>20000</v>
      </c>
      <c r="H14" s="7">
        <v>3000</v>
      </c>
      <c r="I14" s="7">
        <v>500</v>
      </c>
      <c r="J14" s="7">
        <v>1000</v>
      </c>
      <c r="K14" s="7">
        <v>2500</v>
      </c>
      <c r="L14" s="7"/>
      <c r="M14" s="7">
        <v>13000</v>
      </c>
      <c r="O14" s="7">
        <f t="shared" si="3"/>
        <v>0</v>
      </c>
    </row>
    <row r="15" spans="1:19" x14ac:dyDescent="0.25">
      <c r="A15" s="1" t="s">
        <v>20</v>
      </c>
      <c r="B15" s="1" t="str">
        <f>VLOOKUP(A15,LISTADHERENT!A$5:H$51,2)</f>
        <v>FOTSO THOMAS</v>
      </c>
      <c r="C15" s="6">
        <f t="shared" si="0"/>
        <v>6966.8613924863512</v>
      </c>
      <c r="D15" s="6">
        <f>TONT20000OCT!C15+TONT20000OCT!D15+TONT20000NOV!H15</f>
        <v>468277.66352948005</v>
      </c>
      <c r="E15" s="6">
        <f t="shared" si="1"/>
        <v>475244.52492196643</v>
      </c>
      <c r="F15" s="1"/>
      <c r="G15" s="7">
        <f t="shared" si="2"/>
        <v>20000</v>
      </c>
      <c r="H15" s="7">
        <v>3000</v>
      </c>
      <c r="I15" s="7">
        <v>500</v>
      </c>
      <c r="J15" s="7">
        <v>1000</v>
      </c>
      <c r="K15" s="7">
        <v>2500</v>
      </c>
      <c r="L15" s="7"/>
      <c r="M15" s="7">
        <v>13000</v>
      </c>
      <c r="O15" s="7">
        <f t="shared" si="3"/>
        <v>0</v>
      </c>
    </row>
    <row r="16" spans="1:19" x14ac:dyDescent="0.25">
      <c r="A16" s="1" t="s">
        <v>21</v>
      </c>
      <c r="B16" s="1" t="str">
        <f>VLOOKUP(A16,LISTADHERENT!A$5:H$51,2)</f>
        <v>HENGUE PAUL OMER</v>
      </c>
      <c r="C16" s="6">
        <f t="shared" si="0"/>
        <v>24472.002020409898</v>
      </c>
      <c r="D16" s="6">
        <f>TONT20000OCT!C16+TONT20000OCT!D16+TONT20000NOV!H16</f>
        <v>1644885.8793667629</v>
      </c>
      <c r="E16" s="6">
        <f t="shared" si="1"/>
        <v>1669357.8813871727</v>
      </c>
      <c r="F16" s="1"/>
      <c r="G16" s="7">
        <f t="shared" si="2"/>
        <v>0</v>
      </c>
      <c r="H16" s="7"/>
      <c r="I16" s="7"/>
      <c r="J16" s="7"/>
      <c r="K16" s="7"/>
      <c r="L16" s="7"/>
      <c r="M16" s="7"/>
      <c r="O16" s="7">
        <f t="shared" si="3"/>
        <v>0</v>
      </c>
    </row>
    <row r="17" spans="1:16" x14ac:dyDescent="0.25">
      <c r="A17" s="1" t="s">
        <v>22</v>
      </c>
      <c r="B17" s="1" t="str">
        <f>VLOOKUP(A17,LISTADHERENT!A$5:H$51,2)</f>
        <v>HODIEP JULES</v>
      </c>
      <c r="C17" s="6">
        <f t="shared" si="0"/>
        <v>1348.5658982932014</v>
      </c>
      <c r="D17" s="6">
        <f>TONT20000OCT!C17+TONT20000OCT!D17+TONT20000NOV!H17</f>
        <v>90643.871377912161</v>
      </c>
      <c r="E17" s="6">
        <f t="shared" si="1"/>
        <v>91992.437276205368</v>
      </c>
      <c r="F17" s="1"/>
      <c r="G17" s="7">
        <f t="shared" si="2"/>
        <v>20000</v>
      </c>
      <c r="H17" s="7">
        <v>3000</v>
      </c>
      <c r="I17" s="7">
        <v>500</v>
      </c>
      <c r="J17" s="7">
        <v>1000</v>
      </c>
      <c r="K17" s="7">
        <v>2500</v>
      </c>
      <c r="L17" s="7"/>
      <c r="M17" s="7">
        <v>13000</v>
      </c>
      <c r="O17" s="7">
        <f t="shared" si="3"/>
        <v>0</v>
      </c>
    </row>
    <row r="18" spans="1:16" x14ac:dyDescent="0.25">
      <c r="A18" s="1" t="s">
        <v>23</v>
      </c>
      <c r="B18" s="1" t="str">
        <f>VLOOKUP(A18,LISTADHERENT!A$5:H$51,2)</f>
        <v>HOTCHO BENJAMIN</v>
      </c>
      <c r="C18" s="6">
        <f t="shared" si="0"/>
        <v>7774.615949643945</v>
      </c>
      <c r="D18" s="6">
        <f>TONT20000OCT!C18+TONT20000OCT!D18+TONT20000NOV!H18</f>
        <v>522570.89478839218</v>
      </c>
      <c r="E18" s="6">
        <f t="shared" si="1"/>
        <v>530345.51073803613</v>
      </c>
      <c r="F18" s="1"/>
      <c r="G18" s="7">
        <f t="shared" si="2"/>
        <v>20000</v>
      </c>
      <c r="H18" s="7">
        <v>3000</v>
      </c>
      <c r="I18" s="7">
        <v>500</v>
      </c>
      <c r="J18" s="7">
        <v>1000</v>
      </c>
      <c r="K18" s="7">
        <v>2500</v>
      </c>
      <c r="L18" s="7"/>
      <c r="M18" s="7">
        <v>13000</v>
      </c>
      <c r="O18" s="7">
        <f t="shared" si="3"/>
        <v>0</v>
      </c>
    </row>
    <row r="19" spans="1:16" x14ac:dyDescent="0.25">
      <c r="A19" s="1" t="s">
        <v>24</v>
      </c>
      <c r="B19" s="1" t="str">
        <f>VLOOKUP(A19,LISTADHERENT!A$5:H$51,2)</f>
        <v>KEPHE DAVID</v>
      </c>
      <c r="C19" s="6">
        <f t="shared" si="0"/>
        <v>771.44765609182502</v>
      </c>
      <c r="D19" s="6">
        <f>TONT20000OCT!C19+TONT20000OCT!D19+TONT20000NOV!H19</f>
        <v>51852.862512748979</v>
      </c>
      <c r="E19" s="6">
        <f t="shared" si="1"/>
        <v>52624.310168840806</v>
      </c>
      <c r="F19" s="1"/>
      <c r="G19" s="7">
        <f t="shared" si="2"/>
        <v>20000</v>
      </c>
      <c r="H19" s="7">
        <v>3000</v>
      </c>
      <c r="I19" s="7">
        <v>500</v>
      </c>
      <c r="J19" s="7">
        <v>1000</v>
      </c>
      <c r="K19" s="7">
        <v>2500</v>
      </c>
      <c r="L19" s="7"/>
      <c r="M19" s="7">
        <v>13000</v>
      </c>
      <c r="O19" s="7">
        <f t="shared" si="3"/>
        <v>0</v>
      </c>
    </row>
    <row r="20" spans="1:16" x14ac:dyDescent="0.25">
      <c r="A20" s="1" t="s">
        <v>25</v>
      </c>
      <c r="B20" s="1" t="str">
        <f>VLOOKUP(A20,LISTADHERENT!A$5:H$51,2)</f>
        <v>KEPSEU FRANCIS</v>
      </c>
      <c r="C20" s="6">
        <f t="shared" si="0"/>
        <v>18192.70231401518</v>
      </c>
      <c r="D20" s="6">
        <f>TONT20000OCT!C20+TONT20000OCT!D20+TONT20000NOV!H20</f>
        <v>1222822.6819730122</v>
      </c>
      <c r="E20" s="6">
        <f t="shared" si="1"/>
        <v>1241015.3842870274</v>
      </c>
      <c r="F20" s="1"/>
      <c r="G20" s="7">
        <f t="shared" si="2"/>
        <v>23000</v>
      </c>
      <c r="H20" s="7">
        <v>6000</v>
      </c>
      <c r="I20" s="7">
        <v>500</v>
      </c>
      <c r="J20" s="7">
        <v>1000</v>
      </c>
      <c r="K20" s="7">
        <v>2500</v>
      </c>
      <c r="L20" s="7"/>
      <c r="M20" s="7">
        <v>13000</v>
      </c>
      <c r="O20" s="7">
        <f t="shared" si="3"/>
        <v>0</v>
      </c>
    </row>
    <row r="21" spans="1:16" ht="15.75" customHeight="1" x14ac:dyDescent="0.25">
      <c r="A21" s="1" t="s">
        <v>26</v>
      </c>
      <c r="B21" s="1" t="str">
        <f>VLOOKUP(A21,LISTADHERENT!A$5:H$51,2)</f>
        <v>KOUAMOU EMMANUEL</v>
      </c>
      <c r="C21" s="6">
        <f t="shared" si="0"/>
        <v>6957.1740117678282</v>
      </c>
      <c r="D21" s="6">
        <f>TONT20000OCT!C21+TONT20000OCT!D21+TONT20000NOV!H21</f>
        <v>467626.52613015089</v>
      </c>
      <c r="E21" s="6">
        <f t="shared" si="1"/>
        <v>474583.70014191873</v>
      </c>
      <c r="F21" s="1"/>
      <c r="G21" s="7">
        <f t="shared" si="2"/>
        <v>20000</v>
      </c>
      <c r="H21" s="7">
        <v>3000</v>
      </c>
      <c r="I21" s="7">
        <v>500</v>
      </c>
      <c r="J21" s="7">
        <v>1000</v>
      </c>
      <c r="K21" s="7">
        <v>2500</v>
      </c>
      <c r="L21" s="7"/>
      <c r="M21" s="7">
        <v>13000</v>
      </c>
      <c r="O21" s="7">
        <f t="shared" si="3"/>
        <v>0</v>
      </c>
    </row>
    <row r="22" spans="1:16" x14ac:dyDescent="0.25">
      <c r="A22" s="1" t="s">
        <v>27</v>
      </c>
      <c r="B22" s="1" t="str">
        <f>VLOOKUP(A22,LISTADHERENT!A$5:H$51,2)</f>
        <v>KOUAMOU MOISE</v>
      </c>
      <c r="C22" s="6">
        <f t="shared" si="0"/>
        <v>6904.0725094944946</v>
      </c>
      <c r="D22" s="6">
        <f>TONT20000OCT!C22+TONT20000OCT!D22+TONT20000NOV!H22</f>
        <v>464057.30808294244</v>
      </c>
      <c r="E22" s="6">
        <f t="shared" si="1"/>
        <v>470961.38059243694</v>
      </c>
      <c r="F22" s="1"/>
      <c r="G22" s="7">
        <f t="shared" si="2"/>
        <v>20000</v>
      </c>
      <c r="H22" s="7">
        <v>3000</v>
      </c>
      <c r="I22" s="7">
        <v>500</v>
      </c>
      <c r="J22" s="7">
        <v>1000</v>
      </c>
      <c r="K22" s="7">
        <v>2500</v>
      </c>
      <c r="L22" s="7"/>
      <c r="M22" s="7">
        <v>13000</v>
      </c>
      <c r="O22" s="7">
        <f t="shared" si="3"/>
        <v>0</v>
      </c>
    </row>
    <row r="23" spans="1:16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7494.3305518173029</v>
      </c>
      <c r="D23" s="6">
        <f>TONT20000OCT!C23+TONT20000OCT!D23+TONT20000NOV!H23</f>
        <v>503731.50875478407</v>
      </c>
      <c r="E23" s="6">
        <f t="shared" si="1"/>
        <v>511225.83930660138</v>
      </c>
      <c r="F23" s="1"/>
      <c r="G23" s="7">
        <f t="shared" si="2"/>
        <v>19000</v>
      </c>
      <c r="H23" s="7">
        <v>2000</v>
      </c>
      <c r="I23" s="7">
        <v>500</v>
      </c>
      <c r="J23" s="7">
        <v>1000</v>
      </c>
      <c r="K23" s="7">
        <v>2500</v>
      </c>
      <c r="L23" s="7"/>
      <c r="M23" s="7">
        <v>13000</v>
      </c>
      <c r="N23" s="7">
        <v>800000</v>
      </c>
      <c r="O23" s="7">
        <f t="shared" si="3"/>
        <v>96000</v>
      </c>
      <c r="P23" s="7">
        <v>1000000</v>
      </c>
    </row>
    <row r="24" spans="1:16" x14ac:dyDescent="0.25">
      <c r="A24" s="1" t="s">
        <v>29</v>
      </c>
      <c r="B24" s="1" t="str">
        <f>VLOOKUP(A24,LISTADHERENT!A$5:H$51,2)</f>
        <v>KOUATCHO MESSACK</v>
      </c>
      <c r="C24" s="6">
        <f t="shared" si="0"/>
        <v>6912.8399988324682</v>
      </c>
      <c r="D24" s="6">
        <f>TONT20000OCT!C24+TONT20000OCT!D24+TONT20000NOV!H24</f>
        <v>464646.61497322068</v>
      </c>
      <c r="E24" s="6">
        <f t="shared" si="1"/>
        <v>471559.45497205318</v>
      </c>
      <c r="F24" s="1"/>
      <c r="G24" s="7">
        <f t="shared" si="2"/>
        <v>20000</v>
      </c>
      <c r="H24" s="7">
        <v>3000</v>
      </c>
      <c r="I24" s="7">
        <v>500</v>
      </c>
      <c r="J24" s="7">
        <v>1000</v>
      </c>
      <c r="K24" s="7">
        <v>2500</v>
      </c>
      <c r="L24" s="7"/>
      <c r="M24" s="7">
        <v>13000</v>
      </c>
      <c r="N24" s="7"/>
      <c r="O24" s="7">
        <f t="shared" si="3"/>
        <v>0</v>
      </c>
    </row>
    <row r="25" spans="1:16" x14ac:dyDescent="0.25">
      <c r="A25" s="1" t="s">
        <v>30</v>
      </c>
      <c r="B25" s="1" t="str">
        <f>VLOOKUP(A25,LISTADHERENT!A$5:H$51,2)</f>
        <v>LOWE JEAN</v>
      </c>
      <c r="C25" s="6">
        <f t="shared" si="0"/>
        <v>6983.3543616760398</v>
      </c>
      <c r="D25" s="6">
        <f>TONT20000OCT!C25+TONT20000OCT!D25+TONT20000NOV!H25</f>
        <v>469386.23863119521</v>
      </c>
      <c r="E25" s="6">
        <f t="shared" si="1"/>
        <v>476369.59299287124</v>
      </c>
      <c r="F25" s="1"/>
      <c r="G25" s="7">
        <f t="shared" si="2"/>
        <v>20000</v>
      </c>
      <c r="H25" s="7">
        <v>3000</v>
      </c>
      <c r="I25" s="7">
        <v>500</v>
      </c>
      <c r="J25" s="7">
        <v>1000</v>
      </c>
      <c r="K25" s="7">
        <v>2500</v>
      </c>
      <c r="L25" s="7"/>
      <c r="M25" s="7">
        <v>13000</v>
      </c>
      <c r="O25" s="7">
        <f t="shared" si="3"/>
        <v>0</v>
      </c>
    </row>
    <row r="26" spans="1:16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7066.0634273064607</v>
      </c>
      <c r="D26" s="6">
        <f>TONT20000OCT!C26+TONT20000OCT!D26+TONT20000NOV!H26</f>
        <v>474945.52936832549</v>
      </c>
      <c r="E26" s="6">
        <f t="shared" si="1"/>
        <v>482011.59279563196</v>
      </c>
      <c r="F26" s="1"/>
      <c r="G26" s="7">
        <f t="shared" si="2"/>
        <v>20000</v>
      </c>
      <c r="H26" s="7">
        <v>3000</v>
      </c>
      <c r="I26" s="7">
        <v>500</v>
      </c>
      <c r="J26" s="7">
        <v>1000</v>
      </c>
      <c r="K26" s="7">
        <v>2500</v>
      </c>
      <c r="L26" s="7"/>
      <c r="M26" s="7">
        <v>13000</v>
      </c>
      <c r="O26" s="7">
        <f t="shared" si="3"/>
        <v>0</v>
      </c>
    </row>
    <row r="27" spans="1:16" x14ac:dyDescent="0.25">
      <c r="A27" s="1" t="s">
        <v>32</v>
      </c>
      <c r="B27" s="1" t="str">
        <f>VLOOKUP(A27,LISTADHERENT!A$5:H$51,2)</f>
        <v>NDJOMO ETIENNE</v>
      </c>
      <c r="C27" s="6">
        <f t="shared" si="0"/>
        <v>7803.5200534365322</v>
      </c>
      <c r="D27" s="6">
        <f>TONT20000OCT!C27+TONT20000OCT!D27+TONT20000NOV!H27</f>
        <v>524513.68443610985</v>
      </c>
      <c r="E27" s="6">
        <f t="shared" si="1"/>
        <v>532317.20448954636</v>
      </c>
      <c r="F27" s="1"/>
      <c r="G27" s="7">
        <f t="shared" si="2"/>
        <v>25000</v>
      </c>
      <c r="H27" s="7">
        <v>8000</v>
      </c>
      <c r="I27" s="7">
        <v>500</v>
      </c>
      <c r="J27" s="7">
        <v>1000</v>
      </c>
      <c r="K27" s="7">
        <v>2500</v>
      </c>
      <c r="L27" s="7"/>
      <c r="M27" s="7">
        <v>13000</v>
      </c>
      <c r="N27" s="7"/>
      <c r="O27" s="7">
        <f t="shared" si="3"/>
        <v>0</v>
      </c>
    </row>
    <row r="28" spans="1:16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TONT20000OCT!C28+TONT20000OCT!D28+TONT20000NOV!H28</f>
        <v>0</v>
      </c>
      <c r="E28" s="6">
        <f t="shared" si="1"/>
        <v>0</v>
      </c>
      <c r="F28" s="1"/>
      <c r="G28" s="7">
        <f t="shared" si="2"/>
        <v>0</v>
      </c>
      <c r="H28" s="7"/>
      <c r="I28" s="7"/>
      <c r="J28" s="7"/>
      <c r="K28" s="7"/>
      <c r="L28" s="7"/>
      <c r="M28" s="7"/>
      <c r="O28" s="7">
        <f t="shared" si="3"/>
        <v>0</v>
      </c>
    </row>
    <row r="29" spans="1:16" x14ac:dyDescent="0.25">
      <c r="A29" s="1" t="s">
        <v>34</v>
      </c>
      <c r="B29" s="1" t="str">
        <f>VLOOKUP(A29,LISTADHERENT!A$5:H$51,2)</f>
        <v>NGONDIEP CLAUDE</v>
      </c>
      <c r="C29" s="6">
        <f t="shared" si="0"/>
        <v>9836.5403436192773</v>
      </c>
      <c r="D29" s="6">
        <f>TONT20000OCT!C29+TONT20000OCT!D29+TONT20000NOV!H29</f>
        <v>661163.165136492</v>
      </c>
      <c r="E29" s="6">
        <f t="shared" si="1"/>
        <v>670999.7054801113</v>
      </c>
      <c r="F29" s="1"/>
      <c r="G29" s="7">
        <f t="shared" si="2"/>
        <v>20000</v>
      </c>
      <c r="H29" s="7">
        <v>3000</v>
      </c>
      <c r="I29" s="7">
        <v>500</v>
      </c>
      <c r="J29" s="7">
        <v>1000</v>
      </c>
      <c r="K29" s="7">
        <v>2500</v>
      </c>
      <c r="L29" s="7"/>
      <c r="M29" s="7">
        <v>13000</v>
      </c>
      <c r="O29" s="7">
        <f t="shared" si="3"/>
        <v>0</v>
      </c>
    </row>
    <row r="30" spans="1:16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563.12826736323825</v>
      </c>
      <c r="D30" s="6">
        <f>TONT20000OCT!C30+TONT20000OCT!D30+TONT20000NOV!H30</f>
        <v>37850.672555744866</v>
      </c>
      <c r="E30" s="6">
        <f t="shared" si="1"/>
        <v>38413.800823108104</v>
      </c>
      <c r="F30" s="1"/>
      <c r="G30" s="7">
        <f t="shared" si="2"/>
        <v>20000</v>
      </c>
      <c r="H30" s="7">
        <v>3000</v>
      </c>
      <c r="I30" s="7">
        <v>500</v>
      </c>
      <c r="J30" s="7">
        <v>1000</v>
      </c>
      <c r="K30" s="7">
        <v>2500</v>
      </c>
      <c r="L30" s="7"/>
      <c r="M30" s="7">
        <v>13000</v>
      </c>
      <c r="O30" s="7">
        <f t="shared" si="3"/>
        <v>0</v>
      </c>
    </row>
    <row r="31" spans="1:16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14455.665146141386</v>
      </c>
      <c r="D31" s="6">
        <f>TONT20000OCT!C31+TONT20000OCT!D31+TONT20000NOV!H31</f>
        <v>971637.68848626327</v>
      </c>
      <c r="E31" s="6">
        <f t="shared" si="1"/>
        <v>986093.3536324047</v>
      </c>
      <c r="F31" s="1"/>
      <c r="G31" s="7">
        <f t="shared" si="2"/>
        <v>20000</v>
      </c>
      <c r="H31" s="7">
        <v>3000</v>
      </c>
      <c r="I31" s="7">
        <v>500</v>
      </c>
      <c r="J31" s="7">
        <v>1000</v>
      </c>
      <c r="K31" s="7">
        <v>2500</v>
      </c>
      <c r="L31" s="7"/>
      <c r="M31" s="7">
        <v>13000</v>
      </c>
      <c r="O31" s="7">
        <f t="shared" si="3"/>
        <v>0</v>
      </c>
    </row>
    <row r="32" spans="1:16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7213.1894841808171</v>
      </c>
      <c r="D32" s="6">
        <f>TONT20000OCT!C32+TONT20000OCT!D32+TONT20000NOV!H32</f>
        <v>484834.60886569176</v>
      </c>
      <c r="E32" s="6">
        <f t="shared" si="1"/>
        <v>492047.79834987258</v>
      </c>
      <c r="F32" s="1"/>
      <c r="G32" s="7">
        <f t="shared" si="2"/>
        <v>20000</v>
      </c>
      <c r="H32" s="7">
        <v>3000</v>
      </c>
      <c r="I32" s="7">
        <v>500</v>
      </c>
      <c r="J32" s="7">
        <v>1000</v>
      </c>
      <c r="K32" s="7">
        <v>2500</v>
      </c>
      <c r="L32" s="7"/>
      <c r="M32" s="7">
        <v>13000</v>
      </c>
      <c r="O32" s="7">
        <f t="shared" si="3"/>
        <v>0</v>
      </c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2253.8325379122848</v>
      </c>
      <c r="D33" s="6">
        <f>TONT20000OCT!C33+TONT20000OCT!D33+TONT20000NOV!H33</f>
        <v>151491.37830968419</v>
      </c>
      <c r="E33" s="6">
        <f t="shared" si="1"/>
        <v>153745.21084759649</v>
      </c>
      <c r="F33" s="1"/>
      <c r="G33" s="7">
        <f t="shared" si="2"/>
        <v>23000</v>
      </c>
      <c r="H33" s="7">
        <v>6000</v>
      </c>
      <c r="I33" s="7">
        <v>500</v>
      </c>
      <c r="J33" s="7">
        <v>1000</v>
      </c>
      <c r="K33" s="7">
        <v>2500</v>
      </c>
      <c r="L33" s="7"/>
      <c r="M33" s="7">
        <v>13000</v>
      </c>
      <c r="N33" s="7">
        <v>1000000</v>
      </c>
      <c r="O33" s="7">
        <f t="shared" si="3"/>
        <v>120000</v>
      </c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7912.2629371659741</v>
      </c>
      <c r="D34" s="6">
        <f>TONT20000OCT!C34+TONT20000OCT!D34+TONT20000NOV!H34</f>
        <v>531822.83853715158</v>
      </c>
      <c r="E34" s="6">
        <f t="shared" si="1"/>
        <v>539735.10147431761</v>
      </c>
      <c r="F34" s="1"/>
      <c r="G34" s="10">
        <f>H34+I34+J34+K34+L34+M34</f>
        <v>50000</v>
      </c>
      <c r="H34" s="7">
        <v>8000</v>
      </c>
      <c r="I34" s="7">
        <v>500</v>
      </c>
      <c r="J34" s="7">
        <v>1000</v>
      </c>
      <c r="K34" s="7">
        <v>2500</v>
      </c>
      <c r="L34" s="7">
        <v>25000</v>
      </c>
      <c r="M34" s="7">
        <v>13000</v>
      </c>
      <c r="N34"/>
      <c r="O34" s="7">
        <f t="shared" si="3"/>
        <v>0</v>
      </c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6907.7833051841171</v>
      </c>
      <c r="D35" s="6">
        <f>TONT20000OCT!C35+TONT20000OCT!D35+TONT20000NOV!H35</f>
        <v>464306.72925518587</v>
      </c>
      <c r="E35" s="6">
        <f t="shared" si="1"/>
        <v>471214.51256036997</v>
      </c>
      <c r="F35" s="1"/>
      <c r="G35" s="7">
        <f t="shared" si="2"/>
        <v>0</v>
      </c>
      <c r="H35" s="7"/>
      <c r="I35" s="7"/>
      <c r="J35" s="7"/>
      <c r="K35" s="7"/>
      <c r="L35" s="7"/>
      <c r="M35" s="7"/>
      <c r="O35" s="7">
        <f t="shared" si="3"/>
        <v>0</v>
      </c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232.4595385444149</v>
      </c>
      <c r="D36" s="6">
        <f>TONT20000OCT!C36+TONT20000OCT!D36+TONT20000NOV!H36</f>
        <v>15624.77038686585</v>
      </c>
      <c r="E36" s="6">
        <f t="shared" si="1"/>
        <v>15857.229925410265</v>
      </c>
      <c r="F36" s="1"/>
      <c r="G36" s="7">
        <f t="shared" si="2"/>
        <v>20000</v>
      </c>
      <c r="H36" s="7">
        <v>3000</v>
      </c>
      <c r="I36" s="7">
        <v>500</v>
      </c>
      <c r="J36" s="7">
        <v>1000</v>
      </c>
      <c r="K36" s="7">
        <v>2500</v>
      </c>
      <c r="L36" s="7"/>
      <c r="M36" s="7">
        <v>13000</v>
      </c>
      <c r="O36" s="7">
        <f t="shared" si="3"/>
        <v>0</v>
      </c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428.0978589653534</v>
      </c>
      <c r="D37" s="6">
        <f>TONT20000OCT!C37+TONT20000OCT!D37+TONT20000NOV!H37</f>
        <v>28774.602200995534</v>
      </c>
      <c r="E37" s="6">
        <f t="shared" si="1"/>
        <v>29202.700059960887</v>
      </c>
      <c r="F37" s="1"/>
      <c r="G37" s="7">
        <f t="shared" si="2"/>
        <v>0</v>
      </c>
      <c r="H37" s="7"/>
      <c r="I37" s="7"/>
      <c r="J37" s="7"/>
      <c r="K37" s="7"/>
      <c r="L37" s="7"/>
      <c r="M37" s="7"/>
      <c r="O37" s="7">
        <f t="shared" si="3"/>
        <v>0</v>
      </c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6915.119382530941</v>
      </c>
      <c r="D38" s="6">
        <f>TONT20000OCT!C38+TONT20000OCT!D38+TONT20000NOV!H38</f>
        <v>464799.82377306267</v>
      </c>
      <c r="E38" s="6">
        <f t="shared" si="1"/>
        <v>471714.94315559359</v>
      </c>
      <c r="F38" s="1"/>
      <c r="G38" s="7">
        <f t="shared" si="2"/>
        <v>20000</v>
      </c>
      <c r="H38" s="7">
        <v>3000</v>
      </c>
      <c r="I38" s="7">
        <v>500</v>
      </c>
      <c r="J38" s="7">
        <v>1000</v>
      </c>
      <c r="K38" s="7">
        <v>2500</v>
      </c>
      <c r="L38" s="7"/>
      <c r="M38" s="7">
        <v>13000</v>
      </c>
      <c r="O38" s="7">
        <f t="shared" si="3"/>
        <v>0</v>
      </c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6955.6924123638182</v>
      </c>
      <c r="D39" s="6">
        <f>TONT20000OCT!C39+TONT20000OCT!D39+TONT20000NOV!H39</f>
        <v>467526.94041025342</v>
      </c>
      <c r="E39" s="6">
        <f t="shared" si="1"/>
        <v>474482.63282261725</v>
      </c>
      <c r="F39" s="1"/>
      <c r="G39" s="7">
        <f t="shared" si="2"/>
        <v>20000</v>
      </c>
      <c r="H39" s="7">
        <v>3000</v>
      </c>
      <c r="I39" s="7">
        <v>500</v>
      </c>
      <c r="J39" s="7">
        <v>1000</v>
      </c>
      <c r="K39" s="7">
        <v>2500</v>
      </c>
      <c r="L39" s="7"/>
      <c r="M39" s="7">
        <v>13000</v>
      </c>
      <c r="O39" s="7">
        <f t="shared" si="3"/>
        <v>0</v>
      </c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6466.804232377699</v>
      </c>
      <c r="D40" s="6">
        <f>TONT20000OCT!C40+TONT20000OCT!D40+TONT20000NOV!H40</f>
        <v>434666.31612713175</v>
      </c>
      <c r="E40" s="6">
        <f t="shared" si="1"/>
        <v>441133.12035950943</v>
      </c>
      <c r="F40" s="1"/>
      <c r="G40" s="7">
        <f t="shared" si="2"/>
        <v>20000</v>
      </c>
      <c r="H40" s="7">
        <v>3000</v>
      </c>
      <c r="I40" s="7">
        <v>500</v>
      </c>
      <c r="J40" s="7">
        <v>1000</v>
      </c>
      <c r="K40" s="7">
        <v>2500</v>
      </c>
      <c r="L40" s="7"/>
      <c r="M40" s="7">
        <v>13000</v>
      </c>
      <c r="O40" s="7">
        <f t="shared" si="3"/>
        <v>0</v>
      </c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6928.828247346064</v>
      </c>
      <c r="D41" s="6">
        <f>TONT20000OCT!C41+TONT20000OCT!D41+TONT20000NOV!H41</f>
        <v>465721.26526925643</v>
      </c>
      <c r="E41" s="6">
        <f t="shared" si="1"/>
        <v>472650.09351660247</v>
      </c>
      <c r="F41" s="1"/>
      <c r="G41" s="7">
        <f t="shared" si="2"/>
        <v>20000</v>
      </c>
      <c r="H41" s="7">
        <v>3000</v>
      </c>
      <c r="I41" s="7">
        <v>500</v>
      </c>
      <c r="J41" s="7">
        <v>1000</v>
      </c>
      <c r="K41" s="7">
        <v>2500</v>
      </c>
      <c r="L41" s="7"/>
      <c r="M41" s="7">
        <v>13000</v>
      </c>
      <c r="O41" s="7">
        <f t="shared" si="3"/>
        <v>0</v>
      </c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6923.1949133484031</v>
      </c>
      <c r="D42" s="6">
        <f>TONT20000OCT!C42+TONT20000OCT!D42+TONT20000NOV!H42</f>
        <v>465342.62066393229</v>
      </c>
      <c r="E42" s="6">
        <f t="shared" si="1"/>
        <v>472265.81557728071</v>
      </c>
      <c r="F42" s="1"/>
      <c r="G42" s="7">
        <f t="shared" si="2"/>
        <v>20000</v>
      </c>
      <c r="H42" s="7">
        <v>3000</v>
      </c>
      <c r="I42" s="7">
        <v>500</v>
      </c>
      <c r="J42" s="7">
        <v>1000</v>
      </c>
      <c r="K42" s="7">
        <v>2500</v>
      </c>
      <c r="L42" s="7"/>
      <c r="M42" s="7">
        <v>13000</v>
      </c>
      <c r="O42" s="7">
        <f t="shared" si="3"/>
        <v>0</v>
      </c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18517.031741574949</v>
      </c>
      <c r="D43" s="6">
        <f>TONT20000OCT!C43+TONT20000OCT!D43+TONT20000NOV!H43</f>
        <v>1244622.4879394891</v>
      </c>
      <c r="E43" s="6">
        <f t="shared" si="1"/>
        <v>1263139.5196810639</v>
      </c>
      <c r="F43" s="1"/>
      <c r="G43" s="7">
        <f t="shared" si="2"/>
        <v>30000</v>
      </c>
      <c r="H43" s="7">
        <v>3000</v>
      </c>
      <c r="I43" s="7">
        <v>500</v>
      </c>
      <c r="J43" s="7">
        <v>1000</v>
      </c>
      <c r="K43" s="7">
        <v>2500</v>
      </c>
      <c r="L43" s="7">
        <v>10000</v>
      </c>
      <c r="M43" s="7">
        <v>13000</v>
      </c>
      <c r="N43" s="7">
        <v>570000</v>
      </c>
      <c r="O43" s="7">
        <f t="shared" si="3"/>
        <v>68400</v>
      </c>
      <c r="P43" s="7">
        <v>70000</v>
      </c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6466.804232377699</v>
      </c>
      <c r="D44" s="6">
        <f>TONT20000OCT!C44+TONT20000OCT!D44+TONT20000NOV!H44</f>
        <v>434666.31612713175</v>
      </c>
      <c r="E44" s="6">
        <f t="shared" si="1"/>
        <v>441133.12035950943</v>
      </c>
      <c r="F44" s="1"/>
      <c r="G44" s="7">
        <f t="shared" si="2"/>
        <v>20000</v>
      </c>
      <c r="H44" s="7">
        <v>3000</v>
      </c>
      <c r="I44" s="7">
        <v>500</v>
      </c>
      <c r="J44" s="7">
        <v>1000</v>
      </c>
      <c r="K44" s="7">
        <v>2500</v>
      </c>
      <c r="L44" s="7"/>
      <c r="M44" s="7">
        <v>13000</v>
      </c>
      <c r="O44" s="7">
        <f t="shared" si="3"/>
        <v>0</v>
      </c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563.12826736323825</v>
      </c>
      <c r="D45" s="6">
        <f>TONT20000OCT!C45+TONT20000OCT!D45+TONT20000NOV!H45</f>
        <v>37850.672555744866</v>
      </c>
      <c r="E45" s="6">
        <f t="shared" si="1"/>
        <v>38413.800823108104</v>
      </c>
      <c r="F45" s="1"/>
      <c r="G45" s="7">
        <f t="shared" si="2"/>
        <v>70000</v>
      </c>
      <c r="H45" s="7">
        <v>3000</v>
      </c>
      <c r="I45" s="7">
        <v>500</v>
      </c>
      <c r="J45" s="7">
        <v>1000</v>
      </c>
      <c r="K45" s="7">
        <v>2500</v>
      </c>
      <c r="L45" s="7">
        <v>50000</v>
      </c>
      <c r="M45" s="7">
        <v>13000</v>
      </c>
      <c r="O45" s="7">
        <f t="shared" si="3"/>
        <v>0</v>
      </c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7017.6428050259747</v>
      </c>
      <c r="D46" s="6">
        <f>TONT20000OCT!C46+TONT20000OCT!D46+TONT20000NOV!H46</f>
        <v>471690.93672024965</v>
      </c>
      <c r="E46" s="6">
        <f t="shared" si="1"/>
        <v>478708.57952527562</v>
      </c>
      <c r="F46" s="1"/>
      <c r="G46" s="7">
        <f t="shared" si="2"/>
        <v>20000</v>
      </c>
      <c r="H46" s="7">
        <v>3000</v>
      </c>
      <c r="I46" s="7">
        <v>500</v>
      </c>
      <c r="J46" s="7">
        <v>1000</v>
      </c>
      <c r="K46" s="7">
        <v>2500</v>
      </c>
      <c r="L46" s="7"/>
      <c r="M46" s="7">
        <v>13000</v>
      </c>
      <c r="N46" s="7"/>
      <c r="O46" s="7">
        <f t="shared" si="3"/>
        <v>0</v>
      </c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6252.1067600493543</v>
      </c>
      <c r="D47" s="6">
        <f>TONT20000OCT!C47+TONT20000OCT!D47+TONT20000NOV!H47</f>
        <v>420235.42321227759</v>
      </c>
      <c r="E47" s="6">
        <f t="shared" si="1"/>
        <v>426487.52997232694</v>
      </c>
      <c r="F47" s="1"/>
      <c r="G47" s="7">
        <f t="shared" si="2"/>
        <v>20000</v>
      </c>
      <c r="H47" s="7">
        <v>3000</v>
      </c>
      <c r="I47" s="7">
        <v>500</v>
      </c>
      <c r="J47" s="7">
        <v>1000</v>
      </c>
      <c r="K47" s="7">
        <v>2500</v>
      </c>
      <c r="L47" s="7"/>
      <c r="M47" s="7">
        <v>13000</v>
      </c>
      <c r="O47" s="7">
        <f t="shared" si="3"/>
        <v>0</v>
      </c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372.03384540523774</v>
      </c>
      <c r="D48" s="6">
        <f>TONT20000OCT!C48+TONT20000OCT!D48+TONT20000NOV!H48</f>
        <v>25006.25892573961</v>
      </c>
      <c r="E48" s="6">
        <f t="shared" si="1"/>
        <v>25378.292771144846</v>
      </c>
      <c r="F48" s="1"/>
      <c r="G48" s="7">
        <f t="shared" si="2"/>
        <v>20000</v>
      </c>
      <c r="H48" s="7">
        <v>3000</v>
      </c>
      <c r="I48" s="7">
        <v>500</v>
      </c>
      <c r="J48" s="7">
        <v>1000</v>
      </c>
      <c r="K48" s="7">
        <v>2500</v>
      </c>
      <c r="L48" s="7"/>
      <c r="M48" s="7">
        <v>13000</v>
      </c>
      <c r="O48" s="7">
        <f t="shared" si="3"/>
        <v>0</v>
      </c>
    </row>
    <row r="49" spans="1:18" x14ac:dyDescent="0.25">
      <c r="A49" s="1" t="s">
        <v>54</v>
      </c>
      <c r="B49" s="1" t="str">
        <f>VLOOKUP(A49,LISTADHERENT!A$5:H$51,2)</f>
        <v>TIEYAM ERNEST</v>
      </c>
      <c r="C49" s="6">
        <f t="shared" si="0"/>
        <v>6924.2271621501577</v>
      </c>
      <c r="D49" s="6">
        <f>TONT20000OCT!C49+TONT20000OCT!D49+TONT20000NOV!H49</f>
        <v>465412.00327825965</v>
      </c>
      <c r="E49" s="6">
        <f t="shared" si="1"/>
        <v>472336.2304404098</v>
      </c>
      <c r="F49" s="1"/>
      <c r="G49" s="7">
        <f t="shared" si="2"/>
        <v>20000</v>
      </c>
      <c r="H49" s="7">
        <v>3000</v>
      </c>
      <c r="I49" s="7">
        <v>500</v>
      </c>
      <c r="J49" s="7">
        <v>1000</v>
      </c>
      <c r="K49" s="7">
        <v>2500</v>
      </c>
      <c r="L49" s="7"/>
      <c r="M49" s="7">
        <v>13000</v>
      </c>
      <c r="O49" s="7">
        <f t="shared" si="3"/>
        <v>0</v>
      </c>
    </row>
    <row r="50" spans="1:18" x14ac:dyDescent="0.25">
      <c r="A50" s="1" t="s">
        <v>55</v>
      </c>
      <c r="B50" s="1" t="str">
        <f>VLOOKUP(A50,LISTADHERENT!A$5:H$51,2)</f>
        <v>TUGMA PIERRE LOTI</v>
      </c>
      <c r="C50" s="6">
        <f t="shared" si="0"/>
        <v>7199.9772195919322</v>
      </c>
      <c r="D50" s="6">
        <f>TONT20000OCT!C50+TONT20000OCT!D50+TONT20000NOV!H50</f>
        <v>483946.54635905294</v>
      </c>
      <c r="E50" s="6">
        <f t="shared" si="1"/>
        <v>491146.52357864485</v>
      </c>
      <c r="F50" s="1"/>
      <c r="G50" s="7">
        <f t="shared" si="2"/>
        <v>20000</v>
      </c>
      <c r="H50" s="7">
        <v>3000</v>
      </c>
      <c r="I50" s="7">
        <v>500</v>
      </c>
      <c r="J50" s="7">
        <v>1000</v>
      </c>
      <c r="K50" s="7">
        <v>2500</v>
      </c>
      <c r="L50" s="7"/>
      <c r="M50" s="7">
        <v>13000</v>
      </c>
      <c r="O50" s="7">
        <f t="shared" si="3"/>
        <v>0</v>
      </c>
    </row>
    <row r="51" spans="1:18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13771.131077368118</v>
      </c>
      <c r="D51" s="6">
        <f>TONT20000OCT!C51+TONT20000OCT!D51+TONT20000NOV!H51</f>
        <v>925626.72368119564</v>
      </c>
      <c r="E51" s="6">
        <f t="shared" si="1"/>
        <v>939397.8547585638</v>
      </c>
      <c r="F51" s="1"/>
      <c r="G51" s="7">
        <f t="shared" si="2"/>
        <v>20000</v>
      </c>
      <c r="H51" s="7">
        <v>3000</v>
      </c>
      <c r="I51" s="7">
        <v>500</v>
      </c>
      <c r="J51" s="7">
        <v>1000</v>
      </c>
      <c r="K51" s="7">
        <v>2500</v>
      </c>
      <c r="L51" s="7"/>
      <c r="M51" s="7">
        <v>13000</v>
      </c>
      <c r="N51" s="9"/>
      <c r="O51" s="7">
        <f t="shared" si="3"/>
        <v>0</v>
      </c>
    </row>
    <row r="52" spans="1:18" x14ac:dyDescent="0.25">
      <c r="A52" s="1" t="s">
        <v>178</v>
      </c>
      <c r="B52" s="1" t="str">
        <f>VLOOKUP(A52,LISTADHERENT!A$5:H$51,2)</f>
        <v>YOUMBI EMMANUEL</v>
      </c>
      <c r="C52" s="6">
        <f t="shared" si="0"/>
        <v>23247.53855328558</v>
      </c>
      <c r="D52" s="6">
        <f>TONT20000OCT!C52+TONT20000OCT!D52+TONT20000NOV!H52</f>
        <v>1562583.5542364579</v>
      </c>
      <c r="E52" s="6">
        <f t="shared" si="1"/>
        <v>1585831.0927897436</v>
      </c>
      <c r="F52" s="1"/>
      <c r="G52" s="7">
        <f t="shared" si="2"/>
        <v>20000</v>
      </c>
      <c r="H52" s="7">
        <v>3000</v>
      </c>
      <c r="I52" s="7">
        <v>500</v>
      </c>
      <c r="J52" s="7">
        <v>1000</v>
      </c>
      <c r="K52" s="7">
        <v>2500</v>
      </c>
      <c r="M52" s="7">
        <v>13000</v>
      </c>
      <c r="O52" s="7">
        <f t="shared" si="3"/>
        <v>0</v>
      </c>
    </row>
    <row r="53" spans="1:18" x14ac:dyDescent="0.25">
      <c r="A53" s="1"/>
      <c r="B53" s="1"/>
      <c r="C53" s="1"/>
      <c r="D53" s="1"/>
      <c r="E53" s="1"/>
      <c r="F53" s="1"/>
      <c r="G53" s="7"/>
      <c r="H53" s="7"/>
      <c r="I53" s="7"/>
      <c r="J53" s="7"/>
      <c r="K53" s="7"/>
      <c r="M53" s="7"/>
      <c r="O53" s="7"/>
    </row>
    <row r="54" spans="1:18" ht="18" x14ac:dyDescent="0.25">
      <c r="A54" s="1"/>
      <c r="B54" s="1" t="s">
        <v>180</v>
      </c>
      <c r="C54" s="1"/>
      <c r="D54" s="1"/>
      <c r="E54" s="1"/>
      <c r="F54" s="1"/>
      <c r="I54" s="4"/>
      <c r="M54" s="7">
        <v>22500</v>
      </c>
      <c r="O54" s="7">
        <f t="shared" si="3"/>
        <v>0</v>
      </c>
      <c r="P54" s="9"/>
    </row>
    <row r="55" spans="1:18" ht="18" x14ac:dyDescent="0.25">
      <c r="A55" s="1"/>
      <c r="B55" s="1"/>
      <c r="C55" s="1"/>
      <c r="D55" s="1"/>
      <c r="E55" s="1"/>
      <c r="F55" s="1"/>
      <c r="I55" s="4"/>
      <c r="P55" s="9"/>
    </row>
    <row r="56" spans="1:18" ht="18" x14ac:dyDescent="0.25">
      <c r="A56" s="8" t="s">
        <v>56</v>
      </c>
      <c r="B56" s="8"/>
      <c r="C56" s="9">
        <f>SUM(C5:C52)</f>
        <v>371399.99999999988</v>
      </c>
      <c r="D56" s="9">
        <f t="shared" ref="D56:R56" si="4">SUM(D5:D52)</f>
        <v>24963655.000000004</v>
      </c>
      <c r="E56" s="9">
        <f t="shared" si="4"/>
        <v>25335054.999999996</v>
      </c>
      <c r="F56" s="9">
        <f t="shared" si="4"/>
        <v>0</v>
      </c>
      <c r="G56" s="9">
        <f t="shared" si="4"/>
        <v>922000</v>
      </c>
      <c r="H56" s="9">
        <f t="shared" si="4"/>
        <v>140000</v>
      </c>
      <c r="I56" s="9">
        <f t="shared" si="4"/>
        <v>20500</v>
      </c>
      <c r="J56" s="9">
        <f t="shared" si="4"/>
        <v>41000</v>
      </c>
      <c r="K56" s="9">
        <f t="shared" si="4"/>
        <v>102500</v>
      </c>
      <c r="L56" s="9">
        <f t="shared" si="4"/>
        <v>85000</v>
      </c>
      <c r="M56" s="9">
        <f t="shared" si="4"/>
        <v>533000</v>
      </c>
      <c r="N56" s="9">
        <f t="shared" si="4"/>
        <v>3170000</v>
      </c>
      <c r="O56" s="9">
        <f t="shared" si="4"/>
        <v>371400</v>
      </c>
      <c r="P56" s="9">
        <f t="shared" si="4"/>
        <v>2070000</v>
      </c>
      <c r="Q56" s="9">
        <f t="shared" si="4"/>
        <v>0</v>
      </c>
      <c r="R56" s="9">
        <f t="shared" si="4"/>
        <v>0</v>
      </c>
    </row>
  </sheetData>
  <autoFilter ref="A4:P51"/>
  <dataValidations count="1">
    <dataValidation type="list" allowBlank="1" showInputMessage="1" showErrorMessage="1" promptTitle="Saissisez le mode de VERSEMENT" sqref="I6:I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pane xSplit="2" ySplit="4" topLeftCell="C14" activePane="bottomRight" state="frozen"/>
      <selection pane="topRight" activeCell="C1" sqref="C1"/>
      <selection pane="bottomLeft" activeCell="A6" sqref="A6"/>
      <selection pane="bottomRight" activeCell="A43" sqref="A43:XFD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.28515625" style="2" customWidth="1"/>
    <col min="4" max="7" width="17.28515625" customWidth="1"/>
    <col min="8" max="8" width="13.140625" customWidth="1"/>
    <col min="9" max="9" width="16.85546875" style="2" bestFit="1" customWidth="1"/>
    <col min="10" max="10" width="15" bestFit="1" customWidth="1"/>
    <col min="11" max="11" width="17.5703125" style="3" bestFit="1" customWidth="1"/>
    <col min="12" max="12" width="15.7109375" style="2" customWidth="1"/>
    <col min="13" max="13" width="15" style="2" bestFit="1" customWidth="1"/>
    <col min="14" max="14" width="18.140625" style="2" bestFit="1" customWidth="1"/>
    <col min="15" max="20" width="18.140625" customWidth="1"/>
    <col min="21" max="21" width="21.28515625" style="2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</row>
    <row r="4" spans="1:22" ht="43.5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186</v>
      </c>
      <c r="F4" s="5" t="s">
        <v>187</v>
      </c>
      <c r="G4" s="5" t="s">
        <v>189</v>
      </c>
      <c r="H4" s="5" t="s">
        <v>184</v>
      </c>
      <c r="I4" s="5" t="s">
        <v>65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8</v>
      </c>
      <c r="S4" s="5" t="s">
        <v>182</v>
      </c>
      <c r="T4" s="5" t="s">
        <v>181</v>
      </c>
      <c r="U4" s="6" t="s">
        <v>9</v>
      </c>
      <c r="V4" s="1" t="s">
        <v>10</v>
      </c>
    </row>
    <row r="5" spans="1:22" x14ac:dyDescent="0.25">
      <c r="A5" s="1" t="s">
        <v>185</v>
      </c>
      <c r="B5" s="1" t="str">
        <f>VLOOKUP(A5,LISTADHERENT!A$5:H$52,2,0)</f>
        <v>ASELBY</v>
      </c>
      <c r="C5" s="1">
        <f>VLOOKUP(A5,FONDSDECAISSE!A$5:C$52,3,0)</f>
        <v>0</v>
      </c>
      <c r="D5" s="1">
        <v>318145</v>
      </c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x14ac:dyDescent="0.25">
      <c r="A6" s="1" t="s">
        <v>11</v>
      </c>
      <c r="B6" s="1" t="str">
        <f>VLOOKUP(A6,LISTADHERENT!A$5:H$52,2,0)</f>
        <v>BAKOP ACHILLE</v>
      </c>
      <c r="C6" s="1">
        <f>VLOOKUP(A6,FONDSDECAISSE!A$5:C$52,3,0)</f>
        <v>390000</v>
      </c>
      <c r="D6" s="6">
        <v>33536</v>
      </c>
      <c r="E6" s="6"/>
      <c r="F6" s="6"/>
      <c r="G6" s="6"/>
      <c r="H6" s="6"/>
      <c r="I6" s="7">
        <f>J6+K6+L6+M6+N6+O6+T6</f>
        <v>225000</v>
      </c>
      <c r="J6" s="7">
        <f>TONT20000DEC2015!I6+TONT20000JANV!G6+TONT20000FEV!G6+TONT20000MARS!G6+TONT20000AVRIL!G6+TONT20000MAI!G6+TONT20000JUIN!G6+TONT20000JUIL!G6+TONT20000AOUT!G6+TONT20000SEPT!G6+TONT20000OCT!G6+TONT20000NOV!H6</f>
        <v>30000</v>
      </c>
      <c r="K6" s="7">
        <f>TONT20000DEC2015!J6+TONT20000JANV!H6+TONT20000FEV!H6+TONT20000MARS!H6+TONT20000AVRIL!H6+TONT20000MAI!H6+TONT20000JUIN!H6+TONT20000JUIL!H6+TONT20000AOUT!H6+TONT20000SEPT!H6+TONT20000OCT!H6+TONT20000NOV!I6</f>
        <v>5000</v>
      </c>
      <c r="L6" s="7">
        <f>TONT20000DEC2015!K6+TONT20000JANV!I6+TONT20000FEV!I6+TONT20000MARS!I6+TONT20000AVRIL!I6+TONT20000MAI!I6+TONT20000JUIN!I6+TONT20000JUIL!I6+TONT20000AOUT!I6+TONT20000SEPT!I6+TONT20000OCT!I6+TONT20000NOV!J6</f>
        <v>10000</v>
      </c>
      <c r="M6" s="7">
        <f>TONT20000DEC2015!L6+TONT20000JANV!J6+TONT20000FEV!J6+TONT20000MARS!J6+TONT20000AVRIL!J6+TONT20000MAI!J6+TONT20000JUIN!J6+TONT20000JUIL!J6+TONT20000AOUT!J6+TONT20000SEPT!J6+TONT20000OCT!J6+TONT20000NOV!K6</f>
        <v>25000</v>
      </c>
      <c r="N6" s="7">
        <f>TONT20000DEC2015!M6+TONT20000JANV!K6+TONT20000FEV!K6+TONT20000MARS!K6+TONT20000AVRIL!K6+TONT20000MAI!K6+TONT20000JUIN!K6+TONT20000JUIL!K6+TONT20000AOUT!K6+TONT20000SEPT!K6+TONT20000OCT!K6+TONT20000NOV!L6</f>
        <v>25000</v>
      </c>
      <c r="O6" s="7">
        <f>TONT20000DEC2015!N6+TONT20000JANV!L6+TONT20000FEV!L6+TONT20000MARS!L6+TONT20000AVRIL!L6+TONT20000MAI!L6+TONT20000JUIN!L6+TONT20000JUIL!L6+TONT20000AOUT!L6+TONT20000SEPT!L6+TONT20000OCT!L6+TONT20000NOV!M6</f>
        <v>130000</v>
      </c>
      <c r="P6" s="7">
        <f>TONT20000DEC2015!O6+TONT20000JANV!M6+TONT20000FEV!M6+TONT20000MARS!M6+TONT20000AVRIL!M6+TONT20000MAI!M6+TONT20000JUIN!M6+TONT20000JUIL!M6+TONT20000AOUT!M6+TONT20000SEPT!M6+TONT20000OCT!M6+TONT20000NOV!N6</f>
        <v>500000</v>
      </c>
      <c r="Q6" s="7">
        <f>TONT20000DEC2015!P6+TONT20000JANV!N6+TONT20000FEV!N6+TONT20000MARS!N6+TONT20000AVRIL!N6+TONT20000MAI!N6+TONT20000JUIN!N6+TONT20000JUIL!N6+TONT20000AOUT!N6+TONT20000SEPT!N6+TONT20000OCT!N6+TONT20000NOV!O6</f>
        <v>15000</v>
      </c>
      <c r="R6" s="7">
        <f>TONT20000DEC2015!Q6+TONT20000JANV!O6+TONT20000FEV!O6+TONT20000MARS!O6+TONT20000AVRIL!O6+TONT20000MAI!O6+TONT20000JUIN!O6+TONT20000JUIL!O6+TONT20000AOUT!O6+TONT20000SEPT!O6+TONT20000OCT!O6+TONT20000NOV!P6</f>
        <v>0</v>
      </c>
      <c r="S6" s="7">
        <f>TONT20000DEC2015!R6+TONT20000JANV!P6+TONT20000FEV!P6+TONT20000MARS!P6+TONT20000AVRIL!P6+TONT20000MAI!P6+TONT20000JUIN!P6+TONT20000JUIL!P6+TONT20000AOUT!P6+TONT20000SEPT!Q6+TONT20000OCT!P6+TONT20000NOV!Q6</f>
        <v>0</v>
      </c>
      <c r="T6" s="7">
        <f>TONT20000DEC2015!R6+TONT20000JANV!P6+TONT20000FEV!P6+TONT20000MARS!P6+TONT20000AVRIL!P6+TONT20000MAI!P6+TONT20000JUIN!P6+TONT20000JUIL!P6+TONT20000AOUT!P6+TONT20000SEPT!Q6+TONT20000OCT!P6+TONT20000NOV!Q6</f>
        <v>0</v>
      </c>
      <c r="U6" s="7"/>
    </row>
    <row r="7" spans="1:22" x14ac:dyDescent="0.25">
      <c r="A7" s="1" t="s">
        <v>12</v>
      </c>
      <c r="B7" s="1" t="str">
        <f>VLOOKUP(A7,LISTADHERENT!A$5:H$52,2,0)</f>
        <v>BOUTCHOUANG WILLIAM</v>
      </c>
      <c r="C7" s="1">
        <f>VLOOKUP(A7,FONDSDECAISSE!A$5:C$52,3,0)</f>
        <v>390000</v>
      </c>
      <c r="D7" s="6">
        <v>1704</v>
      </c>
      <c r="E7" s="6"/>
      <c r="F7" s="6"/>
      <c r="G7" s="6"/>
      <c r="H7" s="6"/>
      <c r="I7" s="7">
        <f t="shared" ref="I7:I54" si="0">J7+K7+L7+M7+N7+O7+T7</f>
        <v>240000</v>
      </c>
      <c r="J7" s="7">
        <f>TONT20000DEC2015!I7+TONT20000JANV!G7+TONT20000FEV!G7+TONT20000MARS!G7+TONT20000AVRIL!G7+TONT20000MAI!G7+TONT20000JUIN!G7+TONT20000JUIL!G7+TONT20000AOUT!G7+TONT20000SEPT!G7+TONT20000OCT!G7+TONT20000NOV!H7</f>
        <v>36000</v>
      </c>
      <c r="K7" s="7">
        <f>TONT20000DEC2015!J7+TONT20000JANV!H7+TONT20000FEV!H7+TONT20000MARS!H7+TONT20000AVRIL!H7+TONT20000MAI!H7+TONT20000JUIN!H7+TONT20000JUIL!H7+TONT20000AOUT!H7+TONT20000SEPT!H7+TONT20000OCT!H7+TONT20000NOV!I7</f>
        <v>6000</v>
      </c>
      <c r="L7" s="7">
        <f>TONT20000DEC2015!K7+TONT20000JANV!I7+TONT20000FEV!I7+TONT20000MARS!I7+TONT20000AVRIL!I7+TONT20000MAI!I7+TONT20000JUIN!I7+TONT20000JUIL!I7+TONT20000AOUT!I7+TONT20000SEPT!I7+TONT20000OCT!I7+TONT20000NOV!J7</f>
        <v>12000</v>
      </c>
      <c r="M7" s="7">
        <f>TONT20000DEC2015!L7+TONT20000JANV!J7+TONT20000FEV!J7+TONT20000MARS!J7+TONT20000AVRIL!J7+TONT20000MAI!J7+TONT20000JUIN!J7+TONT20000JUIL!J7+TONT20000AOUT!J7+TONT20000SEPT!J7+TONT20000OCT!J7+TONT20000NOV!K7</f>
        <v>30000</v>
      </c>
      <c r="N7" s="7">
        <f>TONT20000DEC2015!M7+TONT20000JANV!K7+TONT20000FEV!K7+TONT20000MARS!K7+TONT20000AVRIL!K7+TONT20000MAI!K7+TONT20000JUIN!K7+TONT20000JUIL!K7+TONT20000AOUT!K7+TONT20000SEPT!K7+TONT20000OCT!K7+TONT20000NOV!L7</f>
        <v>0</v>
      </c>
      <c r="O7" s="7">
        <f>TONT20000DEC2015!N7+TONT20000JANV!L7+TONT20000FEV!L7+TONT20000MARS!L7+TONT20000AVRIL!L7+TONT20000MAI!L7+TONT20000JUIN!L7+TONT20000JUIL!L7+TONT20000AOUT!L7+TONT20000SEPT!L7+TONT20000OCT!L7+TONT20000NOV!M7</f>
        <v>156000</v>
      </c>
      <c r="P7" s="7">
        <f>TONT20000DEC2015!O7+TONT20000JANV!M7+TONT20000FEV!M7+TONT20000MARS!M7+TONT20000AVRIL!M7+TONT20000MAI!M7+TONT20000JUIN!M7+TONT20000JUIL!M7+TONT20000AOUT!M7+TONT20000SEPT!M7+TONT20000OCT!M7+TONT20000NOV!N7</f>
        <v>1700000</v>
      </c>
      <c r="Q7" s="7">
        <f>TONT20000DEC2015!P7+TONT20000JANV!N7+TONT20000FEV!N7+TONT20000MARS!N7+TONT20000AVRIL!N7+TONT20000MAI!N7+TONT20000JUIN!N7+TONT20000JUIL!N7+TONT20000AOUT!N7+TONT20000SEPT!N7+TONT20000OCT!N7+TONT20000NOV!O7</f>
        <v>124000</v>
      </c>
      <c r="R7" s="7">
        <f>TONT20000DEC2015!Q7+TONT20000JANV!O7+TONT20000FEV!O7+TONT20000MARS!O7+TONT20000AVRIL!O7+TONT20000MAI!O7+TONT20000JUIN!O7+TONT20000JUIL!O7+TONT20000AOUT!O7+TONT20000SEPT!O7+TONT20000OCT!O7+TONT20000NOV!P7</f>
        <v>1000000</v>
      </c>
      <c r="S7" s="7">
        <f>TONT20000DEC2015!R7+TONT20000JANV!P7+TONT20000FEV!P7+TONT20000MARS!P7+TONT20000AVRIL!P7+TONT20000MAI!P7+TONT20000JUIN!P7+TONT20000JUIL!P7+TONT20000AOUT!P7+TONT20000SEPT!Q7+TONT20000OCT!P7+TONT20000NOV!Q7</f>
        <v>0</v>
      </c>
      <c r="T7" s="7">
        <f>TONT20000DEC2015!R7+TONT20000JANV!P7+TONT20000FEV!P7+TONT20000MARS!P7+TONT20000AVRIL!P7+TONT20000MAI!P7+TONT20000JUIN!P7+TONT20000JUIL!P7+TONT20000AOUT!P7+TONT20000SEPT!Q7+TONT20000OCT!P7+TONT20000NOV!Q7</f>
        <v>0</v>
      </c>
      <c r="U7" s="7"/>
    </row>
    <row r="8" spans="1:22" x14ac:dyDescent="0.25">
      <c r="A8" s="1" t="s">
        <v>13</v>
      </c>
      <c r="B8" s="1" t="str">
        <f>VLOOKUP(A8,LISTADHERENT!A$5:H$52,2,0)</f>
        <v>CHINGUE FABRICE</v>
      </c>
      <c r="C8" s="1">
        <f>VLOOKUP(A8,FONDSDECAISSE!A$5:C$52,3,0)</f>
        <v>390000</v>
      </c>
      <c r="D8" s="6">
        <v>1842</v>
      </c>
      <c r="E8" s="6"/>
      <c r="F8" s="6"/>
      <c r="G8" s="6"/>
      <c r="H8" s="6"/>
      <c r="I8" s="7">
        <f t="shared" si="0"/>
        <v>240000</v>
      </c>
      <c r="J8" s="7">
        <f>TONT20000DEC2015!I8+TONT20000JANV!G8+TONT20000FEV!G8+TONT20000MARS!G8+TONT20000AVRIL!G8+TONT20000MAI!G8+TONT20000JUIN!G8+TONT20000JUIL!G8+TONT20000AOUT!G8+TONT20000SEPT!G8+TONT20000OCT!G8+TONT20000NOV!H8</f>
        <v>36000</v>
      </c>
      <c r="K8" s="7">
        <f>TONT20000DEC2015!J8+TONT20000JANV!H8+TONT20000FEV!H8+TONT20000MARS!H8+TONT20000AVRIL!H8+TONT20000MAI!H8+TONT20000JUIN!H8+TONT20000JUIL!H8+TONT20000AOUT!H8+TONT20000SEPT!H8+TONT20000OCT!H8+TONT20000NOV!I8</f>
        <v>6000</v>
      </c>
      <c r="L8" s="7">
        <f>TONT20000DEC2015!K8+TONT20000JANV!I8+TONT20000FEV!I8+TONT20000MARS!I8+TONT20000AVRIL!I8+TONT20000MAI!I8+TONT20000JUIN!I8+TONT20000JUIL!I8+TONT20000AOUT!I8+TONT20000SEPT!I8+TONT20000OCT!I8+TONT20000NOV!J8</f>
        <v>12000</v>
      </c>
      <c r="M8" s="7">
        <f>TONT20000DEC2015!L8+TONT20000JANV!J8+TONT20000FEV!J8+TONT20000MARS!J8+TONT20000AVRIL!J8+TONT20000MAI!J8+TONT20000JUIN!J8+TONT20000JUIL!J8+TONT20000AOUT!J8+TONT20000SEPT!J8+TONT20000OCT!J8+TONT20000NOV!K8</f>
        <v>30000</v>
      </c>
      <c r="N8" s="7">
        <f>TONT20000DEC2015!M8+TONT20000JANV!K8+TONT20000FEV!K8+TONT20000MARS!K8+TONT20000AVRIL!K8+TONT20000MAI!K8+TONT20000JUIN!K8+TONT20000JUIL!K8+TONT20000AOUT!K8+TONT20000SEPT!K8+TONT20000OCT!K8+TONT20000NOV!L8</f>
        <v>0</v>
      </c>
      <c r="O8" s="7">
        <f>TONT20000DEC2015!N8+TONT20000JANV!L8+TONT20000FEV!L8+TONT20000MARS!L8+TONT20000AVRIL!L8+TONT20000MAI!L8+TONT20000JUIN!L8+TONT20000JUIL!L8+TONT20000AOUT!L8+TONT20000SEPT!L8+TONT20000OCT!L8+TONT20000NOV!M8</f>
        <v>156000</v>
      </c>
      <c r="P8" s="7">
        <f>TONT20000DEC2015!O8+TONT20000JANV!M8+TONT20000FEV!M8+TONT20000MARS!M8+TONT20000AVRIL!M8+TONT20000MAI!M8+TONT20000JUIN!M8+TONT20000JUIL!M8+TONT20000AOUT!M8+TONT20000SEPT!M8+TONT20000OCT!M8+TONT20000NOV!N8</f>
        <v>2000000</v>
      </c>
      <c r="Q8" s="7">
        <f>TONT20000DEC2015!P8+TONT20000JANV!N8+TONT20000FEV!N8+TONT20000MARS!N8+TONT20000AVRIL!N8+TONT20000MAI!N8+TONT20000JUIN!N8+TONT20000JUIL!N8+TONT20000AOUT!N8+TONT20000SEPT!N8+TONT20000OCT!N8+TONT20000NOV!O8</f>
        <v>180000</v>
      </c>
      <c r="R8" s="7">
        <f>TONT20000DEC2015!Q8+TONT20000JANV!O8+TONT20000FEV!O8+TONT20000MARS!O8+TONT20000AVRIL!O8+TONT20000MAI!O8+TONT20000JUIN!O8+TONT20000JUIL!O8+TONT20000AOUT!O8+TONT20000SEPT!O8+TONT20000OCT!O8+TONT20000NOV!P8</f>
        <v>1000000</v>
      </c>
      <c r="S8" s="7">
        <f>TONT20000DEC2015!R8+TONT20000JANV!P8+TONT20000FEV!P8+TONT20000MARS!P8+TONT20000AVRIL!P8+TONT20000MAI!P8+TONT20000JUIN!P8+TONT20000JUIL!P8+TONT20000AOUT!P8+TONT20000SEPT!Q8+TONT20000OCT!P8+TONT20000NOV!Q8</f>
        <v>0</v>
      </c>
      <c r="T8" s="7">
        <f>TONT20000DEC2015!R8+TONT20000JANV!P8+TONT20000FEV!P8+TONT20000MARS!P8+TONT20000AVRIL!P8+TONT20000MAI!P8+TONT20000JUIN!P8+TONT20000JUIL!P8+TONT20000AOUT!P8+TONT20000SEPT!Q8+TONT20000OCT!P8+TONT20000NOV!Q8</f>
        <v>0</v>
      </c>
      <c r="U8" s="7"/>
    </row>
    <row r="9" spans="1:22" x14ac:dyDescent="0.25">
      <c r="A9" s="1" t="s">
        <v>14</v>
      </c>
      <c r="B9" s="1" t="str">
        <f>VLOOKUP(A9,LISTADHERENT!A$5:H$52,2,0)</f>
        <v xml:space="preserve">DJOMO JEAN PAUL </v>
      </c>
      <c r="C9" s="1">
        <f>VLOOKUP(A9,FONDSDECAISSE!A$5:C$52,3,0)</f>
        <v>390000</v>
      </c>
      <c r="D9" s="6">
        <v>8156</v>
      </c>
      <c r="E9" s="6"/>
      <c r="F9" s="6"/>
      <c r="G9" s="6"/>
      <c r="H9" s="6"/>
      <c r="I9" s="7">
        <f t="shared" si="0"/>
        <v>247000</v>
      </c>
      <c r="J9" s="7">
        <f>TONT20000DEC2015!I9+TONT20000JANV!G9+TONT20000FEV!G9+TONT20000MARS!G9+TONT20000AVRIL!G9+TONT20000MAI!G9+TONT20000JUIN!G9+TONT20000JUIL!G9+TONT20000AOUT!G9+TONT20000SEPT!G9+TONT20000OCT!G9+TONT20000NOV!H9</f>
        <v>43000</v>
      </c>
      <c r="K9" s="7">
        <f>TONT20000DEC2015!J9+TONT20000JANV!H9+TONT20000FEV!H9+TONT20000MARS!H9+TONT20000AVRIL!H9+TONT20000MAI!H9+TONT20000JUIN!H9+TONT20000JUIL!H9+TONT20000AOUT!H9+TONT20000SEPT!H9+TONT20000OCT!H9+TONT20000NOV!I9</f>
        <v>6000</v>
      </c>
      <c r="L9" s="7">
        <f>TONT20000DEC2015!K9+TONT20000JANV!I9+TONT20000FEV!I9+TONT20000MARS!I9+TONT20000AVRIL!I9+TONT20000MAI!I9+TONT20000JUIN!I9+TONT20000JUIL!I9+TONT20000AOUT!I9+TONT20000SEPT!I9+TONT20000OCT!I9+TONT20000NOV!J9</f>
        <v>12000</v>
      </c>
      <c r="M9" s="7">
        <f>TONT20000DEC2015!L9+TONT20000JANV!J9+TONT20000FEV!J9+TONT20000MARS!J9+TONT20000AVRIL!J9+TONT20000MAI!J9+TONT20000JUIN!J9+TONT20000JUIL!J9+TONT20000AOUT!J9+TONT20000SEPT!J9+TONT20000OCT!J9+TONT20000NOV!K9</f>
        <v>30000</v>
      </c>
      <c r="N9" s="7">
        <f>TONT20000DEC2015!M9+TONT20000JANV!K9+TONT20000FEV!K9+TONT20000MARS!K9+TONT20000AVRIL!K9+TONT20000MAI!K9+TONT20000JUIN!K9+TONT20000JUIL!K9+TONT20000AOUT!K9+TONT20000SEPT!K9+TONT20000OCT!K9+TONT20000NOV!L9</f>
        <v>0</v>
      </c>
      <c r="O9" s="7">
        <f>TONT20000DEC2015!N9+TONT20000JANV!L9+TONT20000FEV!L9+TONT20000MARS!L9+TONT20000AVRIL!L9+TONT20000MAI!L9+TONT20000JUIN!L9+TONT20000JUIL!L9+TONT20000AOUT!L9+TONT20000SEPT!L9+TONT20000OCT!L9+TONT20000NOV!M9</f>
        <v>156000</v>
      </c>
      <c r="P9" s="7">
        <f>TONT20000DEC2015!O9+TONT20000JANV!M9+TONT20000FEV!M9+TONT20000MARS!M9+TONT20000AVRIL!M9+TONT20000MAI!M9+TONT20000JUIN!M9+TONT20000JUIL!M9+TONT20000AOUT!M9+TONT20000SEPT!M9+TONT20000OCT!M9+TONT20000NOV!N9</f>
        <v>200000</v>
      </c>
      <c r="Q9" s="7">
        <f>TONT20000DEC2015!P9+TONT20000JANV!N9+TONT20000FEV!N9+TONT20000MARS!N9+TONT20000AVRIL!N9+TONT20000MAI!N9+TONT20000JUIN!N9+TONT20000JUIL!N9+TONT20000AOUT!N9+TONT20000SEPT!N9+TONT20000OCT!N9+TONT20000NOV!O9</f>
        <v>6000</v>
      </c>
      <c r="R9" s="7">
        <f>TONT20000DEC2015!Q9+TONT20000JANV!O9+TONT20000FEV!O9+TONT20000MARS!O9+TONT20000AVRIL!O9+TONT20000MAI!O9+TONT20000JUIN!O9+TONT20000JUIL!O9+TONT20000AOUT!O9+TONT20000SEPT!O9+TONT20000OCT!O9+TONT20000NOV!P9</f>
        <v>0</v>
      </c>
      <c r="S9" s="7">
        <f>TONT20000DEC2015!R9+TONT20000JANV!P9+TONT20000FEV!P9+TONT20000MARS!P9+TONT20000AVRIL!P9+TONT20000MAI!P9+TONT20000JUIN!P9+TONT20000JUIL!P9+TONT20000AOUT!P9+TONT20000SEPT!Q9+TONT20000OCT!P9+TONT20000NOV!Q9</f>
        <v>0</v>
      </c>
      <c r="T9" s="7">
        <f>TONT20000DEC2015!R9+TONT20000JANV!P9+TONT20000FEV!P9+TONT20000MARS!P9+TONT20000AVRIL!P9+TONT20000MAI!P9+TONT20000JUIN!P9+TONT20000JUIL!P9+TONT20000AOUT!P9+TONT20000SEPT!Q9+TONT20000OCT!P9+TONT20000NOV!Q9</f>
        <v>0</v>
      </c>
      <c r="U9" s="7"/>
    </row>
    <row r="10" spans="1:22" x14ac:dyDescent="0.25">
      <c r="A10" s="1" t="s">
        <v>15</v>
      </c>
      <c r="B10" s="1" t="str">
        <f>VLOOKUP(A10,LISTADHERENT!A$5:H$52,2,0)</f>
        <v>DJOUKWE GUY</v>
      </c>
      <c r="C10" s="1">
        <f>VLOOKUP(A10,FONDSDECAISSE!A$5:C$52,3,0)</f>
        <v>390000</v>
      </c>
      <c r="D10" s="6">
        <v>5905</v>
      </c>
      <c r="E10" s="6"/>
      <c r="F10" s="6"/>
      <c r="G10" s="6"/>
      <c r="H10" s="6"/>
      <c r="I10" s="7">
        <f t="shared" si="0"/>
        <v>280000</v>
      </c>
      <c r="J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K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L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M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N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O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P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Q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R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S10" s="7">
        <f>TONT20000DEC2015!R10+TONT20000JANV!P10+TONT20000FEV!P10+TONT20000MARS!P10+TONT20000AVRIL!P10+TONT20000MAI!P10+TONT20000JUIN!P10+TONT20000JUIL!P10+TONT20000AOUT!P10+TONT20000SEPT!Q10+TONT20000OCT!P10+TONT20000NOV!Q10</f>
        <v>0</v>
      </c>
      <c r="T10" s="7">
        <f>TONT20000DEC2015!R10+TONT20000JANV!P10+TONT20000FEV!P10+TONT20000MARS!P10+TONT20000AVRIL!P10+TONT20000MAI!P10+TONT20000JUIN!P10+TONT20000JUIL!P10+TONT20000AOUT!P10+TONT20000SEPT!Q10+TONT20000OCT!P10+TONT20000NOV!Q10</f>
        <v>0</v>
      </c>
      <c r="U10" s="7"/>
    </row>
    <row r="11" spans="1:22" x14ac:dyDescent="0.25">
      <c r="A11" s="1" t="s">
        <v>16</v>
      </c>
      <c r="B11" s="1" t="str">
        <f>VLOOKUP(A11,LISTADHERENT!A$5:H$52,2,0)</f>
        <v>DJOSSEU JOSUE</v>
      </c>
      <c r="C11" s="1">
        <f>VLOOKUP(A11,FONDSDECAISSE!A$5:C$52,3,0)</f>
        <v>0</v>
      </c>
      <c r="D11" s="6">
        <v>0</v>
      </c>
      <c r="E11" s="6"/>
      <c r="F11" s="6"/>
      <c r="G11" s="6"/>
      <c r="H11" s="6"/>
      <c r="I11" s="7">
        <f t="shared" si="0"/>
        <v>22000</v>
      </c>
      <c r="J11" s="7">
        <f>TONT20000DEC2015!I11+TONT20000JANV!G11+TONT20000FEV!G11+TONT20000MARS!G11+TONT20000AVRIL!G11+TONT20000MAI!G11+TONT20000JUIN!G11+TONT20000JUIL!G11+TONT20000AOUT!G11+TONT20000SEPT!G11+TONT20000OCT!G11+TONT20000NOV!H11</f>
        <v>5000</v>
      </c>
      <c r="K11" s="7">
        <f>TONT20000DEC2015!J11+TONT20000JANV!H11+TONT20000FEV!H11+TONT20000MARS!H11+TONT20000AVRIL!H11+TONT20000MAI!H11+TONT20000JUIN!H11+TONT20000JUIL!H11+TONT20000AOUT!H11+TONT20000SEPT!H11+TONT20000OCT!H11+TONT20000NOV!I11</f>
        <v>500</v>
      </c>
      <c r="L11" s="7">
        <f>TONT20000DEC2015!K11+TONT20000JANV!I11+TONT20000FEV!I11+TONT20000MARS!I11+TONT20000AVRIL!I11+TONT20000MAI!I11+TONT20000JUIN!I11+TONT20000JUIL!I11+TONT20000AOUT!I11+TONT20000SEPT!I11+TONT20000OCT!I11+TONT20000NOV!J11</f>
        <v>1000</v>
      </c>
      <c r="M11" s="7">
        <f>TONT20000DEC2015!L11+TONT20000JANV!J11+TONT20000FEV!J11+TONT20000MARS!J11+TONT20000AVRIL!J11+TONT20000MAI!J11+TONT20000JUIN!J11+TONT20000JUIL!J11+TONT20000AOUT!J11+TONT20000SEPT!J11+TONT20000OCT!J11+TONT20000NOV!K11</f>
        <v>2500</v>
      </c>
      <c r="N11" s="7">
        <f>TONT20000DEC2015!M11+TONT20000JANV!K11+TONT20000FEV!K11+TONT20000MARS!K11+TONT20000AVRIL!K11+TONT20000MAI!K11+TONT20000JUIN!K11+TONT20000JUIL!K11+TONT20000AOUT!K11+TONT20000SEPT!K11+TONT20000OCT!K11+TONT20000NOV!L11</f>
        <v>0</v>
      </c>
      <c r="O11" s="7">
        <f>TONT20000DEC2015!N11+TONT20000JANV!L11+TONT20000FEV!L11+TONT20000MARS!L11+TONT20000AVRIL!L11+TONT20000MAI!L11+TONT20000JUIN!L11+TONT20000JUIL!L11+TONT20000AOUT!L11+TONT20000SEPT!L11+TONT20000OCT!L11+TONT20000NOV!M11</f>
        <v>13000</v>
      </c>
      <c r="P11" s="7">
        <f>TONT20000DEC2015!O11+TONT20000JANV!M11+TONT20000FEV!M11+TONT20000MARS!M11+TONT20000AVRIL!M11+TONT20000MAI!M11+TONT20000JUIN!M11+TONT20000JUIL!M11+TONT20000AOUT!M11+TONT20000SEPT!M11+TONT20000OCT!M11+TONT20000NOV!N11</f>
        <v>0</v>
      </c>
      <c r="Q11" s="7">
        <f>TONT20000DEC2015!P11+TONT20000JANV!N11+TONT20000FEV!N11+TONT20000MARS!N11+TONT20000AVRIL!N11+TONT20000MAI!N11+TONT20000JUIN!N11+TONT20000JUIL!N11+TONT20000AOUT!N11+TONT20000SEPT!N11+TONT20000OCT!N11+TONT20000NOV!O11</f>
        <v>0</v>
      </c>
      <c r="R11" s="7">
        <f>TONT20000DEC2015!Q11+TONT20000JANV!O11+TONT20000FEV!O11+TONT20000MARS!O11+TONT20000AVRIL!O11+TONT20000MAI!O11+TONT20000JUIN!O11+TONT20000JUIL!O11+TONT20000AOUT!O11+TONT20000SEPT!O11+TONT20000OCT!O11+TONT20000NOV!P11</f>
        <v>0</v>
      </c>
      <c r="S11" s="7">
        <f>TONT20000DEC2015!R11+TONT20000JANV!P11+TONT20000FEV!P11+TONT20000MARS!P11+TONT20000AVRIL!P11+TONT20000MAI!P11+TONT20000JUIN!P11+TONT20000JUIL!P11+TONT20000AOUT!P11+TONT20000SEPT!Q11+TONT20000OCT!P11+TONT20000NOV!Q11</f>
        <v>0</v>
      </c>
      <c r="T11" s="7">
        <f>TONT20000DEC2015!R11+TONT20000JANV!P11+TONT20000FEV!P11+TONT20000MARS!P11+TONT20000AVRIL!P11+TONT20000MAI!P11+TONT20000JUIN!P11+TONT20000JUIL!P11+TONT20000AOUT!P11+TONT20000SEPT!Q11+TONT20000OCT!P11+TONT20000NOV!Q11</f>
        <v>0</v>
      </c>
      <c r="U11" s="7"/>
    </row>
    <row r="12" spans="1:22" x14ac:dyDescent="0.25">
      <c r="A12" s="1" t="s">
        <v>17</v>
      </c>
      <c r="B12" s="1" t="str">
        <f>VLOOKUP(A12,LISTADHERENT!A$5:H$52,2,0)</f>
        <v>DJOUNKEP SAMUEL</v>
      </c>
      <c r="C12" s="1">
        <f>VLOOKUP(A12,FONDSDECAISSE!A$5:C$52,3,0)</f>
        <v>390000</v>
      </c>
      <c r="D12" s="6">
        <f>1055294-69705</f>
        <v>985589</v>
      </c>
      <c r="E12" s="6"/>
      <c r="F12" s="6"/>
      <c r="G12" s="6"/>
      <c r="H12" s="6"/>
      <c r="I12" s="7">
        <f t="shared" si="0"/>
        <v>760000</v>
      </c>
      <c r="J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K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L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M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N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O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P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Q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R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S12" s="7">
        <f>TONT20000DEC2015!R12+TONT20000JANV!P12+TONT20000FEV!P12+TONT20000MARS!P12+TONT20000AVRIL!P12+TONT20000MAI!P12+TONT20000JUIN!P12+TONT20000JUIL!P12+TONT20000AOUT!P12+TONT20000SEPT!Q12+TONT20000OCT!P12+TONT20000NOV!Q12</f>
        <v>0</v>
      </c>
      <c r="T12" s="7">
        <f>TONT20000DEC2015!R12+TONT20000JANV!P12+TONT20000FEV!P12+TONT20000MARS!P12+TONT20000AVRIL!P12+TONT20000MAI!P12+TONT20000JUIN!P12+TONT20000JUIL!P12+TONT20000AOUT!P12+TONT20000SEPT!Q12+TONT20000OCT!P12+TONT20000NOV!Q12</f>
        <v>0</v>
      </c>
      <c r="U12" s="7"/>
    </row>
    <row r="13" spans="1:22" x14ac:dyDescent="0.25">
      <c r="A13" s="1" t="s">
        <v>18</v>
      </c>
      <c r="B13" s="1" t="str">
        <f>VLOOKUP(A13,LISTADHERENT!A$5:H$52,2,0)</f>
        <v>DJUOMBESSY ANTOINE</v>
      </c>
      <c r="C13" s="1">
        <f>VLOOKUP(A13,FONDSDECAISSE!A$5:C$52,3,0)</f>
        <v>319134</v>
      </c>
      <c r="D13" s="6">
        <v>0</v>
      </c>
      <c r="E13" s="6"/>
      <c r="F13" s="6"/>
      <c r="G13" s="6"/>
      <c r="H13" s="6"/>
      <c r="I13" s="7">
        <f t="shared" si="0"/>
        <v>271560</v>
      </c>
      <c r="J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K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L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M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N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O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P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Q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R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S13" s="7">
        <f>TONT20000DEC2015!R13+TONT20000JANV!P13+TONT20000FEV!P13+TONT20000MARS!P13+TONT20000AVRIL!P13+TONT20000MAI!P13+TONT20000JUIN!P13+TONT20000JUIL!P13+TONT20000AOUT!P13+TONT20000SEPT!Q13+TONT20000OCT!P13+TONT20000NOV!Q13</f>
        <v>0</v>
      </c>
      <c r="T13" s="7">
        <f>TONT20000DEC2015!R13+TONT20000JANV!P13+TONT20000FEV!P13+TONT20000MARS!P13+TONT20000AVRIL!P13+TONT20000MAI!P13+TONT20000JUIN!P13+TONT20000JUIL!P13+TONT20000AOUT!P13+TONT20000SEPT!Q13+TONT20000OCT!P13+TONT20000NOV!Q13</f>
        <v>0</v>
      </c>
      <c r="U13" s="7"/>
    </row>
    <row r="14" spans="1:22" x14ac:dyDescent="0.25">
      <c r="A14" s="1" t="s">
        <v>19</v>
      </c>
      <c r="B14" s="1" t="str">
        <f>VLOOKUP(A14,LISTADHERENT!A$5:H$52,2,0)</f>
        <v>DONHOU DAVID</v>
      </c>
      <c r="C14" s="1">
        <f>VLOOKUP(A14,FONDSDECAISSE!A$5:C$52,3,0)</f>
        <v>390000</v>
      </c>
      <c r="D14" s="6">
        <v>44734</v>
      </c>
      <c r="E14" s="6"/>
      <c r="F14" s="6"/>
      <c r="G14" s="6"/>
      <c r="H14" s="6"/>
      <c r="I14" s="7">
        <f t="shared" si="0"/>
        <v>240000</v>
      </c>
      <c r="J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K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L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M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N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O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P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Q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R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S14" s="7">
        <f>TONT20000DEC2015!R14+TONT20000JANV!P14+TONT20000FEV!P14+TONT20000MARS!P14+TONT20000AVRIL!P14+TONT20000MAI!P14+TONT20000JUIN!P14+TONT20000JUIL!P14+TONT20000AOUT!P14+TONT20000SEPT!Q14+TONT20000OCT!P14+TONT20000NOV!Q14</f>
        <v>0</v>
      </c>
      <c r="T14" s="7">
        <f>TONT20000DEC2015!R14+TONT20000JANV!P14+TONT20000FEV!P14+TONT20000MARS!P14+TONT20000AVRIL!P14+TONT20000MAI!P14+TONT20000JUIN!P14+TONT20000JUIL!P14+TONT20000AOUT!P14+TONT20000SEPT!Q14+TONT20000OCT!P14+TONT20000NOV!Q14</f>
        <v>0</v>
      </c>
      <c r="U14" s="7"/>
    </row>
    <row r="15" spans="1:22" x14ac:dyDescent="0.25">
      <c r="A15" s="1" t="s">
        <v>20</v>
      </c>
      <c r="B15" s="1" t="str">
        <f>VLOOKUP(A15,LISTADHERENT!A$5:H$52,2,0)</f>
        <v>FOTSO THOMAS</v>
      </c>
      <c r="C15" s="1">
        <f>VLOOKUP(A15,FONDSDECAISSE!A$5:C$52,3,0)</f>
        <v>390000</v>
      </c>
      <c r="D15" s="6">
        <v>3318</v>
      </c>
      <c r="E15" s="6"/>
      <c r="F15" s="6"/>
      <c r="G15" s="6"/>
      <c r="H15" s="6"/>
      <c r="I15" s="7">
        <f t="shared" si="0"/>
        <v>240000</v>
      </c>
      <c r="J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K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L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M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N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O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P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Q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R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S15" s="7">
        <f>TONT20000DEC2015!R15+TONT20000JANV!P15+TONT20000FEV!P15+TONT20000MARS!P15+TONT20000AVRIL!P15+TONT20000MAI!P15+TONT20000JUIN!P15+TONT20000JUIL!P15+TONT20000AOUT!P15+TONT20000SEPT!Q15+TONT20000OCT!P15+TONT20000NOV!Q15</f>
        <v>0</v>
      </c>
      <c r="T15" s="7">
        <f>TONT20000DEC2015!R15+TONT20000JANV!P15+TONT20000FEV!P15+TONT20000MARS!P15+TONT20000AVRIL!P15+TONT20000MAI!P15+TONT20000JUIN!P15+TONT20000JUIL!P15+TONT20000AOUT!P15+TONT20000SEPT!Q15+TONT20000OCT!P15+TONT20000NOV!Q15</f>
        <v>0</v>
      </c>
      <c r="U15" s="7"/>
    </row>
    <row r="16" spans="1:22" x14ac:dyDescent="0.25">
      <c r="A16" s="1" t="s">
        <v>21</v>
      </c>
      <c r="B16" s="1" t="str">
        <f>VLOOKUP(A16,LISTADHERENT!A$5:H$52,2,0)</f>
        <v>HENGUE PAUL OMER</v>
      </c>
      <c r="C16" s="1">
        <f>VLOOKUP(A16,FONDSDECAISSE!A$5:C$52,3,0)</f>
        <v>390000</v>
      </c>
      <c r="D16" s="6">
        <v>1083990</v>
      </c>
      <c r="E16" s="6"/>
      <c r="F16" s="6"/>
      <c r="G16" s="6"/>
      <c r="H16" s="6"/>
      <c r="I16" s="7">
        <f t="shared" si="0"/>
        <v>200000</v>
      </c>
      <c r="J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K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L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M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N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O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P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Q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R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S16" s="7">
        <f>TONT20000DEC2015!R16+TONT20000JANV!P16+TONT20000FEV!P16+TONT20000MARS!P16+TONT20000AVRIL!P16+TONT20000MAI!P16+TONT20000JUIN!P16+TONT20000JUIL!P16+TONT20000AOUT!P16+TONT20000SEPT!Q16+TONT20000OCT!P16+TONT20000NOV!Q16</f>
        <v>0</v>
      </c>
      <c r="T16" s="7">
        <f>TONT20000DEC2015!R16+TONT20000JANV!P16+TONT20000FEV!P16+TONT20000MARS!P16+TONT20000AVRIL!P16+TONT20000MAI!P16+TONT20000JUIN!P16+TONT20000JUIL!P16+TONT20000AOUT!P16+TONT20000SEPT!Q16+TONT20000OCT!P16+TONT20000NOV!Q16</f>
        <v>0</v>
      </c>
      <c r="U16" s="7"/>
    </row>
    <row r="17" spans="1:21" x14ac:dyDescent="0.25">
      <c r="A17" s="1" t="s">
        <v>22</v>
      </c>
      <c r="B17" s="1" t="str">
        <f>VLOOKUP(A17,LISTADHERENT!A$5:H$52,2,0)</f>
        <v>HODIEP JULES</v>
      </c>
      <c r="C17" s="1">
        <f>VLOOKUP(A17,FONDSDECAISSE!A$5:C$52,3,0)</f>
        <v>0</v>
      </c>
      <c r="D17" s="6">
        <v>0</v>
      </c>
      <c r="E17" s="6"/>
      <c r="F17" s="6"/>
      <c r="G17" s="6"/>
      <c r="H17" s="6"/>
      <c r="I17" s="7">
        <f t="shared" si="0"/>
        <v>240000</v>
      </c>
      <c r="J17" s="7">
        <f>TONT20000DEC2015!I17+TONT20000JANV!G17+TONT20000FEV!G17+TONT20000MARS!G17+TONT20000AVRIL!G17+TONT20000MAI!G17+TONT20000JUIN!G17+TONT20000JUIL!G17+TONT20000AOUT!G17+TONT20000SEPT!G17+TONT20000OCT!G17+TONT20000NOV!H17</f>
        <v>36000</v>
      </c>
      <c r="K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L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M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N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O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P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Q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R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S17" s="7">
        <f>TONT20000DEC2015!R17+TONT20000JANV!P17+TONT20000FEV!P17+TONT20000MARS!P17+TONT20000AVRIL!P17+TONT20000MAI!P17+TONT20000JUIN!P17+TONT20000JUIL!P17+TONT20000AOUT!P17+TONT20000SEPT!Q17+TONT20000OCT!P17+TONT20000NOV!Q17</f>
        <v>0</v>
      </c>
      <c r="T17" s="7">
        <f>TONT20000DEC2015!R17+TONT20000JANV!P17+TONT20000FEV!P17+TONT20000MARS!P17+TONT20000AVRIL!P17+TONT20000MAI!P17+TONT20000JUIN!P17+TONT20000JUIL!P17+TONT20000AOUT!P17+TONT20000SEPT!Q17+TONT20000OCT!P17+TONT20000NOV!Q17</f>
        <v>0</v>
      </c>
      <c r="U17" s="7"/>
    </row>
    <row r="18" spans="1:21" x14ac:dyDescent="0.25">
      <c r="A18" s="1" t="s">
        <v>23</v>
      </c>
      <c r="B18" s="1" t="str">
        <f>VLOOKUP(A18,LISTADHERENT!A$5:H$52,2,0)</f>
        <v>HOTCHO BENJAMIN</v>
      </c>
      <c r="C18" s="1">
        <f>VLOOKUP(A18,FONDSDECAISSE!A$5:C$52,3,0)</f>
        <v>390000</v>
      </c>
      <c r="D18" s="6">
        <v>8723</v>
      </c>
      <c r="E18" s="6"/>
      <c r="F18" s="6"/>
      <c r="G18" s="6"/>
      <c r="H18" s="6"/>
      <c r="I18" s="7">
        <f t="shared" si="0"/>
        <v>338000</v>
      </c>
      <c r="J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K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L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M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N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O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P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Q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R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S18" s="7">
        <f>TONT20000DEC2015!R18+TONT20000JANV!P18+TONT20000FEV!P18+TONT20000MARS!P18+TONT20000AVRIL!P18+TONT20000MAI!P18+TONT20000JUIN!P18+TONT20000JUIL!P18+TONT20000AOUT!P18+TONT20000SEPT!Q18+TONT20000OCT!P18+TONT20000NOV!Q18</f>
        <v>0</v>
      </c>
      <c r="T18" s="7">
        <f>TONT20000DEC2015!R18+TONT20000JANV!P18+TONT20000FEV!P18+TONT20000MARS!P18+TONT20000AVRIL!P18+TONT20000MAI!P18+TONT20000JUIN!P18+TONT20000JUIL!P18+TONT20000AOUT!P18+TONT20000SEPT!Q18+TONT20000OCT!P18+TONT20000NOV!Q18</f>
        <v>0</v>
      </c>
      <c r="U18" s="7"/>
    </row>
    <row r="19" spans="1:21" x14ac:dyDescent="0.25">
      <c r="A19" s="1" t="s">
        <v>24</v>
      </c>
      <c r="B19" s="1" t="str">
        <f>VLOOKUP(A19,LISTADHERENT!A$5:H$52,2,0)</f>
        <v>KEPHE DAVID</v>
      </c>
      <c r="C19" s="1">
        <f>VLOOKUP(A19,FONDSDECAISSE!A$5:C$52,3,0)</f>
        <v>0</v>
      </c>
      <c r="D19" s="6">
        <v>12795</v>
      </c>
      <c r="E19" s="6"/>
      <c r="F19" s="6"/>
      <c r="G19" s="6"/>
      <c r="H19" s="6"/>
      <c r="I19" s="7">
        <f t="shared" si="0"/>
        <v>240000</v>
      </c>
      <c r="J19" s="7">
        <f>TONT20000DEC2015!I19+TONT20000JANV!G19+TONT20000FEV!G19+TONT20000MARS!G19+TONT20000AVRIL!G19+TONT20000MAI!G19+TONT20000JUIN!G19+TONT20000JUIL!G19+TONT20000AOUT!G19+TONT20000SEPT!G19+TONT20000OCT!G19+TONT20000NOV!H19</f>
        <v>36000</v>
      </c>
      <c r="K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L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M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N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O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P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Q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R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S19" s="7">
        <f>TONT20000DEC2015!R19+TONT20000JANV!P19+TONT20000FEV!P19+TONT20000MARS!P19+TONT20000AVRIL!P19+TONT20000MAI!P19+TONT20000JUIN!P19+TONT20000JUIL!P19+TONT20000AOUT!P19+TONT20000SEPT!Q19+TONT20000OCT!P19+TONT20000NOV!Q19</f>
        <v>0</v>
      </c>
      <c r="T19" s="7">
        <f>TONT20000DEC2015!R19+TONT20000JANV!P19+TONT20000FEV!P19+TONT20000MARS!P19+TONT20000AVRIL!P19+TONT20000MAI!P19+TONT20000JUIN!P19+TONT20000JUIL!P19+TONT20000AOUT!P19+TONT20000SEPT!Q19+TONT20000OCT!P19+TONT20000NOV!Q19</f>
        <v>0</v>
      </c>
      <c r="U19" s="7"/>
    </row>
    <row r="20" spans="1:21" x14ac:dyDescent="0.25">
      <c r="A20" s="1" t="s">
        <v>25</v>
      </c>
      <c r="B20" s="1" t="str">
        <f>VLOOKUP(A20,LISTADHERENT!A$5:H$52,2,0)</f>
        <v>KEPSEU FRANCIS</v>
      </c>
      <c r="C20" s="1">
        <f>VLOOKUP(A20,FONDSDECAISSE!A$5:C$52,3,0)</f>
        <v>390000</v>
      </c>
      <c r="D20" s="6">
        <v>186997</v>
      </c>
      <c r="E20" s="6"/>
      <c r="F20" s="6"/>
      <c r="G20" s="6"/>
      <c r="H20" s="6"/>
      <c r="I20" s="7">
        <f t="shared" si="0"/>
        <v>756000</v>
      </c>
      <c r="J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K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L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M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N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O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P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Q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R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S20" s="7">
        <f>TONT20000DEC2015!R20+TONT20000JANV!P20+TONT20000FEV!P20+TONT20000MARS!P20+TONT20000AVRIL!P20+TONT20000MAI!P20+TONT20000JUIN!P20+TONT20000JUIL!P20+TONT20000AOUT!P20+TONT20000SEPT!Q20+TONT20000OCT!P20+TONT20000NOV!Q20</f>
        <v>0</v>
      </c>
      <c r="T20" s="7">
        <f>TONT20000DEC2015!R20+TONT20000JANV!P20+TONT20000FEV!P20+TONT20000MARS!P20+TONT20000AVRIL!P20+TONT20000MAI!P20+TONT20000JUIN!P20+TONT20000JUIL!P20+TONT20000AOUT!P20+TONT20000SEPT!Q20+TONT20000OCT!P20+TONT20000NOV!Q20</f>
        <v>0</v>
      </c>
      <c r="U20" s="7"/>
    </row>
    <row r="21" spans="1:21" x14ac:dyDescent="0.25">
      <c r="A21" s="1" t="s">
        <v>26</v>
      </c>
      <c r="B21" s="1" t="str">
        <f>VLOOKUP(A21,LISTADHERENT!A$5:H$52,2,0)</f>
        <v>KOUAMOU EMMANUEL</v>
      </c>
      <c r="C21" s="1">
        <f>VLOOKUP(A21,FONDSDECAISSE!A$5:C$52,3,0)</f>
        <v>390000</v>
      </c>
      <c r="D21" s="6">
        <v>2723</v>
      </c>
      <c r="E21" s="6"/>
      <c r="F21" s="6"/>
      <c r="G21" s="6"/>
      <c r="H21" s="6"/>
      <c r="I21" s="7">
        <f t="shared" si="0"/>
        <v>240000</v>
      </c>
      <c r="J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K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L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M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N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O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P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Q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R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S21" s="7">
        <f>TONT20000DEC2015!R21+TONT20000JANV!P21+TONT20000FEV!P21+TONT20000MARS!P21+TONT20000AVRIL!P21+TONT20000MAI!P21+TONT20000JUIN!P21+TONT20000JUIL!P21+TONT20000AOUT!P21+TONT20000SEPT!Q21+TONT20000OCT!P21+TONT20000NOV!Q21</f>
        <v>0</v>
      </c>
      <c r="T21" s="7">
        <f>TONT20000DEC2015!R21+TONT20000JANV!P21+TONT20000FEV!P21+TONT20000MARS!P21+TONT20000AVRIL!P21+TONT20000MAI!P21+TONT20000JUIN!P21+TONT20000JUIL!P21+TONT20000AOUT!P21+TONT20000SEPT!Q21+TONT20000OCT!P21+TONT20000NOV!Q21</f>
        <v>0</v>
      </c>
      <c r="U21" s="7"/>
    </row>
    <row r="22" spans="1:21" ht="12.75" customHeight="1" x14ac:dyDescent="0.25">
      <c r="A22" s="1" t="s">
        <v>27</v>
      </c>
      <c r="B22" s="1" t="str">
        <f>VLOOKUP(A22,LISTADHERENT!A$5:H$52,2,0)</f>
        <v>KOUAMOU MOISE</v>
      </c>
      <c r="C22" s="1">
        <f>VLOOKUP(A22,FONDSDECAISSE!A$5:C$52,3,0)</f>
        <v>315000</v>
      </c>
      <c r="D22" s="6">
        <v>2099</v>
      </c>
      <c r="E22" s="6"/>
      <c r="F22" s="6"/>
      <c r="G22" s="6"/>
      <c r="H22" s="6"/>
      <c r="I22" s="7">
        <f t="shared" si="0"/>
        <v>240000</v>
      </c>
      <c r="J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K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L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M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N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O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P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Q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R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S22" s="7">
        <f>TONT20000DEC2015!R22+TONT20000JANV!P22+TONT20000FEV!P22+TONT20000MARS!P22+TONT20000AVRIL!P22+TONT20000MAI!P22+TONT20000JUIN!P22+TONT20000JUIL!P22+TONT20000AOUT!P22+TONT20000SEPT!Q22+TONT20000OCT!P22+TONT20000NOV!Q22</f>
        <v>0</v>
      </c>
      <c r="T22" s="7">
        <f>TONT20000DEC2015!R22+TONT20000JANV!P22+TONT20000FEV!P22+TONT20000MARS!P22+TONT20000AVRIL!P22+TONT20000MAI!P22+TONT20000JUIN!P22+TONT20000JUIL!P22+TONT20000AOUT!P22+TONT20000SEPT!Q22+TONT20000OCT!P22+TONT20000NOV!Q22</f>
        <v>0</v>
      </c>
      <c r="U22" s="7"/>
    </row>
    <row r="23" spans="1:21" x14ac:dyDescent="0.25">
      <c r="A23" s="1" t="s">
        <v>28</v>
      </c>
      <c r="B23" s="1" t="str">
        <f>VLOOKUP(A23,LISTADHERENT!A$5:H$52,2,0)</f>
        <v>KOUAMOU VICTOR PEGUY</v>
      </c>
      <c r="C23" s="1">
        <f>VLOOKUP(A23,FONDSDECAISSE!A$5:C$52,3,0)</f>
        <v>390000</v>
      </c>
      <c r="D23" s="6">
        <v>36629</v>
      </c>
      <c r="E23" s="6"/>
      <c r="F23" s="6"/>
      <c r="G23" s="6"/>
      <c r="H23" s="6"/>
      <c r="I23" s="7">
        <f t="shared" si="0"/>
        <v>239000</v>
      </c>
      <c r="J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K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L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M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N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O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P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Q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R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S23" s="7">
        <f>TONT20000DEC2015!R23+TONT20000JANV!P23+TONT20000FEV!P23+TONT20000MARS!P23+TONT20000AVRIL!P23+TONT20000MAI!P23+TONT20000JUIN!P23+TONT20000JUIL!P23+TONT20000AOUT!P23+TONT20000SEPT!Q23+TONT20000OCT!P23+TONT20000NOV!Q23</f>
        <v>0</v>
      </c>
      <c r="T23" s="7">
        <f>TONT20000DEC2015!R23+TONT20000JANV!P23+TONT20000FEV!P23+TONT20000MARS!P23+TONT20000AVRIL!P23+TONT20000MAI!P23+TONT20000JUIN!P23+TONT20000JUIL!P23+TONT20000AOUT!P23+TONT20000SEPT!Q23+TONT20000OCT!P23+TONT20000NOV!Q23</f>
        <v>0</v>
      </c>
      <c r="U23" s="7"/>
    </row>
    <row r="24" spans="1:21" x14ac:dyDescent="0.25">
      <c r="A24" s="1" t="s">
        <v>29</v>
      </c>
      <c r="B24" s="1" t="str">
        <f>VLOOKUP(A24,LISTADHERENT!A$5:H$52,2,0)</f>
        <v>KOUATCHO MESSACK</v>
      </c>
      <c r="C24" s="1">
        <f>VLOOKUP(A24,FONDSDECAISSE!A$5:C$52,3,0)</f>
        <v>390000</v>
      </c>
      <c r="D24" s="6">
        <v>0</v>
      </c>
      <c r="E24" s="6"/>
      <c r="F24" s="6"/>
      <c r="G24" s="6"/>
      <c r="H24" s="6"/>
      <c r="I24" s="7">
        <f t="shared" si="0"/>
        <v>240000</v>
      </c>
      <c r="J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K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L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M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N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O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P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Q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R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S24" s="7">
        <f>TONT20000DEC2015!R24+TONT20000JANV!P24+TONT20000FEV!P24+TONT20000MARS!P24+TONT20000AVRIL!P24+TONT20000MAI!P24+TONT20000JUIN!P24+TONT20000JUIL!P24+TONT20000AOUT!P24+TONT20000SEPT!Q24+TONT20000OCT!P24+TONT20000NOV!Q24</f>
        <v>0</v>
      </c>
      <c r="T24" s="7">
        <f>TONT20000DEC2015!R24+TONT20000JANV!P24+TONT20000FEV!P24+TONT20000MARS!P24+TONT20000AVRIL!P24+TONT20000MAI!P24+TONT20000JUIN!P24+TONT20000JUIL!P24+TONT20000AOUT!P24+TONT20000SEPT!Q24+TONT20000OCT!P24+TONT20000NOV!Q24</f>
        <v>0</v>
      </c>
      <c r="U24" s="7"/>
    </row>
    <row r="25" spans="1:21" x14ac:dyDescent="0.25">
      <c r="A25" s="1" t="s">
        <v>30</v>
      </c>
      <c r="B25" s="1" t="str">
        <f>VLOOKUP(A25,LISTADHERENT!A$5:H$52,2,0)</f>
        <v>LOWE JEAN</v>
      </c>
      <c r="C25" s="1">
        <f>VLOOKUP(A25,FONDSDECAISSE!A$5:C$52,3,0)</f>
        <v>390000</v>
      </c>
      <c r="D25" s="6">
        <v>4331</v>
      </c>
      <c r="E25" s="6"/>
      <c r="F25" s="6"/>
      <c r="G25" s="6"/>
      <c r="H25" s="6"/>
      <c r="I25" s="7">
        <f t="shared" si="0"/>
        <v>240000</v>
      </c>
      <c r="J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K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L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M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N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O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P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Q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R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S25" s="7">
        <f>TONT20000DEC2015!R25+TONT20000JANV!P25+TONT20000FEV!P25+TONT20000MARS!P25+TONT20000AVRIL!P25+TONT20000MAI!P25+TONT20000JUIN!P25+TONT20000JUIL!P25+TONT20000AOUT!P25+TONT20000SEPT!Q25+TONT20000OCT!P25+TONT20000NOV!Q25</f>
        <v>0</v>
      </c>
      <c r="T25" s="7">
        <f>TONT20000DEC2015!R25+TONT20000JANV!P25+TONT20000FEV!P25+TONT20000MARS!P25+TONT20000AVRIL!P25+TONT20000MAI!P25+TONT20000JUIN!P25+TONT20000JUIL!P25+TONT20000AOUT!P25+TONT20000SEPT!Q25+TONT20000OCT!P25+TONT20000NOV!Q25</f>
        <v>0</v>
      </c>
      <c r="U25" s="7"/>
    </row>
    <row r="26" spans="1:21" x14ac:dyDescent="0.25">
      <c r="A26" s="1" t="s">
        <v>31</v>
      </c>
      <c r="B26" s="1" t="str">
        <f>VLOOKUP(A26,LISTADHERENT!A$5:H$52,2,0)</f>
        <v>NANKAM APPOLINAIRE</v>
      </c>
      <c r="C26" s="1">
        <f>VLOOKUP(A26,FONDSDECAISSE!A$5:C$52,3,0)</f>
        <v>390000</v>
      </c>
      <c r="D26" s="6">
        <v>4411</v>
      </c>
      <c r="E26" s="6"/>
      <c r="F26" s="6"/>
      <c r="G26" s="6"/>
      <c r="H26" s="6"/>
      <c r="I26" s="7">
        <f t="shared" si="0"/>
        <v>245000</v>
      </c>
      <c r="J26" s="7">
        <f>TONT20000DEC2015!I26+TONT20000JANV!G26+TONT20000FEV!G26+TONT20000MARS!G26+TONT20000AVRIL!G26+TONT20000MAI!G26+TONT20000JUIN!G26+TONT20000JUIL!G26+TONT20000AOUT!G26+TONT20000SEPT!G26+TONT20000OCT!G26+TONT20000NOV!H26</f>
        <v>41000</v>
      </c>
      <c r="K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L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M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N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O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P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Q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R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S26" s="7">
        <f>TONT20000DEC2015!R26+TONT20000JANV!P26+TONT20000FEV!P26+TONT20000MARS!P26+TONT20000AVRIL!P26+TONT20000MAI!P26+TONT20000JUIN!P26+TONT20000JUIL!P26+TONT20000AOUT!P26+TONT20000SEPT!Q26+TONT20000OCT!P26+TONT20000NOV!Q26</f>
        <v>0</v>
      </c>
      <c r="T26" s="7">
        <f>TONT20000DEC2015!R26+TONT20000JANV!P26+TONT20000FEV!P26+TONT20000MARS!P26+TONT20000AVRIL!P26+TONT20000MAI!P26+TONT20000JUIN!P26+TONT20000JUIL!P26+TONT20000AOUT!P26+TONT20000SEPT!Q26+TONT20000OCT!P26+TONT20000NOV!Q26</f>
        <v>0</v>
      </c>
      <c r="U26" s="7"/>
    </row>
    <row r="27" spans="1:21" x14ac:dyDescent="0.25">
      <c r="A27" s="1" t="s">
        <v>32</v>
      </c>
      <c r="B27" s="1" t="str">
        <f>VLOOKUP(A27,LISTADHERENT!A$5:H$52,2,0)</f>
        <v>NDJOMO ETIENNE</v>
      </c>
      <c r="C27" s="1">
        <f>VLOOKUP(A27,FONDSDECAISSE!A$5:C$52,3,0)</f>
        <v>390000</v>
      </c>
      <c r="D27" s="6">
        <v>2060</v>
      </c>
      <c r="E27" s="6"/>
      <c r="F27" s="6"/>
      <c r="G27" s="6"/>
      <c r="H27" s="6"/>
      <c r="I27" s="7">
        <f t="shared" si="0"/>
        <v>295000</v>
      </c>
      <c r="J27" s="7">
        <f>TONT20000DEC2015!I27+TONT20000JANV!G27+TONT20000FEV!G27+TONT20000MARS!G27+TONT20000AVRIL!G27+TONT20000MAI!G27+TONT20000JUIN!G27+TONT20000JUIL!G27+TONT20000AOUT!G27+TONT20000SEPT!G27+TONT20000OCT!G27+TONT20000NOV!H27</f>
        <v>91000</v>
      </c>
      <c r="K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L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M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N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O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P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Q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R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S27" s="7">
        <f>TONT20000DEC2015!R27+TONT20000JANV!P27+TONT20000FEV!P27+TONT20000MARS!P27+TONT20000AVRIL!P27+TONT20000MAI!P27+TONT20000JUIN!P27+TONT20000JUIL!P27+TONT20000AOUT!P27+TONT20000SEPT!Q27+TONT20000OCT!P27+TONT20000NOV!Q27</f>
        <v>0</v>
      </c>
      <c r="T27" s="7">
        <f>TONT20000DEC2015!R27+TONT20000JANV!P27+TONT20000FEV!P27+TONT20000MARS!P27+TONT20000AVRIL!P27+TONT20000MAI!P27+TONT20000JUIN!P27+TONT20000JUIL!P27+TONT20000AOUT!P27+TONT20000SEPT!Q27+TONT20000OCT!P27+TONT20000NOV!Q27</f>
        <v>0</v>
      </c>
      <c r="U27" s="7"/>
    </row>
    <row r="28" spans="1:21" x14ac:dyDescent="0.25">
      <c r="A28" s="1" t="s">
        <v>33</v>
      </c>
      <c r="B28" s="1" t="str">
        <f>VLOOKUP(A28,LISTADHERENT!A$5:H$52,2,0)</f>
        <v>NDOMBOU JEAN CLAUDE</v>
      </c>
      <c r="C28" s="1">
        <f>VLOOKUP(A28,FONDSDECAISSE!A$5:C$52,3,0)</f>
        <v>0</v>
      </c>
      <c r="D28" s="6">
        <v>0</v>
      </c>
      <c r="E28" s="6"/>
      <c r="F28" s="6"/>
      <c r="G28" s="6"/>
      <c r="H28" s="6"/>
      <c r="I28" s="7">
        <f t="shared" si="0"/>
        <v>0</v>
      </c>
      <c r="J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K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L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M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N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O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P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Q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R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S28" s="7">
        <f>TONT20000DEC2015!R28+TONT20000JANV!P28+TONT20000FEV!P28+TONT20000MARS!P28+TONT20000AVRIL!P28+TONT20000MAI!P28+TONT20000JUIN!P28+TONT20000JUIL!P28+TONT20000AOUT!P28+TONT20000SEPT!Q28+TONT20000OCT!P28+TONT20000NOV!Q28</f>
        <v>0</v>
      </c>
      <c r="T28" s="7">
        <f>TONT20000DEC2015!R28+TONT20000JANV!P28+TONT20000FEV!P28+TONT20000MARS!P28+TONT20000AVRIL!P28+TONT20000MAI!P28+TONT20000JUIN!P28+TONT20000JUIL!P28+TONT20000AOUT!P28+TONT20000SEPT!Q28+TONT20000OCT!P28+TONT20000NOV!Q28</f>
        <v>0</v>
      </c>
      <c r="U28" s="7"/>
    </row>
    <row r="29" spans="1:21" x14ac:dyDescent="0.25">
      <c r="A29" s="1" t="s">
        <v>34</v>
      </c>
      <c r="B29" s="1" t="str">
        <f>VLOOKUP(A29,LISTADHERENT!A$5:H$52,2,0)</f>
        <v>NGONDIEP CLAUDE</v>
      </c>
      <c r="C29" s="1">
        <f>VLOOKUP(A29,FONDSDECAISSE!A$5:C$52,3,0)</f>
        <v>390000</v>
      </c>
      <c r="D29" s="6">
        <v>179574</v>
      </c>
      <c r="E29" s="6"/>
      <c r="F29" s="6"/>
      <c r="G29" s="6"/>
      <c r="H29" s="6"/>
      <c r="I29" s="7">
        <f t="shared" si="0"/>
        <v>240000</v>
      </c>
      <c r="J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K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L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M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N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O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P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Q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R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S29" s="7">
        <f>TONT20000DEC2015!R29+TONT20000JANV!P29+TONT20000FEV!P29+TONT20000MARS!P29+TONT20000AVRIL!P29+TONT20000MAI!P29+TONT20000JUIN!P29+TONT20000JUIL!P29+TONT20000AOUT!P29+TONT20000SEPT!Q29+TONT20000OCT!P29+TONT20000NOV!Q29</f>
        <v>0</v>
      </c>
      <c r="T29" s="7">
        <f>TONT20000DEC2015!R29+TONT20000JANV!P29+TONT20000FEV!P29+TONT20000MARS!P29+TONT20000AVRIL!P29+TONT20000MAI!P29+TONT20000JUIN!P29+TONT20000JUIL!P29+TONT20000AOUT!P29+TONT20000SEPT!Q29+TONT20000OCT!P29+TONT20000NOV!Q29</f>
        <v>0</v>
      </c>
      <c r="U29" s="7"/>
    </row>
    <row r="30" spans="1:21" x14ac:dyDescent="0.25">
      <c r="A30" s="1" t="s">
        <v>35</v>
      </c>
      <c r="B30" s="1" t="str">
        <f>VLOOKUP(A30,LISTADHERENT!A$5:H$52,2,0)</f>
        <v>NGONGANG JEAN THEODORE</v>
      </c>
      <c r="C30" s="1">
        <f>VLOOKUP(A30,FONDSDECAISSE!A$5:C$52,3,0)</f>
        <v>0</v>
      </c>
      <c r="D30" s="6">
        <v>0</v>
      </c>
      <c r="E30" s="6"/>
      <c r="F30" s="6"/>
      <c r="G30" s="6"/>
      <c r="H30" s="6"/>
      <c r="I30" s="7">
        <f t="shared" si="0"/>
        <v>240000</v>
      </c>
      <c r="J30" s="7">
        <f>TONT20000DEC2015!I30+TONT20000JANV!G30+TONT20000FEV!G30+TONT20000MARS!G30+TONT20000AVRIL!G30+TONT20000MAI!G30+TONT20000JUIN!G30+TONT20000JUIL!G30+TONT20000AOUT!G30+TONT20000SEPT!G30+TONT20000OCT!G30+TONT20000NOV!H30</f>
        <v>36000</v>
      </c>
      <c r="K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L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M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N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O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P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Q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R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S30" s="7">
        <f>TONT20000DEC2015!R30+TONT20000JANV!P30+TONT20000FEV!P30+TONT20000MARS!P30+TONT20000AVRIL!P30+TONT20000MAI!P30+TONT20000JUIN!P30+TONT20000JUIL!P30+TONT20000AOUT!P30+TONT20000SEPT!Q30+TONT20000OCT!P30+TONT20000NOV!Q30</f>
        <v>0</v>
      </c>
      <c r="T30" s="7">
        <f>TONT20000DEC2015!R30+TONT20000JANV!P30+TONT20000FEV!P30+TONT20000MARS!P30+TONT20000AVRIL!P30+TONT20000MAI!P30+TONT20000JUIN!P30+TONT20000JUIL!P30+TONT20000AOUT!P30+TONT20000SEPT!Q30+TONT20000OCT!P30+TONT20000NOV!Q30</f>
        <v>0</v>
      </c>
      <c r="U30" s="7"/>
    </row>
    <row r="31" spans="1:21" x14ac:dyDescent="0.25">
      <c r="A31" s="1" t="s">
        <v>36</v>
      </c>
      <c r="B31" s="1" t="str">
        <f>VLOOKUP(A31,LISTADHERENT!A$5:H$52,2,0)</f>
        <v>NGUIEMEGNI MATHIEU BLAISE</v>
      </c>
      <c r="C31" s="1">
        <f>VLOOKUP(A31,FONDSDECAISSE!A$5:C$52,3,0)</f>
        <v>14889</v>
      </c>
      <c r="D31" s="6">
        <v>0</v>
      </c>
      <c r="E31" s="6"/>
      <c r="F31" s="6"/>
      <c r="G31" s="6"/>
      <c r="H31" s="6"/>
      <c r="I31" s="7">
        <f t="shared" si="0"/>
        <v>862000</v>
      </c>
      <c r="J31" s="7">
        <f>TONT20000DEC2015!I31+TONT20000JANV!G31+TONT20000FEV!G31+TONT20000MARS!G31+TONT20000AVRIL!G31+TONT20000MAI!G31+TONT20000JUIN!G31+TONT20000JUIL!G31+TONT20000AOUT!G31+TONT20000SEPT!G31+TONT20000OCT!G31+TONT20000NOV!H31</f>
        <v>557945</v>
      </c>
      <c r="K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L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M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N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O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P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Q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R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S31" s="7">
        <f>TONT20000DEC2015!R31+TONT20000JANV!P31+TONT20000FEV!P31+TONT20000MARS!P31+TONT20000AVRIL!P31+TONT20000MAI!P31+TONT20000JUIN!P31+TONT20000JUIL!P31+TONT20000AOUT!P31+TONT20000SEPT!Q31+TONT20000OCT!P31+TONT20000NOV!Q31</f>
        <v>50055</v>
      </c>
      <c r="T31" s="7">
        <f>TONT20000DEC2015!R31+TONT20000JANV!P31+TONT20000FEV!P31+TONT20000MARS!P31+TONT20000AVRIL!P31+TONT20000MAI!P31+TONT20000JUIN!P31+TONT20000JUIL!P31+TONT20000AOUT!P31+TONT20000SEPT!Q31+TONT20000OCT!P31+TONT20000NOV!Q31</f>
        <v>50055</v>
      </c>
      <c r="U31" s="7"/>
    </row>
    <row r="32" spans="1:21" x14ac:dyDescent="0.25">
      <c r="A32" s="1" t="s">
        <v>37</v>
      </c>
      <c r="B32" s="1" t="str">
        <f>VLOOKUP(A32,LISTADHERENT!A$5:H$52,2,0)</f>
        <v>NJEPDJIO MBOUKAM DELUXE</v>
      </c>
      <c r="C32" s="1">
        <f>VLOOKUP(A32,FONDSDECAISSE!A$5:C$52,3,0)</f>
        <v>390000</v>
      </c>
      <c r="D32" s="6">
        <v>1734</v>
      </c>
      <c r="E32" s="6"/>
      <c r="F32" s="6"/>
      <c r="G32" s="6"/>
      <c r="H32" s="6"/>
      <c r="I32" s="7">
        <f t="shared" si="0"/>
        <v>257000</v>
      </c>
      <c r="J32" s="7">
        <f>TONT20000DEC2015!I32+TONT20000JANV!G32+TONT20000FEV!G32+TONT20000MARS!G32+TONT20000AVRIL!G32+TONT20000MAI!G32+TONT20000JUIN!G32+TONT20000JUIL!G32+TONT20000AOUT!G32+TONT20000SEPT!G32+TONT20000OCT!G32+TONT20000NOV!H32</f>
        <v>53000</v>
      </c>
      <c r="K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L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M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N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O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P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Q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R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S32" s="7">
        <f>TONT20000DEC2015!R32+TONT20000JANV!P32+TONT20000FEV!P32+TONT20000MARS!P32+TONT20000AVRIL!P32+TONT20000MAI!P32+TONT20000JUIN!P32+TONT20000JUIL!P32+TONT20000AOUT!P32+TONT20000SEPT!Q32+TONT20000OCT!P32+TONT20000NOV!Q32</f>
        <v>0</v>
      </c>
      <c r="T32" s="7">
        <f>TONT20000DEC2015!R32+TONT20000JANV!P32+TONT20000FEV!P32+TONT20000MARS!P32+TONT20000AVRIL!P32+TONT20000MAI!P32+TONT20000JUIN!P32+TONT20000JUIL!P32+TONT20000AOUT!P32+TONT20000SEPT!Q32+TONT20000OCT!P32+TONT20000NOV!Q32</f>
        <v>0</v>
      </c>
      <c r="U32" s="7"/>
    </row>
    <row r="33" spans="1:21" x14ac:dyDescent="0.25">
      <c r="A33" s="1" t="s">
        <v>38</v>
      </c>
      <c r="B33" s="1" t="str">
        <f>VLOOKUP(A33,LISTADHERENT!A$5:H$52,2,0)</f>
        <v>NKAMGANG JUSTIN DEJOLIE</v>
      </c>
      <c r="C33" s="1">
        <f>VLOOKUP(A33,FONDSDECAISSE!A$5:C$52,3,0)</f>
        <v>0</v>
      </c>
      <c r="D33" s="6">
        <v>0</v>
      </c>
      <c r="E33" s="6"/>
      <c r="F33" s="6"/>
      <c r="G33" s="6"/>
      <c r="H33" s="6"/>
      <c r="I33" s="7">
        <f t="shared" si="0"/>
        <v>278000</v>
      </c>
      <c r="J33" s="7">
        <f>TONT20000DEC2015!I33+TONT20000JANV!G33+TONT20000FEV!G33+TONT20000MARS!G33+TONT20000AVRIL!G33+TONT20000MAI!G33+TONT20000JUIN!G33+TONT20000JUIL!G33+TONT20000AOUT!G33+TONT20000SEPT!G33+TONT20000OCT!G33+TONT20000NOV!H33</f>
        <v>74000</v>
      </c>
      <c r="K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L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M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N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O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P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Q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R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S33" s="7">
        <f>TONT20000DEC2015!R33+TONT20000JANV!P33+TONT20000FEV!P33+TONT20000MARS!P33+TONT20000AVRIL!P33+TONT20000MAI!P33+TONT20000JUIN!P33+TONT20000JUIL!P33+TONT20000AOUT!P33+TONT20000SEPT!Q33+TONT20000OCT!P33+TONT20000NOV!Q33</f>
        <v>0</v>
      </c>
      <c r="T33" s="7">
        <f>TONT20000DEC2015!R33+TONT20000JANV!P33+TONT20000FEV!P33+TONT20000MARS!P33+TONT20000AVRIL!P33+TONT20000MAI!P33+TONT20000JUIN!P33+TONT20000JUIL!P33+TONT20000AOUT!P33+TONT20000SEPT!Q33+TONT20000OCT!P33+TONT20000NOV!Q33</f>
        <v>0</v>
      </c>
      <c r="U33" s="7"/>
    </row>
    <row r="34" spans="1:21" x14ac:dyDescent="0.25">
      <c r="A34" s="1" t="s">
        <v>39</v>
      </c>
      <c r="B34" s="1" t="str">
        <f>VLOOKUP(A34,LISTADHERENT!A$5:H$52,2,0)</f>
        <v>NKEPSEU DIEUDONNE</v>
      </c>
      <c r="C34" s="1">
        <f>VLOOKUP(A34,FONDSDECAISSE!A$5:C$52,3,0)</f>
        <v>390000</v>
      </c>
      <c r="D34" s="6">
        <v>8739</v>
      </c>
      <c r="E34" s="6"/>
      <c r="F34" s="6"/>
      <c r="G34" s="6"/>
      <c r="H34" s="6"/>
      <c r="I34" s="7">
        <f t="shared" si="0"/>
        <v>345000</v>
      </c>
      <c r="J34" s="7">
        <f>TONT20000DEC2015!I34+TONT20000JANV!G34+TONT20000FEV!G34+TONT20000MARS!G34+TONT20000AVRIL!G34+TONT20000MAI!G34+TONT20000JUIN!G34+TONT20000JUIL!G34+TONT20000AOUT!G34+TONT20000SEPT!G34+TONT20000OCT!G34+TONT20000NOV!H34</f>
        <v>91000</v>
      </c>
      <c r="K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L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M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N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O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P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Q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R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S34" s="7">
        <f>TONT20000DEC2015!R34+TONT20000JANV!P34+TONT20000FEV!P34+TONT20000MARS!P34+TONT20000AVRIL!P34+TONT20000MAI!P34+TONT20000JUIN!P34+TONT20000JUIL!P34+TONT20000AOUT!P34+TONT20000SEPT!Q34+TONT20000OCT!P34+TONT20000NOV!Q34</f>
        <v>0</v>
      </c>
      <c r="T34" s="7">
        <f>TONT20000DEC2015!R34+TONT20000JANV!P34+TONT20000FEV!P34+TONT20000MARS!P34+TONT20000AVRIL!P34+TONT20000MAI!P34+TONT20000JUIN!P34+TONT20000JUIL!P34+TONT20000AOUT!P34+TONT20000SEPT!Q34+TONT20000OCT!P34+TONT20000NOV!Q34</f>
        <v>0</v>
      </c>
      <c r="U34" s="7"/>
    </row>
    <row r="35" spans="1:21" x14ac:dyDescent="0.25">
      <c r="A35" s="1" t="s">
        <v>40</v>
      </c>
      <c r="B35" s="1" t="str">
        <f>VLOOKUP(A35,LISTADHERENT!A$5:H$52,2,0)</f>
        <v>NKEPSEU HENANG RENE</v>
      </c>
      <c r="C35" s="1">
        <f>VLOOKUP(A35,FONDSDECAISSE!A$5:C$52,3,0)</f>
        <v>390000</v>
      </c>
      <c r="D35" s="6">
        <v>7983</v>
      </c>
      <c r="E35" s="6"/>
      <c r="F35" s="6"/>
      <c r="G35" s="6"/>
      <c r="H35" s="6"/>
      <c r="I35" s="7">
        <f t="shared" si="0"/>
        <v>180000</v>
      </c>
      <c r="J35" s="7">
        <f>TONT20000DEC2015!I35+TONT20000JANV!G35+TONT20000FEV!G35+TONT20000MARS!G35+TONT20000AVRIL!G35+TONT20000MAI!G35+TONT20000JUIN!G35+TONT20000JUIL!G35+TONT20000AOUT!G35+TONT20000SEPT!G35+TONT20000OCT!G35+TONT20000NOV!H35</f>
        <v>27000</v>
      </c>
      <c r="K35" s="7">
        <f>TONT20000DEC2015!J35+TONT20000JANV!H35+TONT20000FEV!H35+TONT20000MARS!H35+TONT20000AVRIL!H35+TONT20000MAI!H35+TONT20000JUIN!H35+TONT20000JUIL!H35+TONT20000AOUT!H35+TONT20000SEPT!H35+TONT20000OCT!H35+TONT20000NOV!I35</f>
        <v>4500</v>
      </c>
      <c r="L35" s="7">
        <f>TONT20000DEC2015!K35+TONT20000JANV!I35+TONT20000FEV!I35+TONT20000MARS!I35+TONT20000AVRIL!I35+TONT20000MAI!I35+TONT20000JUIN!I35+TONT20000JUIL!I35+TONT20000AOUT!I35+TONT20000SEPT!I35+TONT20000OCT!I35+TONT20000NOV!J35</f>
        <v>9000</v>
      </c>
      <c r="M35" s="7">
        <f>TONT20000DEC2015!L35+TONT20000JANV!J35+TONT20000FEV!J35+TONT20000MARS!J35+TONT20000AVRIL!J35+TONT20000MAI!J35+TONT20000JUIN!J35+TONT20000JUIL!J35+TONT20000AOUT!J35+TONT20000SEPT!J35+TONT20000OCT!J35+TONT20000NOV!K35</f>
        <v>22500</v>
      </c>
      <c r="N35" s="7">
        <f>TONT20000DEC2015!M35+TONT20000JANV!K35+TONT20000FEV!K35+TONT20000MARS!K35+TONT20000AVRIL!K35+TONT20000MAI!K35+TONT20000JUIN!K35+TONT20000JUIL!K35+TONT20000AOUT!K35+TONT20000SEPT!K35+TONT20000OCT!K35+TONT20000NOV!L35</f>
        <v>0</v>
      </c>
      <c r="O35" s="7">
        <f>TONT20000DEC2015!N35+TONT20000JANV!L35+TONT20000FEV!L35+TONT20000MARS!L35+TONT20000AVRIL!L35+TONT20000MAI!L35+TONT20000JUIN!L35+TONT20000JUIL!L35+TONT20000AOUT!L35+TONT20000SEPT!L35+TONT20000OCT!L35+TONT20000NOV!M35</f>
        <v>117000</v>
      </c>
      <c r="P35" s="7">
        <f>TONT20000DEC2015!O35+TONT20000JANV!M35+TONT20000FEV!M35+TONT20000MARS!M35+TONT20000AVRIL!M35+TONT20000MAI!M35+TONT20000JUIN!M35+TONT20000JUIL!M35+TONT20000AOUT!M35+TONT20000SEPT!M35+TONT20000OCT!M35+TONT20000NOV!N35</f>
        <v>0</v>
      </c>
      <c r="Q35" s="7">
        <f>TONT20000DEC2015!P35+TONT20000JANV!N35+TONT20000FEV!N35+TONT20000MARS!N35+TONT20000AVRIL!N35+TONT20000MAI!N35+TONT20000JUIN!N35+TONT20000JUIL!N35+TONT20000AOUT!N35+TONT20000SEPT!N35+TONT20000OCT!N35+TONT20000NOV!O35</f>
        <v>0</v>
      </c>
      <c r="R35" s="7">
        <f>TONT20000DEC2015!Q35+TONT20000JANV!O35+TONT20000FEV!O35+TONT20000MARS!O35+TONT20000AVRIL!O35+TONT20000MAI!O35+TONT20000JUIN!O35+TONT20000JUIL!O35+TONT20000AOUT!O35+TONT20000SEPT!O35+TONT20000OCT!O35+TONT20000NOV!P35</f>
        <v>0</v>
      </c>
      <c r="S35" s="7">
        <f>TONT20000DEC2015!R35+TONT20000JANV!P35+TONT20000FEV!P35+TONT20000MARS!P35+TONT20000AVRIL!P35+TONT20000MAI!P35+TONT20000JUIN!P35+TONT20000JUIL!P35+TONT20000AOUT!P35+TONT20000SEPT!Q35+TONT20000OCT!P35+TONT20000NOV!Q35</f>
        <v>0</v>
      </c>
      <c r="T35" s="7">
        <f>TONT20000DEC2015!R35+TONT20000JANV!P35+TONT20000FEV!P35+TONT20000MARS!P35+TONT20000AVRIL!P35+TONT20000MAI!P35+TONT20000JUIN!P35+TONT20000JUIL!P35+TONT20000AOUT!P35+TONT20000SEPT!Q35+TONT20000OCT!P35+TONT20000NOV!Q35</f>
        <v>0</v>
      </c>
      <c r="U35" s="7"/>
    </row>
    <row r="36" spans="1:21" x14ac:dyDescent="0.25">
      <c r="A36" s="1" t="s">
        <v>41</v>
      </c>
      <c r="B36" s="1" t="str">
        <f>VLOOKUP(A36,LISTADHERENT!A$5:H$52,2,0)</f>
        <v>NTEPDIE TUEMAC MZ</v>
      </c>
      <c r="C36" s="1">
        <f>VLOOKUP(A36,FONDSDECAISSE!A$5:C$52,3,0)</f>
        <v>0</v>
      </c>
      <c r="D36" s="6">
        <v>0</v>
      </c>
      <c r="E36" s="6"/>
      <c r="F36" s="6"/>
      <c r="G36" s="6"/>
      <c r="H36" s="6"/>
      <c r="I36" s="7">
        <f t="shared" si="0"/>
        <v>100000</v>
      </c>
      <c r="J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K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L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M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N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O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P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Q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R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S36" s="7">
        <f>TONT20000DEC2015!R36+TONT20000JANV!P36+TONT20000FEV!P36+TONT20000MARS!P36+TONT20000AVRIL!P36+TONT20000MAI!P36+TONT20000JUIN!P36+TONT20000JUIL!P36+TONT20000AOUT!P36+TONT20000SEPT!Q36+TONT20000OCT!P36+TONT20000NOV!Q36</f>
        <v>0</v>
      </c>
      <c r="T36" s="7">
        <f>TONT20000DEC2015!R36+TONT20000JANV!P36+TONT20000FEV!P36+TONT20000MARS!P36+TONT20000AVRIL!P36+TONT20000MAI!P36+TONT20000JUIN!P36+TONT20000JUIL!P36+TONT20000AOUT!P36+TONT20000SEPT!Q36+TONT20000OCT!P36+TONT20000NOV!Q36</f>
        <v>0</v>
      </c>
      <c r="U36" s="7"/>
    </row>
    <row r="37" spans="1:21" x14ac:dyDescent="0.25">
      <c r="A37" s="1" t="s">
        <v>42</v>
      </c>
      <c r="B37" s="1" t="str">
        <f>VLOOKUP(A37,LISTADHERENT!A$5:H$52,2,0)</f>
        <v>NTOMBOU ADOLPHE</v>
      </c>
      <c r="C37" s="1">
        <f>VLOOKUP(A37,FONDSDECAISSE!A$5:C$52,3,0)</f>
        <v>0</v>
      </c>
      <c r="D37" s="6">
        <v>0</v>
      </c>
      <c r="E37" s="6"/>
      <c r="F37" s="6"/>
      <c r="G37" s="6"/>
      <c r="H37" s="6"/>
      <c r="I37" s="7">
        <f t="shared" si="0"/>
        <v>180000</v>
      </c>
      <c r="J37" s="7">
        <f>TONT20000DEC2015!I37+TONT20000JANV!G37+TONT20000FEV!G37+TONT20000MARS!G37+TONT20000AVRIL!G37+TONT20000MAI!G37+TONT20000JUIN!G37+TONT20000JUIL!G37+TONT20000AOUT!G37+TONT20000SEPT!G37+TONT20000OCT!G37+TONT20000NOV!H37</f>
        <v>27000</v>
      </c>
      <c r="K37" s="7">
        <f>TONT20000DEC2015!J37+TONT20000JANV!H37+TONT20000FEV!H37+TONT20000MARS!H37+TONT20000AVRIL!H37+TONT20000MAI!H37+TONT20000JUIN!H37+TONT20000JUIL!H37+TONT20000AOUT!H37+TONT20000SEPT!H37+TONT20000OCT!H37+TONT20000NOV!I37</f>
        <v>4500</v>
      </c>
      <c r="L37" s="7">
        <f>TONT20000DEC2015!K37+TONT20000JANV!I37+TONT20000FEV!I37+TONT20000MARS!I37+TONT20000AVRIL!I37+TONT20000MAI!I37+TONT20000JUIN!I37+TONT20000JUIL!I37+TONT20000AOUT!I37+TONT20000SEPT!I37+TONT20000OCT!I37+TONT20000NOV!J37</f>
        <v>9000</v>
      </c>
      <c r="M37" s="7">
        <f>TONT20000DEC2015!L37+TONT20000JANV!J37+TONT20000FEV!J37+TONT20000MARS!J37+TONT20000AVRIL!J37+TONT20000MAI!J37+TONT20000JUIN!J37+TONT20000JUIL!J37+TONT20000AOUT!J37+TONT20000SEPT!J37+TONT20000OCT!J37+TONT20000NOV!K37</f>
        <v>22500</v>
      </c>
      <c r="N37" s="7">
        <f>TONT20000DEC2015!M37+TONT20000JANV!K37+TONT20000FEV!K37+TONT20000MARS!K37+TONT20000AVRIL!K37+TONT20000MAI!K37+TONT20000JUIN!K37+TONT20000JUIL!K37+TONT20000AOUT!K37+TONT20000SEPT!K37+TONT20000OCT!K37+TONT20000NOV!L37</f>
        <v>0</v>
      </c>
      <c r="O37" s="7">
        <f>TONT20000DEC2015!N37+TONT20000JANV!L37+TONT20000FEV!L37+TONT20000MARS!L37+TONT20000AVRIL!L37+TONT20000MAI!L37+TONT20000JUIN!L37+TONT20000JUIL!L37+TONT20000AOUT!L37+TONT20000SEPT!L37+TONT20000OCT!L37+TONT20000NOV!M37</f>
        <v>117000</v>
      </c>
      <c r="P37" s="7">
        <f>TONT20000DEC2015!O37+TONT20000JANV!M37+TONT20000FEV!M37+TONT20000MARS!M37+TONT20000AVRIL!M37+TONT20000MAI!M37+TONT20000JUIN!M37+TONT20000JUIL!M37+TONT20000AOUT!M37+TONT20000SEPT!M37+TONT20000OCT!M37+TONT20000NOV!N37</f>
        <v>0</v>
      </c>
      <c r="Q37" s="7">
        <f>TONT20000DEC2015!P37+TONT20000JANV!N37+TONT20000FEV!N37+TONT20000MARS!N37+TONT20000AVRIL!N37+TONT20000MAI!N37+TONT20000JUIN!N37+TONT20000JUIL!N37+TONT20000AOUT!N37+TONT20000SEPT!N37+TONT20000OCT!N37+TONT20000NOV!O37</f>
        <v>0</v>
      </c>
      <c r="R37" s="7">
        <f>TONT20000DEC2015!Q37+TONT20000JANV!O37+TONT20000FEV!O37+TONT20000MARS!O37+TONT20000AVRIL!O37+TONT20000MAI!O37+TONT20000JUIN!O37+TONT20000JUIL!O37+TONT20000AOUT!O37+TONT20000SEPT!O37+TONT20000OCT!O37+TONT20000NOV!P37</f>
        <v>0</v>
      </c>
      <c r="S37" s="7">
        <f>TONT20000DEC2015!R37+TONT20000JANV!P37+TONT20000FEV!P37+TONT20000MARS!P37+TONT20000AVRIL!P37+TONT20000MAI!P37+TONT20000JUIN!P37+TONT20000JUIL!P37+TONT20000AOUT!P37+TONT20000SEPT!Q37+TONT20000OCT!P37+TONT20000NOV!Q37</f>
        <v>0</v>
      </c>
      <c r="T37" s="7">
        <f>TONT20000DEC2015!R37+TONT20000JANV!P37+TONT20000FEV!P37+TONT20000MARS!P37+TONT20000AVRIL!P37+TONT20000MAI!P37+TONT20000JUIN!P37+TONT20000JUIL!P37+TONT20000AOUT!P37+TONT20000SEPT!Q37+TONT20000OCT!P37+TONT20000NOV!Q37</f>
        <v>0</v>
      </c>
      <c r="U37" s="7"/>
    </row>
    <row r="38" spans="1:21" x14ac:dyDescent="0.25">
      <c r="A38" s="1" t="s">
        <v>43</v>
      </c>
      <c r="B38" s="1" t="str">
        <f>VLOOKUP(A38,LISTADHERENT!A$5:H$52,2,0)</f>
        <v>PATEGO NJOSSU GUSTAVE</v>
      </c>
      <c r="C38" s="1">
        <f>VLOOKUP(A38,FONDSDECAISSE!A$5:C$52,3,0)</f>
        <v>390000</v>
      </c>
      <c r="D38" s="6">
        <v>140</v>
      </c>
      <c r="E38" s="6"/>
      <c r="F38" s="6"/>
      <c r="G38" s="6"/>
      <c r="H38" s="6"/>
      <c r="I38" s="7">
        <f t="shared" si="0"/>
        <v>240000</v>
      </c>
      <c r="J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K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L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M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N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O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P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Q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R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S38" s="7">
        <f>TONT20000DEC2015!R38+TONT20000JANV!P38+TONT20000FEV!P38+TONT20000MARS!P38+TONT20000AVRIL!P38+TONT20000MAI!P38+TONT20000JUIN!P38+TONT20000JUIL!P38+TONT20000AOUT!P38+TONT20000SEPT!Q38+TONT20000OCT!P38+TONT20000NOV!Q38</f>
        <v>0</v>
      </c>
      <c r="T38" s="7">
        <f>TONT20000DEC2015!R38+TONT20000JANV!P38+TONT20000FEV!P38+TONT20000MARS!P38+TONT20000AVRIL!P38+TONT20000MAI!P38+TONT20000JUIN!P38+TONT20000JUIL!P38+TONT20000AOUT!P38+TONT20000SEPT!Q38+TONT20000OCT!P38+TONT20000NOV!Q38</f>
        <v>0</v>
      </c>
      <c r="U38" s="7"/>
    </row>
    <row r="39" spans="1:21" x14ac:dyDescent="0.25">
      <c r="A39" s="1" t="s">
        <v>44</v>
      </c>
      <c r="B39" s="1" t="str">
        <f>VLOOKUP(A39,LISTADHERENT!A$5:H$52,2,0)</f>
        <v>SEUNOU RICHELOT</v>
      </c>
      <c r="C39" s="1">
        <f>VLOOKUP(A39,FONDSDECAISSE!A$5:C$52,3,0)</f>
        <v>390000</v>
      </c>
      <c r="D39" s="6">
        <v>2632</v>
      </c>
      <c r="E39" s="6"/>
      <c r="F39" s="6"/>
      <c r="G39" s="6"/>
      <c r="H39" s="6"/>
      <c r="I39" s="7">
        <f t="shared" si="0"/>
        <v>240000</v>
      </c>
      <c r="J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K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L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M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N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O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P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Q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R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S39" s="7">
        <f>TONT20000DEC2015!R39+TONT20000JANV!P39+TONT20000FEV!P39+TONT20000MARS!P39+TONT20000AVRIL!P39+TONT20000MAI!P39+TONT20000JUIN!P39+TONT20000JUIL!P39+TONT20000AOUT!P39+TONT20000SEPT!Q39+TONT20000OCT!P39+TONT20000NOV!Q39</f>
        <v>0</v>
      </c>
      <c r="T39" s="7">
        <f>TONT20000DEC2015!R39+TONT20000JANV!P39+TONT20000FEV!P39+TONT20000MARS!P39+TONT20000AVRIL!P39+TONT20000MAI!P39+TONT20000JUIN!P39+TONT20000JUIL!P39+TONT20000AOUT!P39+TONT20000SEPT!Q39+TONT20000OCT!P39+TONT20000NOV!Q39</f>
        <v>0</v>
      </c>
      <c r="U39" s="7"/>
    </row>
    <row r="40" spans="1:21" x14ac:dyDescent="0.25">
      <c r="A40" s="1" t="s">
        <v>45</v>
      </c>
      <c r="B40" s="1" t="str">
        <f>VLOOKUP(A40,LISTADHERENT!A$5:H$52,2,0)</f>
        <v>SIME ABEL</v>
      </c>
      <c r="C40" s="1">
        <f>VLOOKUP(A40,FONDSDECAISSE!A$5:C$52,3,0)</f>
        <v>0</v>
      </c>
      <c r="D40" s="6">
        <v>0</v>
      </c>
      <c r="E40" s="6"/>
      <c r="F40" s="6"/>
      <c r="G40" s="6"/>
      <c r="H40" s="6"/>
      <c r="I40" s="7">
        <f t="shared" si="0"/>
        <v>240000</v>
      </c>
      <c r="J40" s="7">
        <f>TONT20000DEC2015!I40+TONT20000JANV!G40+TONT20000FEV!G40+TONT20000MARS!G40+TONT20000AVRIL!G40+TONT20000MAI!G40+TONT20000JUIN!G40+TONT20000JUIL!G40+TONT20000AOUT!G40+TONT20000SEPT!G40+TONT20000OCT!G40+TONT20000NOV!H40</f>
        <v>36000</v>
      </c>
      <c r="K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L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M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N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O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P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Q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R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S40" s="7">
        <f>TONT20000DEC2015!R40+TONT20000JANV!P40+TONT20000FEV!P40+TONT20000MARS!P40+TONT20000AVRIL!P40+TONT20000MAI!P40+TONT20000JUIN!P40+TONT20000JUIL!P40+TONT20000AOUT!P40+TONT20000SEPT!Q40+TONT20000OCT!P40+TONT20000NOV!Q40</f>
        <v>0</v>
      </c>
      <c r="T40" s="7">
        <f>TONT20000DEC2015!R40+TONT20000JANV!P40+TONT20000FEV!P40+TONT20000MARS!P40+TONT20000AVRIL!P40+TONT20000MAI!P40+TONT20000JUIN!P40+TONT20000JUIL!P40+TONT20000AOUT!P40+TONT20000SEPT!Q40+TONT20000OCT!P40+TONT20000NOV!Q40</f>
        <v>0</v>
      </c>
      <c r="U40" s="7"/>
    </row>
    <row r="41" spans="1:21" x14ac:dyDescent="0.25">
      <c r="A41" s="1" t="s">
        <v>46</v>
      </c>
      <c r="B41" s="1" t="str">
        <f>VLOOKUP(A41,LISTADHERENT!A$5:H$52,2,0)</f>
        <v>SIME FONGANG ERIC</v>
      </c>
      <c r="C41" s="1">
        <f>VLOOKUP(A41,FONDSDECAISSE!A$5:C$52,3,0)</f>
        <v>390000</v>
      </c>
      <c r="D41" s="6">
        <v>982</v>
      </c>
      <c r="E41" s="6"/>
      <c r="F41" s="6"/>
      <c r="G41" s="6"/>
      <c r="H41" s="6"/>
      <c r="I41" s="7">
        <f t="shared" si="0"/>
        <v>240000</v>
      </c>
      <c r="J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K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L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M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N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O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P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Q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R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S41" s="7">
        <f>TONT20000DEC2015!R41+TONT20000JANV!P41+TONT20000FEV!P41+TONT20000MARS!P41+TONT20000AVRIL!P41+TONT20000MAI!P41+TONT20000JUIN!P41+TONT20000JUIL!P41+TONT20000AOUT!P41+TONT20000SEPT!Q41+TONT20000OCT!P41+TONT20000NOV!Q41</f>
        <v>0</v>
      </c>
      <c r="T41" s="7">
        <f>TONT20000DEC2015!R41+TONT20000JANV!P41+TONT20000FEV!P41+TONT20000MARS!P41+TONT20000AVRIL!P41+TONT20000MAI!P41+TONT20000JUIN!P41+TONT20000JUIL!P41+TONT20000AOUT!P41+TONT20000SEPT!Q41+TONT20000OCT!P41+TONT20000NOV!Q41</f>
        <v>0</v>
      </c>
      <c r="U41" s="7"/>
    </row>
    <row r="42" spans="1:21" x14ac:dyDescent="0.25">
      <c r="A42" s="1" t="s">
        <v>47</v>
      </c>
      <c r="B42" s="1" t="str">
        <f>VLOOKUP(A42,LISTADHERENT!A$5:H$52,2,0)</f>
        <v>SIME MATHIEU</v>
      </c>
      <c r="C42" s="1">
        <f>VLOOKUP(A42,FONDSDECAISSE!A$5:C$52,3,0)</f>
        <v>390000</v>
      </c>
      <c r="D42" s="6">
        <v>636</v>
      </c>
      <c r="E42" s="6"/>
      <c r="F42" s="6"/>
      <c r="G42" s="6"/>
      <c r="H42" s="6"/>
      <c r="I42" s="7">
        <f t="shared" si="0"/>
        <v>240000</v>
      </c>
      <c r="J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K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L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M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N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O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P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Q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R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S42" s="7">
        <f>TONT20000DEC2015!R42+TONT20000JANV!P42+TONT20000FEV!P42+TONT20000MARS!P42+TONT20000AVRIL!P42+TONT20000MAI!P42+TONT20000JUIN!P42+TONT20000JUIL!P42+TONT20000AOUT!P42+TONT20000SEPT!Q42+TONT20000OCT!P42+TONT20000NOV!Q42</f>
        <v>0</v>
      </c>
      <c r="T42" s="7">
        <f>TONT20000DEC2015!R42+TONT20000JANV!P42+TONT20000FEV!P42+TONT20000MARS!P42+TONT20000AVRIL!P42+TONT20000MAI!P42+TONT20000JUIN!P42+TONT20000JUIL!P42+TONT20000AOUT!P42+TONT20000SEPT!Q42+TONT20000OCT!P42+TONT20000NOV!Q42</f>
        <v>0</v>
      </c>
      <c r="U42" s="7"/>
    </row>
    <row r="43" spans="1:21" x14ac:dyDescent="0.25">
      <c r="A43" s="1" t="s">
        <v>48</v>
      </c>
      <c r="B43" s="1" t="str">
        <f>VLOOKUP(A43,LISTADHERENT!A$5:H$52,2,0)</f>
        <v>SIME PIERRE</v>
      </c>
      <c r="C43" s="1">
        <f>VLOOKUP(A43,FONDSDECAISSE!A$5:C$52,3,0)</f>
        <v>390000</v>
      </c>
      <c r="D43" s="6">
        <v>146079</v>
      </c>
      <c r="E43" s="6"/>
      <c r="F43" s="6"/>
      <c r="G43" s="6"/>
      <c r="H43" s="6"/>
      <c r="I43" s="7">
        <f t="shared" si="0"/>
        <v>1130000</v>
      </c>
      <c r="J43" s="7">
        <f>TONT20000DEC2015!I43+TONT20000JANV!G43+TONT20000FEV!G43+TONT20000MARS!G43+TONT20000AVRIL!G43+TONT20000MAI!G43+TONT20000JUIN!G43+TONT20000JUIL!G43+TONT20000AOUT!G43+TONT20000SEPT!G43+TONT20000OCT!G43+TONT20000NOV!H43</f>
        <v>916000</v>
      </c>
      <c r="K43" s="7">
        <f>TONT20000DEC2015!J43+TONT20000JANV!H43+TONT20000FEV!H43+TONT20000MARS!H43+TONT20000AVRIL!H43+TONT20000MAI!H43+TONT20000JUIN!H43+TONT20000JUIL!H43+TONT20000AOUT!H43+TONT20000SEPT!H43+TONT20000OCT!H43+TONT20000NOV!I43</f>
        <v>6000</v>
      </c>
      <c r="L43" s="7">
        <f>TONT20000DEC2015!K43+TONT20000JANV!I43+TONT20000FEV!I43+TONT20000MARS!I43+TONT20000AVRIL!I43+TONT20000MAI!I43+TONT20000JUIN!I43+TONT20000JUIL!I43+TONT20000AOUT!I43+TONT20000SEPT!I43+TONT20000OCT!I43+TONT20000NOV!J43</f>
        <v>12000</v>
      </c>
      <c r="M43" s="7">
        <f>TONT20000DEC2015!L43+TONT20000JANV!J43+TONT20000FEV!J43+TONT20000MARS!J43+TONT20000AVRIL!J43+TONT20000MAI!J43+TONT20000JUIN!J43+TONT20000JUIL!J43+TONT20000AOUT!J43+TONT20000SEPT!J43+TONT20000OCT!J43+TONT20000NOV!K43</f>
        <v>30000</v>
      </c>
      <c r="N43" s="7">
        <f>TONT20000DEC2015!M43+TONT20000JANV!K43+TONT20000FEV!K43+TONT20000MARS!K43+TONT20000AVRIL!K43+TONT20000MAI!K43+TONT20000JUIN!K43+TONT20000JUIL!K43+TONT20000AOUT!K43+TONT20000SEPT!K43+TONT20000OCT!K43+TONT20000NOV!L43</f>
        <v>10000</v>
      </c>
      <c r="O43" s="7">
        <f>TONT20000DEC2015!N43+TONT20000JANV!L43+TONT20000FEV!L43+TONT20000MARS!L43+TONT20000AVRIL!L43+TONT20000MAI!L43+TONT20000JUIN!L43+TONT20000JUIL!L43+TONT20000AOUT!L43+TONT20000SEPT!L43+TONT20000OCT!L43+TONT20000NOV!M43</f>
        <v>156000</v>
      </c>
      <c r="P43" s="7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Q43" s="7">
        <f>TONT20000DEC2015!P43+TONT20000JANV!N43+TONT20000FEV!N43+TONT20000MARS!N43+TONT20000AVRIL!N43+TONT20000MAI!N43+TONT20000JUIN!N43+TONT20000JUIL!N43+TONT20000AOUT!N43+TONT20000SEPT!N43+TONT20000OCT!N43+TONT20000NOV!O43</f>
        <v>84600</v>
      </c>
      <c r="R43" s="7">
        <f>TONT20000DEC2015!Q43+TONT20000JANV!O43+TONT20000FEV!O43+TONT20000MARS!O43+TONT20000AVRIL!O43+TONT20000MAI!O43+TONT20000JUIN!O43+TONT20000JUIL!O43+TONT20000AOUT!O43+TONT20000SEPT!O43+TONT20000OCT!O43+TONT20000NOV!P43</f>
        <v>540000</v>
      </c>
      <c r="S43" s="7">
        <f>TONT20000DEC2015!R43+TONT20000JANV!P43+TONT20000FEV!P43+TONT20000MARS!P43+TONT20000AVRIL!P43+TONT20000MAI!P43+TONT20000JUIN!P43+TONT20000JUIL!P43+TONT20000AOUT!P43+TONT20000SEPT!Q43+TONT20000OCT!P43+TONT20000NOV!Q43</f>
        <v>0</v>
      </c>
      <c r="T43" s="7">
        <f>TONT20000DEC2015!R43+TONT20000JANV!P43+TONT20000FEV!P43+TONT20000MARS!P43+TONT20000AVRIL!P43+TONT20000MAI!P43+TONT20000JUIN!P43+TONT20000JUIL!P43+TONT20000AOUT!P43+TONT20000SEPT!Q43+TONT20000OCT!P43+TONT20000NOV!Q43</f>
        <v>0</v>
      </c>
      <c r="U43" s="7"/>
    </row>
    <row r="44" spans="1:21" x14ac:dyDescent="0.25">
      <c r="A44" s="1" t="s">
        <v>49</v>
      </c>
      <c r="B44" s="1" t="str">
        <f>VLOOKUP(A44,LISTADHERENT!A$5:H$52,2,0)</f>
        <v>TAGNE NANGUEN MARTIN</v>
      </c>
      <c r="C44" s="1">
        <f>VLOOKUP(A44,FONDSDECAISSE!A$5:C$52,3,0)</f>
        <v>0</v>
      </c>
      <c r="D44" s="6">
        <v>0</v>
      </c>
      <c r="E44" s="6"/>
      <c r="F44" s="6"/>
      <c r="G44" s="6"/>
      <c r="H44" s="6"/>
      <c r="I44" s="7">
        <f t="shared" si="0"/>
        <v>240000</v>
      </c>
      <c r="J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K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L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M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N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O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P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Q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R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S44" s="7">
        <f>TONT20000DEC2015!R44+TONT20000JANV!P44+TONT20000FEV!P44+TONT20000MARS!P44+TONT20000AVRIL!P44+TONT20000MAI!P44+TONT20000JUIN!P44+TONT20000JUIL!P44+TONT20000AOUT!P44+TONT20000SEPT!Q44+TONT20000OCT!P44+TONT20000NOV!Q44</f>
        <v>0</v>
      </c>
      <c r="T44" s="7">
        <f>TONT20000DEC2015!R44+TONT20000JANV!P44+TONT20000FEV!P44+TONT20000MARS!P44+TONT20000AVRIL!P44+TONT20000MAI!P44+TONT20000JUIN!P44+TONT20000JUIL!P44+TONT20000AOUT!P44+TONT20000SEPT!Q44+TONT20000OCT!P44+TONT20000NOV!Q44</f>
        <v>0</v>
      </c>
      <c r="U44" s="7"/>
    </row>
    <row r="45" spans="1:21" x14ac:dyDescent="0.25">
      <c r="A45" s="1" t="s">
        <v>50</v>
      </c>
      <c r="B45" s="1" t="str">
        <f>VLOOKUP(A45,LISTADHERENT!A$5:H$52,2,0)</f>
        <v>TCHOUAMOU JEAN PAUL</v>
      </c>
      <c r="C45" s="1">
        <f>VLOOKUP(A45,FONDSDECAISSE!A$5:C$52,3,0)</f>
        <v>0</v>
      </c>
      <c r="D45" s="6">
        <v>0</v>
      </c>
      <c r="E45" s="6"/>
      <c r="F45" s="6"/>
      <c r="G45" s="6"/>
      <c r="H45" s="6"/>
      <c r="I45" s="7">
        <f t="shared" si="0"/>
        <v>290000</v>
      </c>
      <c r="J45" s="7">
        <f>TONT20000DEC2015!I45+TONT20000JANV!G45+TONT20000FEV!G45+TONT20000MARS!G45+TONT20000AVRIL!G45+TONT20000MAI!G45+TONT20000JUIN!G45+TONT20000JUIL!G45+TONT20000AOUT!G45+TONT20000SEPT!G45+TONT20000OCT!G45+TONT20000NOV!H45</f>
        <v>36000</v>
      </c>
      <c r="K45" s="7">
        <f>TONT20000DEC2015!J45+TONT20000JANV!H45+TONT20000FEV!H45+TONT20000MARS!H45+TONT20000AVRIL!H45+TONT20000MAI!H45+TONT20000JUIN!H45+TONT20000JUIL!H45+TONT20000AOUT!H45+TONT20000SEPT!H45+TONT20000OCT!H45+TONT20000NOV!I45</f>
        <v>6000</v>
      </c>
      <c r="L45" s="7">
        <f>TONT20000DEC2015!K45+TONT20000JANV!I45+TONT20000FEV!I45+TONT20000MARS!I45+TONT20000AVRIL!I45+TONT20000MAI!I45+TONT20000JUIN!I45+TONT20000JUIL!I45+TONT20000AOUT!I45+TONT20000SEPT!I45+TONT20000OCT!I45+TONT20000NOV!J45</f>
        <v>12000</v>
      </c>
      <c r="M45" s="7">
        <f>TONT20000DEC2015!L45+TONT20000JANV!J45+TONT20000FEV!J45+TONT20000MARS!J45+TONT20000AVRIL!J45+TONT20000MAI!J45+TONT20000JUIN!J45+TONT20000JUIL!J45+TONT20000AOUT!J45+TONT20000SEPT!J45+TONT20000OCT!J45+TONT20000NOV!K45</f>
        <v>30000</v>
      </c>
      <c r="N45" s="7">
        <f>TONT20000DEC2015!M45+TONT20000JANV!K45+TONT20000FEV!K45+TONT20000MARS!K45+TONT20000AVRIL!K45+TONT20000MAI!K45+TONT20000JUIN!K45+TONT20000JUIL!K45+TONT20000AOUT!K45+TONT20000SEPT!K45+TONT20000OCT!K45+TONT20000NOV!L45</f>
        <v>50000</v>
      </c>
      <c r="O45" s="7">
        <f>TONT20000DEC2015!N45+TONT20000JANV!L45+TONT20000FEV!L45+TONT20000MARS!L45+TONT20000AVRIL!L45+TONT20000MAI!L45+TONT20000JUIN!L45+TONT20000JUIL!L45+TONT20000AOUT!L45+TONT20000SEPT!L45+TONT20000OCT!L45+TONT20000NOV!M45</f>
        <v>156000</v>
      </c>
      <c r="P45" s="7">
        <f>TONT20000DEC2015!O45+TONT20000JANV!M45+TONT20000FEV!M45+TONT20000MARS!M45+TONT20000AVRIL!M45+TONT20000MAI!M45+TONT20000JUIN!M45+TONT20000JUIL!M45+TONT20000AOUT!M45+TONT20000SEPT!M45+TONT20000OCT!M45+TONT20000NOV!N45</f>
        <v>0</v>
      </c>
      <c r="Q45" s="7">
        <f>TONT20000DEC2015!P45+TONT20000JANV!N45+TONT20000FEV!N45+TONT20000MARS!N45+TONT20000AVRIL!N45+TONT20000MAI!N45+TONT20000JUIN!N45+TONT20000JUIL!N45+TONT20000AOUT!N45+TONT20000SEPT!N45+TONT20000OCT!N45+TONT20000NOV!O45</f>
        <v>0</v>
      </c>
      <c r="R45" s="7">
        <f>TONT20000DEC2015!Q45+TONT20000JANV!O45+TONT20000FEV!O45+TONT20000MARS!O45+TONT20000AVRIL!O45+TONT20000MAI!O45+TONT20000JUIN!O45+TONT20000JUIL!O45+TONT20000AOUT!O45+TONT20000SEPT!O45+TONT20000OCT!O45+TONT20000NOV!P45</f>
        <v>0</v>
      </c>
      <c r="S45" s="7">
        <f>TONT20000DEC2015!R45+TONT20000JANV!P45+TONT20000FEV!P45+TONT20000MARS!P45+TONT20000AVRIL!P45+TONT20000MAI!P45+TONT20000JUIN!P45+TONT20000JUIL!P45+TONT20000AOUT!P45+TONT20000SEPT!Q45+TONT20000OCT!P45+TONT20000NOV!Q45</f>
        <v>0</v>
      </c>
      <c r="T45" s="7">
        <f>TONT20000DEC2015!R45+TONT20000JANV!P45+TONT20000FEV!P45+TONT20000MARS!P45+TONT20000AVRIL!P45+TONT20000MAI!P45+TONT20000JUIN!P45+TONT20000JUIL!P45+TONT20000AOUT!P45+TONT20000SEPT!Q45+TONT20000OCT!P45+TONT20000NOV!Q45</f>
        <v>0</v>
      </c>
      <c r="U45" s="7"/>
    </row>
    <row r="46" spans="1:21" x14ac:dyDescent="0.25">
      <c r="A46" s="1" t="s">
        <v>51</v>
      </c>
      <c r="B46" s="1" t="str">
        <f>VLOOKUP(A46,LISTADHERENT!A$5:H$52,2,0)</f>
        <v>TCHOUAMOU MATHIEU</v>
      </c>
      <c r="C46" s="1">
        <f>VLOOKUP(A46,FONDSDECAISSE!A$5:C$52,3,0)</f>
        <v>390000</v>
      </c>
      <c r="D46" s="6">
        <v>3437</v>
      </c>
      <c r="E46" s="6"/>
      <c r="F46" s="6"/>
      <c r="G46" s="6"/>
      <c r="H46" s="6"/>
      <c r="I46" s="7">
        <f t="shared" si="0"/>
        <v>297075</v>
      </c>
      <c r="J46" s="7">
        <f>TONT20000DEC2015!I46+TONT20000JANV!G46+TONT20000FEV!G46+TONT20000MARS!G46+TONT20000AVRIL!G46+TONT20000MAI!G46+TONT20000JUIN!G46+TONT20000JUIL!G46+TONT20000AOUT!G46+TONT20000SEPT!G46+TONT20000OCT!G46+TONT20000NOV!H46</f>
        <v>39000</v>
      </c>
      <c r="K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L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M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N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O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P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Q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R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S46" s="7">
        <f>TONT20000DEC2015!R46+TONT20000JANV!P46+TONT20000FEV!P46+TONT20000MARS!P46+TONT20000AVRIL!P46+TONT20000MAI!P46+TONT20000JUIN!P46+TONT20000JUIL!P46+TONT20000AOUT!P46+TONT20000SEPT!Q46+TONT20000OCT!P46+TONT20000NOV!Q46</f>
        <v>54075</v>
      </c>
      <c r="T46" s="7">
        <f>TONT20000DEC2015!R46+TONT20000JANV!P46+TONT20000FEV!P46+TONT20000MARS!P46+TONT20000AVRIL!P46+TONT20000MAI!P46+TONT20000JUIN!P46+TONT20000JUIL!P46+TONT20000AOUT!P46+TONT20000SEPT!Q46+TONT20000OCT!P46+TONT20000NOV!Q46</f>
        <v>54075</v>
      </c>
      <c r="U46" s="7"/>
    </row>
    <row r="47" spans="1:21" x14ac:dyDescent="0.25">
      <c r="A47" s="1" t="s">
        <v>52</v>
      </c>
      <c r="B47" s="1" t="str">
        <f>VLOOKUP(A47,LISTADHERENT!A$5:H$52,2,0)</f>
        <v>TCHOUANTE FRANCOIS</v>
      </c>
      <c r="C47" s="1">
        <f>VLOOKUP(A47,FONDSDECAISSE!A$5:C$52,3,0)</f>
        <v>257119</v>
      </c>
      <c r="D47" s="6">
        <v>4925</v>
      </c>
      <c r="E47" s="6"/>
      <c r="F47" s="6"/>
      <c r="G47" s="6"/>
      <c r="H47" s="6"/>
      <c r="I47" s="7">
        <f t="shared" si="0"/>
        <v>264000</v>
      </c>
      <c r="J47" s="7">
        <f>TONT20000DEC2015!I47+TONT20000JANV!G47+TONT20000FEV!G47+TONT20000MARS!G47+TONT20000AVRIL!G47+TONT20000MAI!G47+TONT20000JUIN!G47+TONT20000JUIL!G47+TONT20000AOUT!G47+TONT20000SEPT!G47+TONT20000OCT!G47+TONT20000NOV!H47</f>
        <v>60000</v>
      </c>
      <c r="K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L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M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N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O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P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Q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R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S47" s="7">
        <f>TONT20000DEC2015!R47+TONT20000JANV!P47+TONT20000FEV!P47+TONT20000MARS!P47+TONT20000AVRIL!P47+TONT20000MAI!P47+TONT20000JUIN!P47+TONT20000JUIL!P47+TONT20000AOUT!P47+TONT20000SEPT!Q47+TONT20000OCT!P47+TONT20000NOV!Q47</f>
        <v>0</v>
      </c>
      <c r="T47" s="7">
        <f>TONT20000DEC2015!R47+TONT20000JANV!P47+TONT20000FEV!P47+TONT20000MARS!P47+TONT20000AVRIL!P47+TONT20000MAI!P47+TONT20000JUIN!P47+TONT20000JUIL!P47+TONT20000AOUT!P47+TONT20000SEPT!Q47+TONT20000OCT!P47+TONT20000NOV!Q47</f>
        <v>0</v>
      </c>
      <c r="U47" s="7"/>
    </row>
    <row r="48" spans="1:21" x14ac:dyDescent="0.25">
      <c r="A48" s="1" t="s">
        <v>53</v>
      </c>
      <c r="B48" s="1" t="str">
        <f>VLOOKUP(A48,LISTADHERENT!A$5:H$52,2,0)</f>
        <v>TCHOUTOU NANA CLAUDE</v>
      </c>
      <c r="C48" s="1">
        <f>VLOOKUP(A48,FONDSDECAISSE!A$5:C$52,3,0)</f>
        <v>0</v>
      </c>
      <c r="D48" s="6">
        <v>0</v>
      </c>
      <c r="E48" s="6"/>
      <c r="F48" s="6"/>
      <c r="G48" s="6"/>
      <c r="H48" s="6"/>
      <c r="I48" s="7">
        <f t="shared" si="0"/>
        <v>160000</v>
      </c>
      <c r="J48" s="7">
        <f>TONT20000DEC2015!I48+TONT20000JANV!G48+TONT20000FEV!G48+TONT20000MARS!G48+TONT20000AVRIL!G48+TONT20000MAI!G48+TONT20000JUIN!G48+TONT20000JUIL!G48+TONT20000AOUT!G48+TONT20000SEPT!G48+TONT20000OCT!G48+TONT20000NOV!H48</f>
        <v>24000</v>
      </c>
      <c r="K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L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M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N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O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P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Q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R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S48" s="7">
        <f>TONT20000DEC2015!R48+TONT20000JANV!P48+TONT20000FEV!P48+TONT20000MARS!P48+TONT20000AVRIL!P48+TONT20000MAI!P48+TONT20000JUIN!P48+TONT20000JUIL!P48+TONT20000AOUT!P48+TONT20000SEPT!Q48+TONT20000OCT!P48+TONT20000NOV!Q48</f>
        <v>0</v>
      </c>
      <c r="T48" s="7">
        <f>TONT20000DEC2015!R48+TONT20000JANV!P48+TONT20000FEV!P48+TONT20000MARS!P48+TONT20000AVRIL!P48+TONT20000MAI!P48+TONT20000JUIN!P48+TONT20000JUIL!P48+TONT20000AOUT!P48+TONT20000SEPT!Q48+TONT20000OCT!P48+TONT20000NOV!Q48</f>
        <v>0</v>
      </c>
      <c r="U48" s="7"/>
    </row>
    <row r="49" spans="1:21" x14ac:dyDescent="0.25">
      <c r="A49" s="1" t="s">
        <v>54</v>
      </c>
      <c r="B49" s="1" t="str">
        <f>VLOOKUP(A49,LISTADHERENT!A$5:H$52,2,0)</f>
        <v>TIEYAM ERNEST</v>
      </c>
      <c r="C49" s="1">
        <f>VLOOKUP(A49,FONDSDECAISSE!A$5:C$52,3,0)</f>
        <v>390000</v>
      </c>
      <c r="D49" s="6">
        <v>804</v>
      </c>
      <c r="E49" s="6"/>
      <c r="F49" s="6"/>
      <c r="G49" s="6"/>
      <c r="H49" s="6"/>
      <c r="I49" s="7">
        <f t="shared" si="0"/>
        <v>240000</v>
      </c>
      <c r="J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K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L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M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N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O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P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Q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R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S49" s="7">
        <f>TONT20000DEC2015!R49+TONT20000JANV!P49+TONT20000FEV!P49+TONT20000MARS!P49+TONT20000AVRIL!P49+TONT20000MAI!P49+TONT20000JUIN!P49+TONT20000JUIL!P49+TONT20000AOUT!P49+TONT20000SEPT!Q49+TONT20000OCT!P49+TONT20000NOV!Q49</f>
        <v>0</v>
      </c>
      <c r="T49" s="7">
        <f>TONT20000DEC2015!R49+TONT20000JANV!P49+TONT20000FEV!P49+TONT20000MARS!P49+TONT20000AVRIL!P49+TONT20000MAI!P49+TONT20000JUIN!P49+TONT20000JUIL!P49+TONT20000AOUT!P49+TONT20000SEPT!Q49+TONT20000OCT!P49+TONT20000NOV!Q49</f>
        <v>0</v>
      </c>
      <c r="U49" s="7"/>
    </row>
    <row r="50" spans="1:21" x14ac:dyDescent="0.25">
      <c r="A50" s="1" t="s">
        <v>55</v>
      </c>
      <c r="B50" s="1" t="str">
        <f>VLOOKUP(A50,LISTADHERENT!A$5:H$52,2,0)</f>
        <v>TUGMA PIERRE LOTI</v>
      </c>
      <c r="C50" s="1">
        <f>VLOOKUP(A50,FONDSDECAISSE!A$5:C$52,3,0)</f>
        <v>390000</v>
      </c>
      <c r="D50" s="6">
        <v>17636</v>
      </c>
      <c r="E50" s="6"/>
      <c r="F50" s="6"/>
      <c r="G50" s="6"/>
      <c r="H50" s="6"/>
      <c r="I50" s="7">
        <f t="shared" si="0"/>
        <v>240000</v>
      </c>
      <c r="J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K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L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M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N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O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P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Q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R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S50" s="7">
        <f>TONT20000DEC2015!R50+TONT20000JANV!P50+TONT20000FEV!P50+TONT20000MARS!P50+TONT20000AVRIL!P50+TONT20000MAI!P50+TONT20000JUIN!P50+TONT20000JUIL!P50+TONT20000AOUT!P50+TONT20000SEPT!Q50+TONT20000OCT!P50+TONT20000NOV!Q50</f>
        <v>0</v>
      </c>
      <c r="T50" s="7">
        <f>TONT20000DEC2015!R50+TONT20000JANV!P50+TONT20000FEV!P50+TONT20000MARS!P50+TONT20000AVRIL!P50+TONT20000MAI!P50+TONT20000JUIN!P50+TONT20000JUIL!P50+TONT20000AOUT!P50+TONT20000SEPT!Q50+TONT20000OCT!P50+TONT20000NOV!Q50</f>
        <v>0</v>
      </c>
      <c r="U50" s="7"/>
    </row>
    <row r="51" spans="1:21" x14ac:dyDescent="0.25">
      <c r="A51" s="1" t="s">
        <v>66</v>
      </c>
      <c r="B51" s="1" t="str">
        <f>VLOOKUP(A51,LISTADHERENT!A$5:H$52,2,0)</f>
        <v>YEPMOU JEAN JACQUES</v>
      </c>
      <c r="C51" s="1">
        <f>VLOOKUP(A51,FONDSDECAISSE!A$5:C$52,3,0)</f>
        <v>390000</v>
      </c>
      <c r="D51" s="6">
        <v>421237</v>
      </c>
      <c r="E51" s="6"/>
      <c r="F51" s="6"/>
      <c r="G51" s="6"/>
      <c r="H51" s="6"/>
      <c r="I51" s="7">
        <f t="shared" si="0"/>
        <v>240000</v>
      </c>
      <c r="J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K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L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M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N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O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P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Q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R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S51" s="7">
        <f>TONT20000DEC2015!R51+TONT20000JANV!P51+TONT20000FEV!P51+TONT20000MARS!P51+TONT20000AVRIL!P51+TONT20000MAI!P51+TONT20000JUIN!P51+TONT20000JUIL!P51+TONT20000AOUT!P51+TONT20000SEPT!Q51+TONT20000OCT!P51+TONT20000NOV!Q51</f>
        <v>0</v>
      </c>
      <c r="T51" s="7">
        <f>TONT20000DEC2015!R51+TONT20000JANV!P51+TONT20000FEV!P51+TONT20000MARS!P51+TONT20000AVRIL!P51+TONT20000MAI!P51+TONT20000JUIN!P51+TONT20000JUIL!P51+TONT20000AOUT!P51+TONT20000SEPT!Q51+TONT20000OCT!P51+TONT20000NOV!Q51</f>
        <v>0</v>
      </c>
    </row>
    <row r="52" spans="1:21" x14ac:dyDescent="0.25">
      <c r="A52" s="1" t="s">
        <v>178</v>
      </c>
      <c r="B52" s="1" t="str">
        <f>VLOOKUP(A52,LISTADHERENT!A$5:H$52,2,0)</f>
        <v>YOUMBI EMMANUEL</v>
      </c>
      <c r="C52" s="1">
        <f>VLOOKUP(A52,FONDSDECAISSE!A$5:C$52,3,0)</f>
        <v>390000</v>
      </c>
      <c r="D52" s="6">
        <v>1003279</v>
      </c>
      <c r="E52" s="6"/>
      <c r="F52" s="6"/>
      <c r="G52" s="6"/>
      <c r="H52" s="6"/>
      <c r="I52" s="7">
        <f t="shared" si="0"/>
        <v>240000</v>
      </c>
      <c r="J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K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L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M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N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O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P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Q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R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S52" s="7">
        <f>TONT20000DEC2015!R52+TONT20000JANV!P52+TONT20000FEV!P52+TONT20000MARS!P52+TONT20000AVRIL!P52+TONT20000MAI!P52+TONT20000JUIN!P52+TONT20000JUIL!P52+TONT20000AOUT!P52+TONT20000SEPT!Q52+TONT20000OCT!P52+TONT20000NOV!Q52</f>
        <v>0</v>
      </c>
      <c r="T52" s="7">
        <f>TONT20000DEC2015!R52+TONT20000JANV!P52+TONT20000FEV!P52+TONT20000MARS!P52+TONT20000AVRIL!P52+TONT20000MAI!P52+TONT20000JUIN!P52+TONT20000JUIL!P52+TONT20000AOUT!P52+TONT20000SEPT!Q52+TONT20000OCT!P52+TONT20000NOV!Q52</f>
        <v>0</v>
      </c>
    </row>
    <row r="53" spans="1:21" x14ac:dyDescent="0.25">
      <c r="A53" s="1"/>
      <c r="B53" s="1"/>
      <c r="C53" s="6"/>
      <c r="D53" s="1"/>
      <c r="E53" s="1"/>
      <c r="F53" s="1"/>
      <c r="G53" s="1"/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1" x14ac:dyDescent="0.25">
      <c r="A54" s="1"/>
      <c r="B54" s="1"/>
      <c r="C54" s="6"/>
      <c r="D54" s="1"/>
      <c r="E54" s="1"/>
      <c r="F54" s="1"/>
      <c r="G54" s="1"/>
      <c r="H54" s="1"/>
      <c r="I54" s="7">
        <f t="shared" si="0"/>
        <v>593500</v>
      </c>
      <c r="J54" s="7">
        <f>TONT20000DEC2015!I54+TONT20000JANV!G54+TONT20000FEV!G54+TONT20000MARS!G54+TONT20000AVRIL!G54+TONT20000MAI!G54+TONT20000JUIN!G54+TONT20000JUIL!G54+TONT20000AOUT!G54+TONT20000SEPT!G54+TONT20000OCT!G54+TONT20000NOV!H54</f>
        <v>0</v>
      </c>
      <c r="K54" s="7">
        <f>TONT20000DEC2015!J54+TONT20000JANV!H54+TONT20000FEV!H54+TONT20000MARS!H54+TONT20000AVRIL!H54+TONT20000MAI!H54+TONT20000JUIN!H54+TONT20000JUIL!H54+TONT20000AOUT!H54+TONT20000SEPT!H54+TONT20000OCT!H54+TONT20000NOV!I54</f>
        <v>0</v>
      </c>
      <c r="L54" s="7">
        <f>TONT20000DEC2015!K54+TONT20000JANV!I54+TONT20000FEV!I54+TONT20000MARS!I54+TONT20000AVRIL!I54+TONT20000MAI!I54+TONT20000JUIN!I54+TONT20000JUIL!I54+TONT20000AOUT!I54+TONT20000SEPT!I54+TONT20000OCT!I54+TONT20000NOV!J54</f>
        <v>0</v>
      </c>
      <c r="M54" s="7">
        <f>TONT20000DEC2015!L54+TONT20000JANV!J54+TONT20000FEV!J54+TONT20000MARS!J54+TONT20000AVRIL!J54+TONT20000MAI!J54+TONT20000JUIN!J54+TONT20000JUIL!J54+TONT20000AOUT!J54+TONT20000SEPT!J54+TONT20000OCT!J54+TONT20000NOV!K54</f>
        <v>0</v>
      </c>
      <c r="N54" s="7">
        <f>TONT20000DEC2015!M54+TONT20000JANV!K54+TONT20000FEV!K54+TONT20000MARS!K54+TONT20000AVRIL!K54+TONT20000MAI!K54+TONT20000JUIN!K54+TONT20000JUIL!K54+TONT20000AOUT!K54+TONT20000SEPT!K54+TONT20000OCT!K54+TONT20000NOV!L54</f>
        <v>0</v>
      </c>
      <c r="O54" s="7">
        <f>TONT20000DEC2015!N54+TONT20000JANV!L54+TONT20000FEV!L54+TONT20000MARS!L54+TONT20000AVRIL!L54+TONT20000MAI!L54+TONT20000JUIN!L54+TONT20000JUIL!L54+TONT20000AOUT!L54+TONT20000SEPT!L54+TONT20000OCT!L54+TONT20000NOV!M54</f>
        <v>593500</v>
      </c>
      <c r="P54" s="7">
        <f>TONT20000DEC2015!O54+TONT20000JANV!M54+TONT20000FEV!M54+TONT20000MARS!M54+TONT20000AVRIL!M54+TONT20000MAI!M54+TONT20000JUIN!M54+TONT20000JUIL!M54+TONT20000AOUT!M54+TONT20000SEPT!M54+TONT20000OCT!M54+TONT20000NOV!N54</f>
        <v>0</v>
      </c>
      <c r="Q54" s="7">
        <f>TONT20000DEC2015!P54+TONT20000JANV!N54+TONT20000FEV!N54+TONT20000MARS!N54+TONT20000AVRIL!N54+TONT20000MAI!N54+TONT20000JUIN!N54+TONT20000JUIL!N54+TONT20000AOUT!N54+TONT20000SEPT!N54+TONT20000OCT!N54+TONT20000NOV!O54</f>
        <v>0</v>
      </c>
      <c r="R54" s="7">
        <f>TONT20000DEC2015!Q54+TONT20000JANV!O54+TONT20000FEV!O54+TONT20000MARS!O54+TONT20000AVRIL!O54+TONT20000MAI!O54+TONT20000JUIN!O54+TONT20000JUIL!O54+TONT20000AOUT!O54+TONT20000SEPT!O54+TONT20000OCT!O54+TONT20000NOV!P54</f>
        <v>0</v>
      </c>
      <c r="S54" s="7">
        <f>TONT20000DEC2015!R54+TONT20000JANV!P54+TONT20000FEV!P54+TONT20000MARS!P54+TONT20000AVRIL!P54+TONT20000MAI!P54+TONT20000JUIN!P54+TONT20000JUIL!P54+TONT20000AOUT!P54+TONT20000SEPT!Q54+TONT20000OCT!P54+TONT20000NOV!Q54</f>
        <v>0</v>
      </c>
      <c r="T54" s="7">
        <f>TONT20000DEC2015!R54+TONT20000JANV!P54+TONT20000FEV!P54+TONT20000MARS!P54+TONT20000AVRIL!P54+TONT20000MAI!P54+TONT20000JUIN!P54+TONT20000JUIL!P54+TONT20000AOUT!P54+TONT20000SEPT!Q54+TONT20000OCT!P54+TONT20000NOV!Q54</f>
        <v>0</v>
      </c>
      <c r="U54"/>
    </row>
    <row r="55" spans="1:21" ht="18" x14ac:dyDescent="0.25">
      <c r="A55" s="8" t="s">
        <v>56</v>
      </c>
      <c r="B55" s="8"/>
      <c r="C55" s="9">
        <f>SUM(C5:C54)</f>
        <v>12996142</v>
      </c>
      <c r="D55" s="9">
        <f t="shared" ref="D55:U55" si="1">SUM(D5:D54)</f>
        <v>4547504</v>
      </c>
      <c r="E55" s="9"/>
      <c r="F55" s="9"/>
      <c r="G55" s="9"/>
      <c r="H55" s="9">
        <f t="shared" si="1"/>
        <v>0</v>
      </c>
      <c r="I55" s="9">
        <f t="shared" si="1"/>
        <v>14095135</v>
      </c>
      <c r="J55" s="9">
        <f t="shared" si="1"/>
        <v>4322505</v>
      </c>
      <c r="K55" s="9">
        <f t="shared" si="1"/>
        <v>260000</v>
      </c>
      <c r="L55" s="9">
        <f t="shared" si="1"/>
        <v>520000</v>
      </c>
      <c r="M55" s="9">
        <f t="shared" si="1"/>
        <v>1300000</v>
      </c>
      <c r="N55" s="9">
        <f t="shared" si="1"/>
        <v>235000</v>
      </c>
      <c r="O55" s="9">
        <f t="shared" si="1"/>
        <v>7353500</v>
      </c>
      <c r="P55" s="9">
        <f t="shared" si="1"/>
        <v>25710000</v>
      </c>
      <c r="Q55" s="9">
        <f t="shared" si="1"/>
        <v>2282100</v>
      </c>
      <c r="R55" s="9">
        <f t="shared" si="1"/>
        <v>6900000</v>
      </c>
      <c r="S55" s="9">
        <f t="shared" si="1"/>
        <v>104130</v>
      </c>
      <c r="T55" s="9">
        <f t="shared" si="1"/>
        <v>104130</v>
      </c>
      <c r="U55" s="9">
        <f t="shared" si="1"/>
        <v>0</v>
      </c>
    </row>
    <row r="56" spans="1:21" ht="18" x14ac:dyDescent="0.25">
      <c r="T56" s="9"/>
    </row>
  </sheetData>
  <autoFilter ref="A4:V50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4</vt:i4>
      </vt:variant>
    </vt:vector>
  </HeadingPairs>
  <TitlesOfParts>
    <vt:vector size="25" baseType="lpstr">
      <vt:lpstr>RECAPEMPRUNTREMB</vt:lpstr>
      <vt:lpstr>LISTADHERENT</vt:lpstr>
      <vt:lpstr>TRAVAUXINVENTAIREBACKUP</vt:lpstr>
      <vt:lpstr>TRAVAUXINVENTAIRE</vt:lpstr>
      <vt:lpstr>FONDSDECAISSE</vt:lpstr>
      <vt:lpstr>TONT20000DEC2016</vt:lpstr>
      <vt:lpstr>TONT20000JANV2017</vt:lpstr>
      <vt:lpstr>MODEVERSEMENT</vt:lpstr>
      <vt:lpstr>TONT20000DEC2015</vt:lpstr>
      <vt:lpstr>TONT20000JANV</vt:lpstr>
      <vt:lpstr>TONT20000FEV</vt:lpstr>
      <vt:lpstr>TONT20000MARS</vt:lpstr>
      <vt:lpstr>TONT20000AVRIL</vt:lpstr>
      <vt:lpstr>TONT20000MAI</vt:lpstr>
      <vt:lpstr>TONT20000JUIN</vt:lpstr>
      <vt:lpstr>TONT20000JUIL</vt:lpstr>
      <vt:lpstr>TONT20000AOUT</vt:lpstr>
      <vt:lpstr>TONT20000SEPT</vt:lpstr>
      <vt:lpstr>TONT20000OCT</vt:lpstr>
      <vt:lpstr>TONT20000NOV</vt:lpstr>
      <vt:lpstr>RECAPTONT20000</vt:lpstr>
      <vt:lpstr>LISTADHERENT!Impression_des_titres</vt:lpstr>
      <vt:lpstr>MODEVERSEMENTS</vt:lpstr>
      <vt:lpstr>TONT20000JANV2017!MODPAID</vt:lpstr>
      <vt:lpstr>MODPAID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ASELBY</cp:lastModifiedBy>
  <dcterms:created xsi:type="dcterms:W3CDTF">2016-12-07T22:17:38Z</dcterms:created>
  <dcterms:modified xsi:type="dcterms:W3CDTF">2017-02-02T11:03:22Z</dcterms:modified>
</cp:coreProperties>
</file>