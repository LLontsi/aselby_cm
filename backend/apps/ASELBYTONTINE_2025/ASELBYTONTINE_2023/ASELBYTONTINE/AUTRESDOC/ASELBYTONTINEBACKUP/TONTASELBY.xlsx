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6465" activeTab="3"/>
  </bookViews>
  <sheets>
    <sheet name="LISTADHERENT" sheetId="3" r:id="rId1"/>
    <sheet name="TONT20000" sheetId="1" r:id="rId2"/>
    <sheet name="TONT60000" sheetId="4" r:id="rId3"/>
    <sheet name="TONT100000" sheetId="5" r:id="rId4"/>
    <sheet name="Feuil2" sheetId="2" r:id="rId5"/>
  </sheets>
  <definedNames>
    <definedName name="_xlnm._FilterDatabase" localSheetId="0" hidden="1">LISTADHERENT!$A$4:$H$49</definedName>
    <definedName name="_xlnm._FilterDatabase" localSheetId="3" hidden="1">TONT100000!$A$5:$J$50</definedName>
    <definedName name="_xlnm._FilterDatabase" localSheetId="1" hidden="1">TONT20000!$A$5:$K$50</definedName>
    <definedName name="_xlnm._FilterDatabase" localSheetId="2" hidden="1">TONT60000!$A$5:$J$50</definedName>
    <definedName name="_xlnm.Print_Titles" localSheetId="0">LISTADHERENT!$1:$4</definedName>
    <definedName name="MODEPAID">Feuil2!$A$1:$A$3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5"/>
  <c r="H52" s="1"/>
  <c r="I52"/>
  <c r="H13" i="4"/>
  <c r="H52" s="1"/>
  <c r="H7" i="1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6"/>
  <c r="B50" i="5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0" i="1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13" i="4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7"/>
  <c r="B8"/>
  <c r="B9"/>
  <c r="B10"/>
  <c r="B11"/>
  <c r="B12"/>
  <c r="B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6"/>
  <c r="C7" i="5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6"/>
  <c r="G52"/>
  <c r="F52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I52" i="4"/>
  <c r="G52"/>
  <c r="F52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2" l="1"/>
  <c r="D52" i="5"/>
  <c r="C52"/>
  <c r="C52" i="4"/>
  <c r="F52" i="1"/>
  <c r="G52"/>
  <c r="J52"/>
  <c r="C7" l="1"/>
  <c r="D7"/>
  <c r="C8"/>
  <c r="D8"/>
  <c r="C9"/>
  <c r="D9"/>
  <c r="C10"/>
  <c r="D10"/>
  <c r="C11"/>
  <c r="D11"/>
  <c r="C12"/>
  <c r="D12"/>
  <c r="C13"/>
  <c r="D13"/>
  <c r="C14"/>
  <c r="D14"/>
  <c r="C15"/>
  <c r="D15"/>
  <c r="C16"/>
  <c r="D16"/>
  <c r="C17"/>
  <c r="D17"/>
  <c r="C18"/>
  <c r="D18"/>
  <c r="C19"/>
  <c r="D19"/>
  <c r="C20"/>
  <c r="D20"/>
  <c r="C21"/>
  <c r="D21"/>
  <c r="C22"/>
  <c r="D22"/>
  <c r="C23"/>
  <c r="D23"/>
  <c r="C24"/>
  <c r="D24"/>
  <c r="C25"/>
  <c r="D25"/>
  <c r="C26"/>
  <c r="D26"/>
  <c r="C27"/>
  <c r="D27"/>
  <c r="C28"/>
  <c r="D28"/>
  <c r="C29"/>
  <c r="D29"/>
  <c r="C30"/>
  <c r="D30"/>
  <c r="C31"/>
  <c r="D31"/>
  <c r="C32"/>
  <c r="D32"/>
  <c r="C33"/>
  <c r="D33"/>
  <c r="C34"/>
  <c r="D34"/>
  <c r="C35"/>
  <c r="D35"/>
  <c r="C36"/>
  <c r="D36"/>
  <c r="C37"/>
  <c r="D37"/>
  <c r="C38"/>
  <c r="D38"/>
  <c r="C39"/>
  <c r="D39"/>
  <c r="C40"/>
  <c r="D40"/>
  <c r="C41"/>
  <c r="D41"/>
  <c r="C42"/>
  <c r="D42"/>
  <c r="C43"/>
  <c r="D43"/>
  <c r="C44"/>
  <c r="D44"/>
  <c r="C45"/>
  <c r="D45"/>
  <c r="C46"/>
  <c r="D46"/>
  <c r="C47"/>
  <c r="D47"/>
  <c r="C48"/>
  <c r="D48"/>
  <c r="C49"/>
  <c r="D49"/>
  <c r="C50"/>
  <c r="D50"/>
  <c r="C6"/>
  <c r="D6"/>
  <c r="D52" l="1"/>
  <c r="C52"/>
  <c r="H52"/>
</calcChain>
</file>

<file path=xl/sharedStrings.xml><?xml version="1.0" encoding="utf-8"?>
<sst xmlns="http://schemas.openxmlformats.org/spreadsheetml/2006/main" count="516" uniqueCount="176">
  <si>
    <t>ESPECE</t>
  </si>
  <si>
    <t>BANQUE</t>
  </si>
  <si>
    <t>ECHEC</t>
  </si>
  <si>
    <t>MODE VERSEMENT</t>
  </si>
  <si>
    <t>MONTANT TONTINE</t>
  </si>
  <si>
    <t>PENALITE</t>
  </si>
  <si>
    <t>ASELBY</t>
  </si>
  <si>
    <t>LISTE DES ADHERENTS 19 JUN 2016</t>
  </si>
  <si>
    <t>MLE</t>
  </si>
  <si>
    <t>NOM ET  PRENOM</t>
  </si>
  <si>
    <t>FONCTION</t>
  </si>
  <si>
    <t>DATE ADHESION</t>
  </si>
  <si>
    <t>CONTACT</t>
  </si>
  <si>
    <t>CONTACT 2</t>
  </si>
  <si>
    <t>RESIDENCE</t>
  </si>
  <si>
    <t>DATE RECEPTION</t>
  </si>
  <si>
    <t>BAKOP ACHILLE</t>
  </si>
  <si>
    <t>FONCTIONNAIRE DE POLICE</t>
  </si>
  <si>
    <t>NKOLBISSON</t>
  </si>
  <si>
    <t>BOUTCHOUANG WILLIAM</t>
  </si>
  <si>
    <t>OPERATEUR ECONOMIQUE</t>
  </si>
  <si>
    <t>EMANA</t>
  </si>
  <si>
    <t>CHINGUE FABRICE</t>
  </si>
  <si>
    <t>SANTA BARBARA</t>
  </si>
  <si>
    <t xml:space="preserve">DJOMO JEAN PAUL </t>
  </si>
  <si>
    <t>RETRAITE</t>
  </si>
  <si>
    <t>RUE MANGUIERS</t>
  </si>
  <si>
    <t>DJOUKWE GUY</t>
  </si>
  <si>
    <t>PROFESSEUR DES LYCEES TECHNIQUE</t>
  </si>
  <si>
    <t>DJOUNKEP SAMUEL</t>
  </si>
  <si>
    <t>COMPTABLE RETRAITE</t>
  </si>
  <si>
    <t>BIYEM ASSI LYCEE</t>
  </si>
  <si>
    <t>DJUOMBESSY ANTOINE</t>
  </si>
  <si>
    <t>ANALYSTE CONCEPTEUR SI</t>
  </si>
  <si>
    <t>MESSASSI</t>
  </si>
  <si>
    <t>DONHOU DAVID</t>
  </si>
  <si>
    <t>MAGISTRAT</t>
  </si>
  <si>
    <t>TONGOLO</t>
  </si>
  <si>
    <t>FOTSO THOMAS</t>
  </si>
  <si>
    <t>CADRE BANQUE</t>
  </si>
  <si>
    <t>OYOMABANG</t>
  </si>
  <si>
    <t>HENGUE PAUL OMER</t>
  </si>
  <si>
    <t>SOCIOLOGUE</t>
  </si>
  <si>
    <t>HODIEP JULES</t>
  </si>
  <si>
    <t>CADRE CNPS</t>
  </si>
  <si>
    <t>NYOM 2</t>
  </si>
  <si>
    <t>HOTCHO BENJAMIN</t>
  </si>
  <si>
    <t>COMPTABLE</t>
  </si>
  <si>
    <t>DAMAS</t>
  </si>
  <si>
    <t>KEPHE DAVID</t>
  </si>
  <si>
    <t>KEPSEU FRANCIS</t>
  </si>
  <si>
    <t>OFFICIER DE POLICE RETRAITE</t>
  </si>
  <si>
    <t>SIMBOCK</t>
  </si>
  <si>
    <t>KEPSEU HENANG RENE</t>
  </si>
  <si>
    <t>CADRE SONEL RETRAITE</t>
  </si>
  <si>
    <t>KOUAMOU EMMANUEL</t>
  </si>
  <si>
    <t>MONTEE JOUVENCE</t>
  </si>
  <si>
    <t>KOUAMOU MOISE</t>
  </si>
  <si>
    <t>INGENIEUR E-F</t>
  </si>
  <si>
    <t>KOUAMOU VICTOR PEGUY</t>
  </si>
  <si>
    <t>S/OFFICIER SUPERIEUR</t>
  </si>
  <si>
    <t>KOUATCHO MESSACK</t>
  </si>
  <si>
    <t>INSPECTEUR DE TRAVAIL</t>
  </si>
  <si>
    <t>NANGUEN MARTIN</t>
  </si>
  <si>
    <t>SECRETAIRE D'ADMINISTRATION</t>
  </si>
  <si>
    <t>NANKAM APPOLINAIRE</t>
  </si>
  <si>
    <t>ENSEIGNANT</t>
  </si>
  <si>
    <t>NDJOMO ETIENNE</t>
  </si>
  <si>
    <t>NDOMBOU JEAN CLAUDE</t>
  </si>
  <si>
    <t>ING AGRONOME RETRAITE</t>
  </si>
  <si>
    <t>ETOUG EBE</t>
  </si>
  <si>
    <t>NGONDIEP CLAUDE</t>
  </si>
  <si>
    <t>DAS(DIRECTEUR ADMINISTRATEUR SOCIETE)</t>
  </si>
  <si>
    <t>CITE VERTE</t>
  </si>
  <si>
    <t>NGONGANG JEAN THEODORE</t>
  </si>
  <si>
    <t>CHEF ENTREPRISE</t>
  </si>
  <si>
    <t>NGUIEMEGNI MATHIEU BLAISE</t>
  </si>
  <si>
    <t>CADRE CADASTRE</t>
  </si>
  <si>
    <t>MONATELE</t>
  </si>
  <si>
    <t>NJEPDJIO MBOUKAM DELUXE</t>
  </si>
  <si>
    <t>MENDONG</t>
  </si>
  <si>
    <t>NKAMGANG JUSTIN DEJOLIE</t>
  </si>
  <si>
    <t>DELEGUE COMMERCIAL</t>
  </si>
  <si>
    <t>NKEPSEU DIEUDONNE</t>
  </si>
  <si>
    <t>ESSOS</t>
  </si>
  <si>
    <t>NTEPDIE TUEMAC MZ</t>
  </si>
  <si>
    <t>NTOMBOU ADOLPHE</t>
  </si>
  <si>
    <t xml:space="preserve">INGENIEUR </t>
  </si>
  <si>
    <t>PATEGO NJOSSU GUSTAVE</t>
  </si>
  <si>
    <t>INGENIEUR T-P</t>
  </si>
  <si>
    <t>EBOGO 1(SOA)</t>
  </si>
  <si>
    <t>SEUNOU RICHELOT</t>
  </si>
  <si>
    <t>SIME ABEL</t>
  </si>
  <si>
    <t>ELEVEUR</t>
  </si>
  <si>
    <t>SIME FONGANG ERIC</t>
  </si>
  <si>
    <t>SIME MATHIEU</t>
  </si>
  <si>
    <t>PARC NATIONAL</t>
  </si>
  <si>
    <t>SIME PIERRE</t>
  </si>
  <si>
    <t>TECHNICIEN DE SANTE RETRAITE</t>
  </si>
  <si>
    <t>TCHOUAMOU JEAN PAUL</t>
  </si>
  <si>
    <t>TCHOUAMOU MATHIEU</t>
  </si>
  <si>
    <t>OFFICIER SUPERIEUR</t>
  </si>
  <si>
    <t>TCHOUANTE FRANCOIS</t>
  </si>
  <si>
    <t>TCHOUTOU NANA CLAUDE</t>
  </si>
  <si>
    <t>NKOL FOULOU</t>
  </si>
  <si>
    <t>TIEYAM ERNEST</t>
  </si>
  <si>
    <t>INGENIEUR ELECTRONICIEN</t>
  </si>
  <si>
    <t>BASTOS</t>
  </si>
  <si>
    <t>TUGMA PIERRE LOTI</t>
  </si>
  <si>
    <t>PROFESSEUR DES LYCEES RETRAITE</t>
  </si>
  <si>
    <t>YEPMOU JEAN JACQUES</t>
  </si>
  <si>
    <t>ADMINISTRATEUR CIVIL</t>
  </si>
  <si>
    <t>MENDONG (NKOLZIE)</t>
  </si>
  <si>
    <t>YOUMBI EMMANUEL</t>
  </si>
  <si>
    <t>PROFESSEUR DES UNIVERSITES</t>
  </si>
  <si>
    <t>MENDONG (GUINNESS)</t>
  </si>
  <si>
    <t>AS201601</t>
  </si>
  <si>
    <t>AS201602</t>
  </si>
  <si>
    <t>AS201603</t>
  </si>
  <si>
    <t>AS201604</t>
  </si>
  <si>
    <t>AS201605</t>
  </si>
  <si>
    <t>AS201606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</si>
  <si>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</si>
  <si>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</si>
  <si>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</si>
  <si>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</si>
  <si>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</si>
  <si>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</si>
  <si>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</si>
  <si>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</si>
  <si>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</si>
  <si>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</si>
  <si>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</si>
  <si>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</si>
  <si>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</si>
  <si>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</si>
  <si>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</si>
  <si>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</si>
  <si>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</si>
  <si>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</si>
  <si>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</si>
  <si>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</si>
  <si>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</si>
  <si>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</si>
  <si>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</si>
  <si>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</si>
  <si>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</si>
  <si>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</si>
  <si>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</si>
  <si>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</si>
  <si>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</si>
  <si>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</si>
  <si>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</si>
  <si>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</si>
  <si>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</si>
  <si>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</si>
  <si>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</si>
  <si>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</si>
  <si>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</si>
  <si>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</si>
  <si>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</si>
  <si>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NOM ET PRENOM</t>
  </si>
  <si>
    <t>MATRICULE</t>
  </si>
  <si>
    <t>ANNEE</t>
  </si>
  <si>
    <t>2016/2017</t>
  </si>
  <si>
    <t>TOTAL</t>
  </si>
  <si>
    <t>ASSOCIATION</t>
  </si>
  <si>
    <t>20 000</t>
  </si>
  <si>
    <t xml:space="preserve">TONTINE </t>
  </si>
  <si>
    <t>PRÊT</t>
  </si>
  <si>
    <t>REMBOURSEMENT</t>
  </si>
  <si>
    <t>INTERET ACHAT</t>
  </si>
  <si>
    <t>DATE ACHAT</t>
  </si>
  <si>
    <t>INTERET PRÊT</t>
  </si>
  <si>
    <t>STATUT PRÊT</t>
  </si>
  <si>
    <t>OK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</si>
</sst>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7" fontId="0" fillId="0" borderId="6" xfId="0" applyNumberFormat="1" applyBorder="1"/>
    <xf numFmtId="0" fontId="0" fillId="0" borderId="7" xfId="0" applyBorder="1"/>
    <xf numFmtId="0" fontId="0" fillId="0" borderId="8" xfId="0" applyBorder="1"/>
    <xf numFmtId="17" fontId="0" fillId="0" borderId="9" xfId="0" applyNumberFormat="1" applyBorder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3" fontId="2" fillId="0" borderId="0" xfId="0" applyNumberFormat="1" applyFont="1" applyAlignment="1">
      <alignment wrapText="1"/>
    </xf>
    <xf numFmtId="17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4" fillId="0" borderId="0" xfId="0" applyNumberFormat="1" applyFont="1"/>
    <xf numFmtId="17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3" fontId="2" fillId="0" borderId="0" xfId="0" applyNumberFormat="1" applyFont="1"/>
    <xf numFmtId="0" fontId="0" fillId="0" borderId="0" xfId="0" applyAlignment="1">
      <alignment horizontal="center"/>
    </xf>
    <xf numFmtId="17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opLeftCell="A34" workbookViewId="0">
      <selection activeCell="A9" sqref="A9:XFD9"/>
    </sheetView>
  </sheetViews>
  <sheetFormatPr baseColWidth="10" defaultRowHeight="15"/>
  <cols>
    <col min="2" max="2" width="27.140625" bestFit="1" customWidth="1"/>
    <col min="3" max="3" width="29.5703125" bestFit="1" customWidth="1"/>
    <col min="4" max="4" width="15.28515625" bestFit="1" customWidth="1"/>
    <col min="5" max="5" width="14.140625" customWidth="1"/>
    <col min="6" max="6" width="10.85546875" bestFit="1" customWidth="1"/>
    <col min="7" max="7" width="21.7109375" bestFit="1" customWidth="1"/>
    <col min="8" max="8" width="15.85546875" bestFit="1" customWidth="1"/>
  </cols>
  <sheetData>
    <row r="1" spans="1:8" ht="18.75">
      <c r="A1" s="2" t="s">
        <v>6</v>
      </c>
    </row>
    <row r="2" spans="1:8" ht="18.75">
      <c r="A2" s="2" t="s">
        <v>7</v>
      </c>
    </row>
    <row r="3" spans="1:8" ht="19.5" thickBot="1">
      <c r="A3" s="2"/>
    </row>
    <row r="4" spans="1:8" ht="15.75" thickTop="1">
      <c r="A4" s="3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5" t="s">
        <v>15</v>
      </c>
    </row>
    <row r="5" spans="1:8">
      <c r="A5" s="6" t="s">
        <v>116</v>
      </c>
      <c r="B5" s="7" t="s">
        <v>16</v>
      </c>
      <c r="C5" s="7" t="s">
        <v>17</v>
      </c>
      <c r="D5" s="7"/>
      <c r="E5" s="7">
        <v>677841881</v>
      </c>
      <c r="F5" s="7"/>
      <c r="G5" s="7" t="s">
        <v>18</v>
      </c>
      <c r="H5" s="8">
        <v>42887</v>
      </c>
    </row>
    <row r="6" spans="1:8">
      <c r="A6" s="6" t="s">
        <v>117</v>
      </c>
      <c r="B6" s="7" t="s">
        <v>19</v>
      </c>
      <c r="C6" s="7" t="s">
        <v>20</v>
      </c>
      <c r="D6" s="7"/>
      <c r="E6" s="7">
        <v>677704694</v>
      </c>
      <c r="F6" s="7"/>
      <c r="G6" s="7" t="s">
        <v>21</v>
      </c>
      <c r="H6" s="8">
        <v>43191</v>
      </c>
    </row>
    <row r="7" spans="1:8">
      <c r="A7" s="6" t="s">
        <v>118</v>
      </c>
      <c r="B7" s="7" t="s">
        <v>22</v>
      </c>
      <c r="C7" s="7" t="s">
        <v>20</v>
      </c>
      <c r="D7" s="7"/>
      <c r="E7" s="7">
        <v>677881912</v>
      </c>
      <c r="F7" s="7"/>
      <c r="G7" s="7" t="s">
        <v>23</v>
      </c>
      <c r="H7" s="8">
        <v>43466</v>
      </c>
    </row>
    <row r="8" spans="1:8">
      <c r="A8" s="6" t="s">
        <v>119</v>
      </c>
      <c r="B8" s="7" t="s">
        <v>24</v>
      </c>
      <c r="C8" s="7" t="s">
        <v>25</v>
      </c>
      <c r="D8" s="7"/>
      <c r="E8" s="7">
        <v>677986676</v>
      </c>
      <c r="F8" s="7"/>
      <c r="G8" s="7" t="s">
        <v>26</v>
      </c>
      <c r="H8" s="8">
        <v>43132</v>
      </c>
    </row>
    <row r="9" spans="1:8">
      <c r="A9" s="6" t="s">
        <v>120</v>
      </c>
      <c r="B9" s="7" t="s">
        <v>27</v>
      </c>
      <c r="C9" s="7" t="s">
        <v>28</v>
      </c>
      <c r="D9" s="7"/>
      <c r="E9" s="7">
        <v>675250451</v>
      </c>
      <c r="F9" s="7"/>
      <c r="G9" s="7" t="s">
        <v>26</v>
      </c>
      <c r="H9" s="8">
        <v>43313</v>
      </c>
    </row>
    <row r="10" spans="1:8">
      <c r="A10" s="6" t="s">
        <v>121</v>
      </c>
      <c r="B10" s="7" t="s">
        <v>29</v>
      </c>
      <c r="C10" s="7" t="s">
        <v>30</v>
      </c>
      <c r="D10" s="7"/>
      <c r="E10" s="7">
        <v>697103557</v>
      </c>
      <c r="F10" s="7"/>
      <c r="G10" s="7" t="s">
        <v>31</v>
      </c>
      <c r="H10" s="8">
        <v>42401</v>
      </c>
    </row>
    <row r="11" spans="1:8">
      <c r="A11" s="6" t="s">
        <v>122</v>
      </c>
      <c r="B11" s="7" t="s">
        <v>32</v>
      </c>
      <c r="C11" s="7" t="s">
        <v>33</v>
      </c>
      <c r="D11" s="7"/>
      <c r="E11" s="7">
        <v>677501239</v>
      </c>
      <c r="F11" s="7">
        <v>699324095</v>
      </c>
      <c r="G11" s="7" t="s">
        <v>34</v>
      </c>
      <c r="H11" s="8">
        <v>43647</v>
      </c>
    </row>
    <row r="12" spans="1:8">
      <c r="A12" s="6" t="s">
        <v>123</v>
      </c>
      <c r="B12" s="7" t="s">
        <v>35</v>
      </c>
      <c r="C12" s="7" t="s">
        <v>36</v>
      </c>
      <c r="D12" s="7"/>
      <c r="E12" s="7">
        <v>699908065</v>
      </c>
      <c r="F12" s="7"/>
      <c r="G12" s="7" t="s">
        <v>37</v>
      </c>
      <c r="H12" s="8">
        <v>42979</v>
      </c>
    </row>
    <row r="13" spans="1:8">
      <c r="A13" s="6" t="s">
        <v>124</v>
      </c>
      <c r="B13" s="7" t="s">
        <v>38</v>
      </c>
      <c r="C13" s="7" t="s">
        <v>39</v>
      </c>
      <c r="D13" s="7"/>
      <c r="E13" s="7">
        <v>677910278</v>
      </c>
      <c r="F13" s="7"/>
      <c r="G13" s="7" t="s">
        <v>40</v>
      </c>
      <c r="H13" s="8">
        <v>43344</v>
      </c>
    </row>
    <row r="14" spans="1:8">
      <c r="A14" s="6" t="s">
        <v>125</v>
      </c>
      <c r="B14" s="7" t="s">
        <v>41</v>
      </c>
      <c r="C14" s="7" t="s">
        <v>42</v>
      </c>
      <c r="D14" s="7"/>
      <c r="E14" s="7">
        <v>694468080</v>
      </c>
      <c r="F14" s="7"/>
      <c r="G14" s="7" t="s">
        <v>34</v>
      </c>
      <c r="H14" s="8">
        <v>42583</v>
      </c>
    </row>
    <row r="15" spans="1:8">
      <c r="A15" s="6" t="s">
        <v>126</v>
      </c>
      <c r="B15" s="7" t="s">
        <v>43</v>
      </c>
      <c r="C15" s="7" t="s">
        <v>44</v>
      </c>
      <c r="D15" s="7"/>
      <c r="E15" s="7">
        <v>675291170</v>
      </c>
      <c r="F15" s="7"/>
      <c r="G15" s="7" t="s">
        <v>45</v>
      </c>
      <c r="H15" s="8">
        <v>43009</v>
      </c>
    </row>
    <row r="16" spans="1:8">
      <c r="A16" s="6" t="s">
        <v>127</v>
      </c>
      <c r="B16" s="7" t="s">
        <v>46</v>
      </c>
      <c r="C16" s="7" t="s">
        <v>47</v>
      </c>
      <c r="D16" s="7"/>
      <c r="E16" s="7">
        <v>699956355</v>
      </c>
      <c r="F16" s="7"/>
      <c r="G16" s="7" t="s">
        <v>48</v>
      </c>
      <c r="H16" s="8">
        <v>42614</v>
      </c>
    </row>
    <row r="17" spans="1:8">
      <c r="A17" s="6" t="s">
        <v>128</v>
      </c>
      <c r="B17" s="7" t="s">
        <v>49</v>
      </c>
      <c r="C17" s="7" t="s">
        <v>20</v>
      </c>
      <c r="D17" s="7"/>
      <c r="E17" s="7">
        <v>677053815</v>
      </c>
      <c r="F17" s="7"/>
      <c r="G17" s="7" t="s">
        <v>34</v>
      </c>
      <c r="H17" s="8">
        <v>43374</v>
      </c>
    </row>
    <row r="18" spans="1:8">
      <c r="A18" s="6" t="s">
        <v>129</v>
      </c>
      <c r="B18" s="7" t="s">
        <v>50</v>
      </c>
      <c r="C18" s="7" t="s">
        <v>51</v>
      </c>
      <c r="D18" s="7"/>
      <c r="E18" s="7">
        <v>699528700</v>
      </c>
      <c r="F18" s="7"/>
      <c r="G18" s="7" t="s">
        <v>52</v>
      </c>
      <c r="H18" s="8">
        <v>43405</v>
      </c>
    </row>
    <row r="19" spans="1:8">
      <c r="A19" s="6" t="s">
        <v>130</v>
      </c>
      <c r="B19" s="7" t="s">
        <v>53</v>
      </c>
      <c r="C19" s="7" t="s">
        <v>54</v>
      </c>
      <c r="D19" s="7"/>
      <c r="E19" s="7">
        <v>699843118</v>
      </c>
      <c r="F19" s="7"/>
      <c r="G19" s="7" t="s">
        <v>31</v>
      </c>
      <c r="H19" s="8">
        <v>42522</v>
      </c>
    </row>
    <row r="20" spans="1:8">
      <c r="A20" s="6" t="s">
        <v>131</v>
      </c>
      <c r="B20" s="7" t="s">
        <v>55</v>
      </c>
      <c r="C20" s="7" t="s">
        <v>20</v>
      </c>
      <c r="D20" s="7"/>
      <c r="E20" s="7">
        <v>699335584</v>
      </c>
      <c r="F20" s="7"/>
      <c r="G20" s="7" t="s">
        <v>56</v>
      </c>
      <c r="H20" s="8">
        <v>42795</v>
      </c>
    </row>
    <row r="21" spans="1:8">
      <c r="A21" s="6" t="s">
        <v>132</v>
      </c>
      <c r="B21" s="7" t="s">
        <v>57</v>
      </c>
      <c r="C21" s="7" t="s">
        <v>58</v>
      </c>
      <c r="D21" s="7"/>
      <c r="E21" s="7">
        <v>675836725</v>
      </c>
      <c r="F21" s="7"/>
      <c r="G21" s="7" t="s">
        <v>48</v>
      </c>
      <c r="H21" s="8">
        <v>42370</v>
      </c>
    </row>
    <row r="22" spans="1:8">
      <c r="A22" s="6" t="s">
        <v>133</v>
      </c>
      <c r="B22" s="7" t="s">
        <v>59</v>
      </c>
      <c r="C22" s="7" t="s">
        <v>60</v>
      </c>
      <c r="D22" s="7"/>
      <c r="E22" s="7">
        <v>696564847</v>
      </c>
      <c r="F22" s="7"/>
      <c r="G22" s="7" t="s">
        <v>34</v>
      </c>
      <c r="H22" s="8">
        <v>43617</v>
      </c>
    </row>
    <row r="23" spans="1:8">
      <c r="A23" s="6" t="s">
        <v>134</v>
      </c>
      <c r="B23" s="7" t="s">
        <v>61</v>
      </c>
      <c r="C23" s="7" t="s">
        <v>62</v>
      </c>
      <c r="D23" s="7"/>
      <c r="E23" s="7">
        <v>677735778</v>
      </c>
      <c r="F23" s="7"/>
      <c r="G23" s="7" t="s">
        <v>23</v>
      </c>
      <c r="H23" s="8">
        <v>42644</v>
      </c>
    </row>
    <row r="24" spans="1:8">
      <c r="A24" s="6" t="s">
        <v>135</v>
      </c>
      <c r="B24" s="7" t="s">
        <v>63</v>
      </c>
      <c r="C24" s="7" t="s">
        <v>64</v>
      </c>
      <c r="D24" s="7"/>
      <c r="E24" s="7">
        <v>677648306</v>
      </c>
      <c r="F24" s="7"/>
      <c r="G24" s="7" t="s">
        <v>26</v>
      </c>
      <c r="H24" s="8">
        <v>43040</v>
      </c>
    </row>
    <row r="25" spans="1:8">
      <c r="A25" s="6" t="s">
        <v>136</v>
      </c>
      <c r="B25" s="7" t="s">
        <v>65</v>
      </c>
      <c r="C25" s="7" t="s">
        <v>66</v>
      </c>
      <c r="D25" s="7"/>
      <c r="E25" s="7">
        <v>693055118</v>
      </c>
      <c r="F25" s="7"/>
      <c r="G25" s="7" t="s">
        <v>48</v>
      </c>
      <c r="H25" s="8">
        <v>43678</v>
      </c>
    </row>
    <row r="26" spans="1:8">
      <c r="A26" s="6" t="s">
        <v>137</v>
      </c>
      <c r="B26" s="7" t="s">
        <v>67</v>
      </c>
      <c r="C26" s="7" t="s">
        <v>47</v>
      </c>
      <c r="D26" s="7"/>
      <c r="E26" s="7">
        <v>677553702</v>
      </c>
      <c r="F26" s="7"/>
      <c r="G26" s="7" t="s">
        <v>56</v>
      </c>
      <c r="H26" s="8">
        <v>42705</v>
      </c>
    </row>
    <row r="27" spans="1:8">
      <c r="A27" s="6" t="s">
        <v>138</v>
      </c>
      <c r="B27" s="7" t="s">
        <v>68</v>
      </c>
      <c r="C27" s="7" t="s">
        <v>69</v>
      </c>
      <c r="D27" s="7"/>
      <c r="E27" s="7">
        <v>699358350</v>
      </c>
      <c r="F27" s="7"/>
      <c r="G27" s="7" t="s">
        <v>70</v>
      </c>
      <c r="H27" s="8">
        <v>42767</v>
      </c>
    </row>
    <row r="28" spans="1:8">
      <c r="A28" s="6" t="s">
        <v>139</v>
      </c>
      <c r="B28" s="7" t="s">
        <v>71</v>
      </c>
      <c r="C28" s="7" t="s">
        <v>72</v>
      </c>
      <c r="D28" s="7"/>
      <c r="E28" s="7">
        <v>675249207</v>
      </c>
      <c r="F28" s="7"/>
      <c r="G28" s="7" t="s">
        <v>73</v>
      </c>
      <c r="H28" s="8">
        <v>43070</v>
      </c>
    </row>
    <row r="29" spans="1:8">
      <c r="A29" s="6" t="s">
        <v>140</v>
      </c>
      <c r="B29" s="7" t="s">
        <v>74</v>
      </c>
      <c r="C29" s="7" t="s">
        <v>75</v>
      </c>
      <c r="D29" s="7"/>
      <c r="E29" s="7">
        <v>677766503</v>
      </c>
      <c r="F29" s="7"/>
      <c r="G29" s="7" t="s">
        <v>26</v>
      </c>
      <c r="H29" s="8">
        <v>42491</v>
      </c>
    </row>
    <row r="30" spans="1:8">
      <c r="A30" s="6" t="s">
        <v>141</v>
      </c>
      <c r="B30" s="7" t="s">
        <v>76</v>
      </c>
      <c r="C30" s="7" t="s">
        <v>77</v>
      </c>
      <c r="D30" s="7"/>
      <c r="E30" s="7">
        <v>677068360</v>
      </c>
      <c r="F30" s="7"/>
      <c r="G30" s="7" t="s">
        <v>78</v>
      </c>
      <c r="H30" s="8">
        <v>43101</v>
      </c>
    </row>
    <row r="31" spans="1:8">
      <c r="A31" s="6" t="s">
        <v>142</v>
      </c>
      <c r="B31" s="7" t="s">
        <v>79</v>
      </c>
      <c r="C31" s="7" t="s">
        <v>20</v>
      </c>
      <c r="D31" s="7"/>
      <c r="E31" s="7">
        <v>670909070</v>
      </c>
      <c r="F31" s="7"/>
      <c r="G31" s="7" t="s">
        <v>80</v>
      </c>
      <c r="H31" s="8">
        <v>43586</v>
      </c>
    </row>
    <row r="32" spans="1:8">
      <c r="A32" s="6" t="s">
        <v>143</v>
      </c>
      <c r="B32" s="7" t="s">
        <v>81</v>
      </c>
      <c r="C32" s="7" t="s">
        <v>82</v>
      </c>
      <c r="D32" s="7"/>
      <c r="E32" s="7">
        <v>676659191</v>
      </c>
      <c r="F32" s="7"/>
      <c r="G32" s="7" t="s">
        <v>80</v>
      </c>
      <c r="H32" s="8">
        <v>43497</v>
      </c>
    </row>
    <row r="33" spans="1:8">
      <c r="A33" s="6" t="s">
        <v>144</v>
      </c>
      <c r="B33" s="7" t="s">
        <v>83</v>
      </c>
      <c r="C33" s="7" t="s">
        <v>20</v>
      </c>
      <c r="D33" s="7"/>
      <c r="E33" s="7">
        <v>677575366</v>
      </c>
      <c r="F33" s="7"/>
      <c r="G33" s="7" t="s">
        <v>84</v>
      </c>
      <c r="H33" s="8">
        <v>42917</v>
      </c>
    </row>
    <row r="34" spans="1:8">
      <c r="A34" s="6" t="s">
        <v>145</v>
      </c>
      <c r="B34" s="7" t="s">
        <v>85</v>
      </c>
      <c r="C34" s="7" t="s">
        <v>20</v>
      </c>
      <c r="D34" s="7"/>
      <c r="E34" s="7">
        <v>677377251</v>
      </c>
      <c r="F34" s="7"/>
      <c r="G34" s="7" t="s">
        <v>56</v>
      </c>
      <c r="H34" s="8">
        <v>43282</v>
      </c>
    </row>
    <row r="35" spans="1:8">
      <c r="A35" s="6" t="s">
        <v>146</v>
      </c>
      <c r="B35" s="7" t="s">
        <v>86</v>
      </c>
      <c r="C35" s="7" t="s">
        <v>87</v>
      </c>
      <c r="D35" s="7"/>
      <c r="E35" s="7">
        <v>677867173</v>
      </c>
      <c r="F35" s="7"/>
      <c r="G35" s="7" t="s">
        <v>31</v>
      </c>
      <c r="H35" s="8">
        <v>42461</v>
      </c>
    </row>
    <row r="36" spans="1:8">
      <c r="A36" s="6" t="s">
        <v>147</v>
      </c>
      <c r="B36" s="7" t="s">
        <v>88</v>
      </c>
      <c r="C36" s="7" t="s">
        <v>89</v>
      </c>
      <c r="D36" s="7"/>
      <c r="E36" s="7">
        <v>699995086</v>
      </c>
      <c r="F36" s="7"/>
      <c r="G36" s="7" t="s">
        <v>90</v>
      </c>
      <c r="H36" s="8">
        <v>43525</v>
      </c>
    </row>
    <row r="37" spans="1:8">
      <c r="A37" s="6" t="s">
        <v>148</v>
      </c>
      <c r="B37" s="7" t="s">
        <v>91</v>
      </c>
      <c r="C37" s="7" t="s">
        <v>20</v>
      </c>
      <c r="D37" s="7"/>
      <c r="E37" s="7">
        <v>677054646</v>
      </c>
      <c r="F37" s="7"/>
      <c r="G37" s="7" t="s">
        <v>21</v>
      </c>
      <c r="H37" s="8">
        <v>43160</v>
      </c>
    </row>
    <row r="38" spans="1:8">
      <c r="A38" s="6" t="s">
        <v>149</v>
      </c>
      <c r="B38" s="7" t="s">
        <v>92</v>
      </c>
      <c r="C38" s="7" t="s">
        <v>20</v>
      </c>
      <c r="D38" s="7"/>
      <c r="E38" s="7">
        <v>699549665</v>
      </c>
      <c r="F38" s="7"/>
      <c r="G38" s="7" t="s">
        <v>93</v>
      </c>
      <c r="H38" s="8">
        <v>43556</v>
      </c>
    </row>
    <row r="39" spans="1:8">
      <c r="A39" s="6" t="s">
        <v>150</v>
      </c>
      <c r="B39" s="7" t="s">
        <v>94</v>
      </c>
      <c r="C39" s="7" t="s">
        <v>39</v>
      </c>
      <c r="D39" s="7"/>
      <c r="E39" s="7">
        <v>699350133</v>
      </c>
      <c r="F39" s="7"/>
      <c r="G39" s="7" t="s">
        <v>48</v>
      </c>
      <c r="H39" s="8">
        <v>43435</v>
      </c>
    </row>
    <row r="40" spans="1:8">
      <c r="A40" s="6" t="s">
        <v>151</v>
      </c>
      <c r="B40" s="7" t="s">
        <v>95</v>
      </c>
      <c r="C40" s="7" t="s">
        <v>75</v>
      </c>
      <c r="D40" s="7"/>
      <c r="E40" s="7">
        <v>677477649</v>
      </c>
      <c r="F40" s="7"/>
      <c r="G40" s="7" t="s">
        <v>96</v>
      </c>
      <c r="H40" s="8">
        <v>42948</v>
      </c>
    </row>
    <row r="41" spans="1:8">
      <c r="A41" s="6" t="s">
        <v>152</v>
      </c>
      <c r="B41" s="7" t="s">
        <v>97</v>
      </c>
      <c r="C41" s="7" t="s">
        <v>98</v>
      </c>
      <c r="D41" s="7"/>
      <c r="E41" s="7">
        <v>677546060</v>
      </c>
      <c r="F41" s="7"/>
      <c r="G41" s="7" t="s">
        <v>40</v>
      </c>
      <c r="H41" s="8">
        <v>42736</v>
      </c>
    </row>
    <row r="42" spans="1:8">
      <c r="A42" s="6" t="s">
        <v>153</v>
      </c>
      <c r="B42" s="7" t="s">
        <v>99</v>
      </c>
      <c r="C42" s="7" t="s">
        <v>44</v>
      </c>
      <c r="D42" s="7"/>
      <c r="E42" s="7">
        <v>677780149</v>
      </c>
      <c r="F42" s="7"/>
      <c r="G42" s="7" t="s">
        <v>34</v>
      </c>
      <c r="H42" s="8">
        <v>42552</v>
      </c>
    </row>
    <row r="43" spans="1:8">
      <c r="A43" s="6" t="s">
        <v>154</v>
      </c>
      <c r="B43" s="7" t="s">
        <v>100</v>
      </c>
      <c r="C43" s="7" t="s">
        <v>101</v>
      </c>
      <c r="D43" s="7"/>
      <c r="E43" s="7">
        <v>699778906</v>
      </c>
      <c r="F43" s="7"/>
      <c r="G43" s="7" t="s">
        <v>80</v>
      </c>
      <c r="H43" s="8">
        <v>43709</v>
      </c>
    </row>
    <row r="44" spans="1:8">
      <c r="A44" s="6" t="s">
        <v>155</v>
      </c>
      <c r="B44" s="7" t="s">
        <v>102</v>
      </c>
      <c r="C44" s="7" t="s">
        <v>66</v>
      </c>
      <c r="D44" s="7"/>
      <c r="E44" s="7">
        <v>678639806</v>
      </c>
      <c r="F44" s="7"/>
      <c r="G44" s="7" t="s">
        <v>80</v>
      </c>
      <c r="H44" s="8">
        <v>43252</v>
      </c>
    </row>
    <row r="45" spans="1:8">
      <c r="A45" s="6" t="s">
        <v>156</v>
      </c>
      <c r="B45" s="7" t="s">
        <v>103</v>
      </c>
      <c r="C45" s="7" t="s">
        <v>20</v>
      </c>
      <c r="D45" s="7"/>
      <c r="E45" s="7">
        <v>677775940</v>
      </c>
      <c r="F45" s="7"/>
      <c r="G45" s="7" t="s">
        <v>104</v>
      </c>
      <c r="H45" s="8">
        <v>43221</v>
      </c>
    </row>
    <row r="46" spans="1:8">
      <c r="A46" s="6" t="s">
        <v>157</v>
      </c>
      <c r="B46" s="7" t="s">
        <v>105</v>
      </c>
      <c r="C46" s="7" t="s">
        <v>106</v>
      </c>
      <c r="D46" s="7"/>
      <c r="E46" s="7">
        <v>677508603</v>
      </c>
      <c r="F46" s="7"/>
      <c r="G46" s="7" t="s">
        <v>107</v>
      </c>
      <c r="H46" s="8">
        <v>42856</v>
      </c>
    </row>
    <row r="47" spans="1:8">
      <c r="A47" s="6" t="s">
        <v>158</v>
      </c>
      <c r="B47" s="7" t="s">
        <v>108</v>
      </c>
      <c r="C47" s="7" t="s">
        <v>109</v>
      </c>
      <c r="D47" s="7"/>
      <c r="E47" s="7">
        <v>677726329</v>
      </c>
      <c r="F47" s="7"/>
      <c r="G47" s="7" t="s">
        <v>31</v>
      </c>
      <c r="H47" s="8">
        <v>42430</v>
      </c>
    </row>
    <row r="48" spans="1:8">
      <c r="A48" s="6" t="s">
        <v>159</v>
      </c>
      <c r="B48" s="7" t="s">
        <v>110</v>
      </c>
      <c r="C48" s="7" t="s">
        <v>111</v>
      </c>
      <c r="D48" s="7"/>
      <c r="E48" s="7">
        <v>699663416</v>
      </c>
      <c r="F48" s="7"/>
      <c r="G48" s="7" t="s">
        <v>112</v>
      </c>
      <c r="H48" s="8">
        <v>42826</v>
      </c>
    </row>
    <row r="49" spans="1:8" ht="15.75" thickBot="1">
      <c r="A49" s="9" t="s">
        <v>160</v>
      </c>
      <c r="B49" s="10" t="s">
        <v>113</v>
      </c>
      <c r="C49" s="10" t="s">
        <v>114</v>
      </c>
      <c r="D49" s="10"/>
      <c r="E49" s="10">
        <v>677547311</v>
      </c>
      <c r="F49" s="10"/>
      <c r="G49" s="10" t="s">
        <v>115</v>
      </c>
      <c r="H49" s="11">
        <v>42675</v>
      </c>
    </row>
    <row r="50" spans="1:8" ht="15.75" thickTop="1"/>
  </sheetData>
  <autoFilter ref="A4:H49"/>
  <pageMargins left="0.31496062992125984" right="0.31496062992125984" top="0.35433070866141736" bottom="0.35433070866141736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2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6" sqref="H6"/>
    </sheetView>
  </sheetViews>
  <sheetFormatPr baseColWidth="10" defaultRowHeight="15"/>
  <cols>
    <col min="1" max="1" width="13.85546875" customWidth="1"/>
    <col min="2" max="2" width="29.5703125" bestFit="1" customWidth="1"/>
    <col min="3" max="3" width="9.85546875" style="1" customWidth="1"/>
    <col min="4" max="4" width="12.5703125" bestFit="1" customWidth="1"/>
    <col min="5" max="5" width="17.5703125" style="17" bestFit="1" customWidth="1"/>
    <col min="6" max="7" width="11.42578125" style="1"/>
    <col min="8" max="8" width="18.140625" style="1" bestFit="1" customWidth="1"/>
    <col min="9" max="9" width="18.140625" customWidth="1"/>
    <col min="10" max="10" width="21.28515625" style="1" bestFit="1" customWidth="1"/>
    <col min="11" max="11" width="19" bestFit="1" customWidth="1"/>
  </cols>
  <sheetData>
    <row r="1" spans="1:11">
      <c r="A1" s="12" t="s">
        <v>166</v>
      </c>
      <c r="B1" s="12" t="s">
        <v>6</v>
      </c>
    </row>
    <row r="2" spans="1:11">
      <c r="A2" s="12" t="s">
        <v>163</v>
      </c>
      <c r="B2" s="12" t="s">
        <v>164</v>
      </c>
    </row>
    <row r="3" spans="1:11">
      <c r="A3" s="12" t="s">
        <v>168</v>
      </c>
      <c r="B3" s="12" t="s">
        <v>167</v>
      </c>
    </row>
    <row r="4" spans="1:11" ht="18">
      <c r="B4" s="16"/>
      <c r="C4" s="24">
        <v>42614</v>
      </c>
      <c r="D4" s="25"/>
      <c r="E4" s="25"/>
      <c r="F4" s="25"/>
      <c r="G4" s="25"/>
      <c r="H4" s="25"/>
      <c r="I4" s="23"/>
    </row>
    <row r="5" spans="1:11" ht="43.5">
      <c r="A5" s="12" t="s">
        <v>162</v>
      </c>
      <c r="B5" s="12" t="s">
        <v>161</v>
      </c>
      <c r="C5" s="15" t="s">
        <v>4</v>
      </c>
      <c r="D5" s="12" t="s">
        <v>5</v>
      </c>
      <c r="E5" s="18" t="s">
        <v>3</v>
      </c>
      <c r="F5" s="22" t="s">
        <v>169</v>
      </c>
      <c r="G5" s="15" t="s">
        <v>173</v>
      </c>
      <c r="H5" s="15" t="s">
        <v>170</v>
      </c>
      <c r="I5" s="15" t="s">
        <v>174</v>
      </c>
      <c r="J5" s="22" t="s">
        <v>171</v>
      </c>
      <c r="K5" s="12" t="s">
        <v>172</v>
      </c>
    </row>
    <row r="6" spans="1:11">
      <c r="A6" s="12" t="s">
        <v>116</v>
      </c>
      <c r="B6" s="12" t="str">
        <f>VLOOKUP(A6,LISTADHERENT!A$5:H$49,2)</f>
        <v>BAKOP ACHILLE</v>
      </c>
      <c r="C6" s="19">
        <f>IF(E6="ECHEC",0,20000)</f>
        <v>0</v>
      </c>
      <c r="D6" s="19">
        <f>IF(E6="ESPECE",1000,0)</f>
        <v>0</v>
      </c>
      <c r="E6" s="18" t="s">
        <v>2</v>
      </c>
      <c r="F6" s="19">
        <v>20000</v>
      </c>
      <c r="G6" s="19">
        <v>1000</v>
      </c>
      <c r="H6" s="19">
        <f>IF(AND(F6&gt;0,I6="OK"),F6+G6,0)</f>
        <v>21000</v>
      </c>
      <c r="I6" t="s">
        <v>175</v>
      </c>
      <c r="J6" s="19"/>
    </row>
    <row r="7" spans="1:11">
      <c r="A7" s="12" t="s">
        <v>117</v>
      </c>
      <c r="B7" s="12" t="str">
        <f>VLOOKUP(A7,LISTADHERENT!A$5:H$49,2)</f>
        <v>BOUTCHOUANG WILLIAM</v>
      </c>
      <c r="C7" s="19">
        <f t="shared" ref="C7:C50" si="0">IF(E7="ECHEC",0,20000)</f>
        <v>0</v>
      </c>
      <c r="D7" s="19">
        <f t="shared" ref="D7:D50" si="1">IF(E7="ESPECE",1000,0)</f>
        <v>0</v>
      </c>
      <c r="E7" s="18" t="s">
        <v>2</v>
      </c>
      <c r="F7" s="19"/>
      <c r="G7" s="19"/>
      <c r="H7" s="19">
        <f t="shared" ref="H7:H50" si="2">IF(AND(F7&gt;0,I7="OK"),F7+G7,0)</f>
        <v>0</v>
      </c>
      <c r="J7" s="19"/>
    </row>
    <row r="8" spans="1:11">
      <c r="A8" s="12" t="s">
        <v>118</v>
      </c>
      <c r="B8" s="12" t="str">
        <f>VLOOKUP(A8,LISTADHERENT!A$5:H$49,2)</f>
        <v>CHINGUE FABRICE</v>
      </c>
      <c r="C8" s="19">
        <f t="shared" si="0"/>
        <v>0</v>
      </c>
      <c r="D8" s="19">
        <f t="shared" si="1"/>
        <v>0</v>
      </c>
      <c r="E8" s="18" t="s">
        <v>2</v>
      </c>
      <c r="F8" s="19"/>
      <c r="G8" s="19"/>
      <c r="H8" s="19">
        <f t="shared" si="2"/>
        <v>0</v>
      </c>
      <c r="J8" s="19"/>
    </row>
    <row r="9" spans="1:11">
      <c r="A9" s="12" t="s">
        <v>119</v>
      </c>
      <c r="B9" s="12" t="str">
        <f>VLOOKUP(A9,LISTADHERENT!A$5:H$49,2)</f>
        <v xml:space="preserve">DJOMO JEAN PAUL </v>
      </c>
      <c r="C9" s="19">
        <f t="shared" si="0"/>
        <v>0</v>
      </c>
      <c r="D9" s="19">
        <f t="shared" si="1"/>
        <v>0</v>
      </c>
      <c r="E9" s="18" t="s">
        <v>2</v>
      </c>
      <c r="F9" s="19"/>
      <c r="G9" s="19"/>
      <c r="H9" s="19">
        <f t="shared" si="2"/>
        <v>0</v>
      </c>
      <c r="J9" s="19"/>
    </row>
    <row r="10" spans="1:11">
      <c r="A10" s="12" t="s">
        <v>120</v>
      </c>
      <c r="B10" s="12" t="str">
        <f>VLOOKUP(A10,LISTADHERENT!A$5:H$49,2)</f>
        <v>DJOUKWE GUY</v>
      </c>
      <c r="C10" s="19">
        <f t="shared" si="0"/>
        <v>0</v>
      </c>
      <c r="D10" s="19">
        <f t="shared" si="1"/>
        <v>0</v>
      </c>
      <c r="E10" s="18" t="s">
        <v>2</v>
      </c>
      <c r="F10" s="19"/>
      <c r="G10" s="19"/>
      <c r="H10" s="19">
        <f t="shared" si="2"/>
        <v>0</v>
      </c>
      <c r="J10" s="19"/>
    </row>
    <row r="11" spans="1:11">
      <c r="A11" s="12" t="s">
        <v>121</v>
      </c>
      <c r="B11" s="12" t="str">
        <f>VLOOKUP(A11,LISTADHERENT!A$5:H$49,2)</f>
        <v>DJOUNKEP SAMUEL</v>
      </c>
      <c r="C11" s="19">
        <f t="shared" si="0"/>
        <v>20000</v>
      </c>
      <c r="D11" s="19">
        <f t="shared" si="1"/>
        <v>0</v>
      </c>
      <c r="E11" s="18" t="s">
        <v>1</v>
      </c>
      <c r="F11" s="19"/>
      <c r="G11" s="19"/>
      <c r="H11" s="19">
        <f t="shared" si="2"/>
        <v>0</v>
      </c>
      <c r="J11" s="19"/>
    </row>
    <row r="12" spans="1:11">
      <c r="A12" s="12" t="s">
        <v>122</v>
      </c>
      <c r="B12" s="12" t="str">
        <f>VLOOKUP(A12,LISTADHERENT!A$5:H$49,2)</f>
        <v>DJUOMBESSY ANTOINE</v>
      </c>
      <c r="C12" s="19">
        <f t="shared" si="0"/>
        <v>20000</v>
      </c>
      <c r="D12" s="19">
        <f t="shared" si="1"/>
        <v>0</v>
      </c>
      <c r="E12" s="18" t="s">
        <v>1</v>
      </c>
      <c r="F12" s="19"/>
      <c r="G12" s="19"/>
      <c r="H12" s="19">
        <f t="shared" si="2"/>
        <v>0</v>
      </c>
      <c r="J12" s="19"/>
    </row>
    <row r="13" spans="1:11">
      <c r="A13" s="12" t="s">
        <v>123</v>
      </c>
      <c r="B13" s="12" t="str">
        <f>VLOOKUP(A13,LISTADHERENT!A$5:H$49,2)</f>
        <v>DONHOU DAVID</v>
      </c>
      <c r="C13" s="19">
        <f t="shared" si="0"/>
        <v>20000</v>
      </c>
      <c r="D13" s="19">
        <f t="shared" si="1"/>
        <v>0</v>
      </c>
      <c r="E13" s="18" t="s">
        <v>1</v>
      </c>
      <c r="F13" s="19"/>
      <c r="G13" s="19"/>
      <c r="H13" s="19">
        <f t="shared" si="2"/>
        <v>0</v>
      </c>
      <c r="J13" s="19"/>
    </row>
    <row r="14" spans="1:11">
      <c r="A14" s="12" t="s">
        <v>124</v>
      </c>
      <c r="B14" s="12" t="str">
        <f>VLOOKUP(A14,LISTADHERENT!A$5:H$49,2)</f>
        <v>FOTSO THOMAS</v>
      </c>
      <c r="C14" s="19">
        <f t="shared" si="0"/>
        <v>20000</v>
      </c>
      <c r="D14" s="19">
        <f t="shared" si="1"/>
        <v>0</v>
      </c>
      <c r="E14" s="18" t="s">
        <v>1</v>
      </c>
      <c r="F14" s="19"/>
      <c r="G14" s="19"/>
      <c r="H14" s="19">
        <f t="shared" si="2"/>
        <v>0</v>
      </c>
      <c r="J14" s="19"/>
    </row>
    <row r="15" spans="1:11">
      <c r="A15" s="12" t="s">
        <v>125</v>
      </c>
      <c r="B15" s="12" t="str">
        <f>VLOOKUP(A15,LISTADHERENT!A$5:H$49,2)</f>
        <v>HENGUE PAUL OMER</v>
      </c>
      <c r="C15" s="19">
        <f t="shared" si="0"/>
        <v>20000</v>
      </c>
      <c r="D15" s="19">
        <f t="shared" si="1"/>
        <v>0</v>
      </c>
      <c r="E15" s="18" t="s">
        <v>1</v>
      </c>
      <c r="F15" s="19"/>
      <c r="G15" s="19"/>
      <c r="H15" s="19">
        <f t="shared" si="2"/>
        <v>0</v>
      </c>
      <c r="J15" s="19"/>
    </row>
    <row r="16" spans="1:11">
      <c r="A16" s="12" t="s">
        <v>126</v>
      </c>
      <c r="B16" s="12" t="str">
        <f>VLOOKUP(A16,LISTADHERENT!A$5:H$49,2)</f>
        <v>HODIEP JULES</v>
      </c>
      <c r="C16" s="19">
        <f t="shared" si="0"/>
        <v>20000</v>
      </c>
      <c r="D16" s="19">
        <f t="shared" si="1"/>
        <v>0</v>
      </c>
      <c r="E16" s="18" t="s">
        <v>1</v>
      </c>
      <c r="F16" s="19"/>
      <c r="G16" s="19"/>
      <c r="H16" s="19">
        <f t="shared" si="2"/>
        <v>0</v>
      </c>
      <c r="J16" s="19"/>
    </row>
    <row r="17" spans="1:10">
      <c r="A17" s="12" t="s">
        <v>127</v>
      </c>
      <c r="B17" s="12" t="str">
        <f>VLOOKUP(A17,LISTADHERENT!A$5:H$49,2)</f>
        <v>HOTCHO BENJAMIN</v>
      </c>
      <c r="C17" s="19">
        <f t="shared" si="0"/>
        <v>0</v>
      </c>
      <c r="D17" s="19">
        <f t="shared" si="1"/>
        <v>0</v>
      </c>
      <c r="E17" s="18" t="s">
        <v>2</v>
      </c>
      <c r="F17" s="19"/>
      <c r="G17" s="19"/>
      <c r="H17" s="19">
        <f t="shared" si="2"/>
        <v>0</v>
      </c>
      <c r="J17" s="19"/>
    </row>
    <row r="18" spans="1:10">
      <c r="A18" s="12" t="s">
        <v>128</v>
      </c>
      <c r="B18" s="12" t="str">
        <f>VLOOKUP(A18,LISTADHERENT!A$5:H$49,2)</f>
        <v>KEPHE DAVID</v>
      </c>
      <c r="C18" s="19">
        <f t="shared" si="0"/>
        <v>20000</v>
      </c>
      <c r="D18" s="19">
        <f t="shared" si="1"/>
        <v>0</v>
      </c>
      <c r="E18" s="18" t="s">
        <v>1</v>
      </c>
      <c r="F18" s="19"/>
      <c r="G18" s="19"/>
      <c r="H18" s="19">
        <f t="shared" si="2"/>
        <v>0</v>
      </c>
      <c r="J18" s="19"/>
    </row>
    <row r="19" spans="1:10">
      <c r="A19" s="12" t="s">
        <v>129</v>
      </c>
      <c r="B19" s="12" t="str">
        <f>VLOOKUP(A19,LISTADHERENT!A$5:H$49,2)</f>
        <v>KEPSEU FRANCIS</v>
      </c>
      <c r="C19" s="19">
        <f t="shared" si="0"/>
        <v>0</v>
      </c>
      <c r="D19" s="19">
        <f t="shared" si="1"/>
        <v>0</v>
      </c>
      <c r="E19" s="18" t="s">
        <v>2</v>
      </c>
      <c r="F19" s="19"/>
      <c r="G19" s="19"/>
      <c r="H19" s="19">
        <f t="shared" si="2"/>
        <v>0</v>
      </c>
      <c r="J19" s="19"/>
    </row>
    <row r="20" spans="1:10">
      <c r="A20" s="12" t="s">
        <v>130</v>
      </c>
      <c r="B20" s="12" t="str">
        <f>VLOOKUP(A20,LISTADHERENT!A$5:H$49,2)</f>
        <v>KEPSEU HENANG RENE</v>
      </c>
      <c r="C20" s="19">
        <f t="shared" si="0"/>
        <v>0</v>
      </c>
      <c r="D20" s="19">
        <f t="shared" si="1"/>
        <v>0</v>
      </c>
      <c r="E20" s="18" t="s">
        <v>2</v>
      </c>
      <c r="F20" s="19"/>
      <c r="G20" s="19"/>
      <c r="H20" s="19">
        <f t="shared" si="2"/>
        <v>0</v>
      </c>
      <c r="J20" s="19"/>
    </row>
    <row r="21" spans="1:10">
      <c r="A21" s="12" t="s">
        <v>131</v>
      </c>
      <c r="B21" s="12" t="str">
        <f>VLOOKUP(A21,LISTADHERENT!A$5:H$49,2)</f>
        <v>KOUAMOU EMMANUEL</v>
      </c>
      <c r="C21" s="19">
        <f t="shared" si="0"/>
        <v>20000</v>
      </c>
      <c r="D21" s="19">
        <f t="shared" si="1"/>
        <v>0</v>
      </c>
      <c r="E21" s="18" t="s">
        <v>1</v>
      </c>
      <c r="F21" s="19"/>
      <c r="G21" s="19"/>
      <c r="H21" s="19">
        <f t="shared" si="2"/>
        <v>0</v>
      </c>
      <c r="J21" s="19"/>
    </row>
    <row r="22" spans="1:10">
      <c r="A22" s="12" t="s">
        <v>132</v>
      </c>
      <c r="B22" s="12" t="str">
        <f>VLOOKUP(A22,LISTADHERENT!A$5:H$49,2)</f>
        <v>KOUAMOU MOISE</v>
      </c>
      <c r="C22" s="19">
        <f t="shared" si="0"/>
        <v>20000</v>
      </c>
      <c r="D22" s="19">
        <f t="shared" si="1"/>
        <v>0</v>
      </c>
      <c r="E22" s="18" t="s">
        <v>1</v>
      </c>
      <c r="F22" s="19"/>
      <c r="G22" s="19"/>
      <c r="H22" s="19">
        <f t="shared" si="2"/>
        <v>0</v>
      </c>
      <c r="J22" s="19"/>
    </row>
    <row r="23" spans="1:10">
      <c r="A23" s="12" t="s">
        <v>133</v>
      </c>
      <c r="B23" s="12" t="str">
        <f>VLOOKUP(A23,LISTADHERENT!A$5:H$49,2)</f>
        <v>KOUAMOU VICTOR PEGUY</v>
      </c>
      <c r="C23" s="19">
        <f t="shared" si="0"/>
        <v>0</v>
      </c>
      <c r="D23" s="19">
        <f t="shared" si="1"/>
        <v>0</v>
      </c>
      <c r="E23" s="18" t="s">
        <v>2</v>
      </c>
      <c r="F23" s="19"/>
      <c r="G23" s="19"/>
      <c r="H23" s="19">
        <f t="shared" si="2"/>
        <v>0</v>
      </c>
      <c r="J23" s="19"/>
    </row>
    <row r="24" spans="1:10">
      <c r="A24" s="12" t="s">
        <v>134</v>
      </c>
      <c r="B24" s="12" t="str">
        <f>VLOOKUP(A24,LISTADHERENT!A$5:H$49,2)</f>
        <v>KOUATCHO MESSACK</v>
      </c>
      <c r="C24" s="19">
        <f t="shared" si="0"/>
        <v>20000</v>
      </c>
      <c r="D24" s="19">
        <f t="shared" si="1"/>
        <v>0</v>
      </c>
      <c r="E24" s="18" t="s">
        <v>1</v>
      </c>
      <c r="F24" s="19"/>
      <c r="G24" s="19"/>
      <c r="H24" s="19">
        <f t="shared" si="2"/>
        <v>0</v>
      </c>
      <c r="J24" s="19"/>
    </row>
    <row r="25" spans="1:10">
      <c r="A25" s="12" t="s">
        <v>135</v>
      </c>
      <c r="B25" s="12" t="str">
        <f>VLOOKUP(A25,LISTADHERENT!A$5:H$49,2)</f>
        <v>NANGUEN MARTIN</v>
      </c>
      <c r="C25" s="19">
        <f t="shared" si="0"/>
        <v>20000</v>
      </c>
      <c r="D25" s="19">
        <f t="shared" si="1"/>
        <v>0</v>
      </c>
      <c r="E25" s="18" t="s">
        <v>1</v>
      </c>
      <c r="F25" s="19"/>
      <c r="G25" s="19"/>
      <c r="H25" s="19">
        <f t="shared" si="2"/>
        <v>0</v>
      </c>
      <c r="J25" s="19"/>
    </row>
    <row r="26" spans="1:10">
      <c r="A26" s="12" t="s">
        <v>136</v>
      </c>
      <c r="B26" s="12" t="str">
        <f>VLOOKUP(A26,LISTADHERENT!A$5:H$49,2)</f>
        <v>NANKAM APPOLINAIRE</v>
      </c>
      <c r="C26" s="19">
        <f t="shared" si="0"/>
        <v>0</v>
      </c>
      <c r="D26" s="19">
        <f t="shared" si="1"/>
        <v>0</v>
      </c>
      <c r="E26" s="18" t="s">
        <v>2</v>
      </c>
      <c r="F26" s="19"/>
      <c r="G26" s="19"/>
      <c r="H26" s="19">
        <f t="shared" si="2"/>
        <v>0</v>
      </c>
      <c r="J26" s="19"/>
    </row>
    <row r="27" spans="1:10">
      <c r="A27" s="12" t="s">
        <v>137</v>
      </c>
      <c r="B27" s="12" t="str">
        <f>VLOOKUP(A27,LISTADHERENT!A$5:H$49,2)</f>
        <v>NDJOMO ETIENNE</v>
      </c>
      <c r="C27" s="19">
        <f t="shared" si="0"/>
        <v>0</v>
      </c>
      <c r="D27" s="19">
        <f t="shared" si="1"/>
        <v>0</v>
      </c>
      <c r="E27" s="18" t="s">
        <v>2</v>
      </c>
      <c r="F27" s="19"/>
      <c r="G27" s="19"/>
      <c r="H27" s="19">
        <f t="shared" si="2"/>
        <v>0</v>
      </c>
      <c r="J27" s="19"/>
    </row>
    <row r="28" spans="1:10">
      <c r="A28" s="12" t="s">
        <v>138</v>
      </c>
      <c r="B28" s="12" t="str">
        <f>VLOOKUP(A28,LISTADHERENT!A$5:H$49,2)</f>
        <v>NDOMBOU JEAN CLAUDE</v>
      </c>
      <c r="C28" s="19">
        <f t="shared" si="0"/>
        <v>0</v>
      </c>
      <c r="D28" s="19">
        <f t="shared" si="1"/>
        <v>0</v>
      </c>
      <c r="E28" s="18" t="s">
        <v>2</v>
      </c>
      <c r="F28" s="19"/>
      <c r="G28" s="19"/>
      <c r="H28" s="19">
        <f t="shared" si="2"/>
        <v>0</v>
      </c>
      <c r="J28" s="19"/>
    </row>
    <row r="29" spans="1:10">
      <c r="A29" s="12" t="s">
        <v>139</v>
      </c>
      <c r="B29" s="12" t="str">
        <f>VLOOKUP(A29,LISTADHERENT!A$5:H$49,2)</f>
        <v>NGONDIEP CLAUDE</v>
      </c>
      <c r="C29" s="19">
        <f t="shared" si="0"/>
        <v>20000</v>
      </c>
      <c r="D29" s="19">
        <f t="shared" si="1"/>
        <v>0</v>
      </c>
      <c r="E29" s="18" t="s">
        <v>1</v>
      </c>
      <c r="F29" s="19"/>
      <c r="G29" s="19"/>
      <c r="H29" s="19">
        <f t="shared" si="2"/>
        <v>0</v>
      </c>
      <c r="J29" s="19"/>
    </row>
    <row r="30" spans="1:10">
      <c r="A30" s="12" t="s">
        <v>140</v>
      </c>
      <c r="B30" s="12" t="str">
        <f>VLOOKUP(A30,LISTADHERENT!A$5:H$49,2)</f>
        <v>NGONGANG JEAN THEODORE</v>
      </c>
      <c r="C30" s="19">
        <f t="shared" si="0"/>
        <v>0</v>
      </c>
      <c r="D30" s="19">
        <f t="shared" si="1"/>
        <v>0</v>
      </c>
      <c r="E30" s="18" t="s">
        <v>2</v>
      </c>
      <c r="F30" s="19"/>
      <c r="G30" s="19"/>
      <c r="H30" s="19">
        <f t="shared" si="2"/>
        <v>0</v>
      </c>
      <c r="J30" s="19"/>
    </row>
    <row r="31" spans="1:10">
      <c r="A31" s="12" t="s">
        <v>141</v>
      </c>
      <c r="B31" s="12" t="str">
        <f>VLOOKUP(A31,LISTADHERENT!A$5:H$49,2)</f>
        <v>NGUIEMEGNI MATHIEU BLAISE</v>
      </c>
      <c r="C31" s="19">
        <f t="shared" si="0"/>
        <v>0</v>
      </c>
      <c r="D31" s="19">
        <f t="shared" si="1"/>
        <v>0</v>
      </c>
      <c r="E31" s="18" t="s">
        <v>2</v>
      </c>
      <c r="F31" s="19"/>
      <c r="G31" s="19"/>
      <c r="H31" s="19">
        <f t="shared" si="2"/>
        <v>0</v>
      </c>
      <c r="J31" s="19"/>
    </row>
    <row r="32" spans="1:10">
      <c r="A32" s="12" t="s">
        <v>142</v>
      </c>
      <c r="B32" s="12" t="str">
        <f>VLOOKUP(A32,LISTADHERENT!A$5:H$49,2)</f>
        <v>NJEPDJIO MBOUKAM DELUXE</v>
      </c>
      <c r="C32" s="19">
        <f t="shared" si="0"/>
        <v>0</v>
      </c>
      <c r="D32" s="19">
        <f t="shared" si="1"/>
        <v>0</v>
      </c>
      <c r="E32" s="18" t="s">
        <v>2</v>
      </c>
      <c r="F32" s="19"/>
      <c r="G32" s="19"/>
      <c r="H32" s="19">
        <f t="shared" si="2"/>
        <v>0</v>
      </c>
      <c r="J32" s="19"/>
    </row>
    <row r="33" spans="1:10">
      <c r="A33" s="12" t="s">
        <v>143</v>
      </c>
      <c r="B33" s="12" t="str">
        <f>VLOOKUP(A33,LISTADHERENT!A$5:H$49,2)</f>
        <v>NKAMGANG JUSTIN DEJOLIE</v>
      </c>
      <c r="C33" s="19">
        <f t="shared" si="0"/>
        <v>0</v>
      </c>
      <c r="D33" s="19">
        <f t="shared" si="1"/>
        <v>0</v>
      </c>
      <c r="E33" s="18" t="s">
        <v>2</v>
      </c>
      <c r="F33" s="19"/>
      <c r="G33" s="19"/>
      <c r="H33" s="19">
        <f t="shared" si="2"/>
        <v>0</v>
      </c>
      <c r="J33" s="19"/>
    </row>
    <row r="34" spans="1:10">
      <c r="A34" s="12" t="s">
        <v>144</v>
      </c>
      <c r="B34" s="12" t="str">
        <f>VLOOKUP(A34,LISTADHERENT!A$5:H$49,2)</f>
        <v>NKEPSEU DIEUDONNE</v>
      </c>
      <c r="C34" s="19">
        <f t="shared" si="0"/>
        <v>0</v>
      </c>
      <c r="D34" s="19">
        <f t="shared" si="1"/>
        <v>0</v>
      </c>
      <c r="E34" s="18" t="s">
        <v>2</v>
      </c>
      <c r="F34" s="19"/>
      <c r="G34" s="19"/>
      <c r="H34" s="19">
        <f t="shared" si="2"/>
        <v>0</v>
      </c>
      <c r="J34" s="19"/>
    </row>
    <row r="35" spans="1:10">
      <c r="A35" s="12" t="s">
        <v>145</v>
      </c>
      <c r="B35" s="12" t="str">
        <f>VLOOKUP(A35,LISTADHERENT!A$5:H$49,2)</f>
        <v>NTEPDIE TUEMAC MZ</v>
      </c>
      <c r="C35" s="19">
        <f t="shared" si="0"/>
        <v>0</v>
      </c>
      <c r="D35" s="19">
        <f t="shared" si="1"/>
        <v>0</v>
      </c>
      <c r="E35" s="18" t="s">
        <v>2</v>
      </c>
      <c r="F35" s="19"/>
      <c r="G35" s="19"/>
      <c r="H35" s="19">
        <f t="shared" si="2"/>
        <v>0</v>
      </c>
      <c r="J35" s="19"/>
    </row>
    <row r="36" spans="1:10">
      <c r="A36" s="12" t="s">
        <v>146</v>
      </c>
      <c r="B36" s="12" t="str">
        <f>VLOOKUP(A36,LISTADHERENT!A$5:H$49,2)</f>
        <v>NTOMBOU ADOLPHE</v>
      </c>
      <c r="C36" s="19">
        <f t="shared" si="0"/>
        <v>0</v>
      </c>
      <c r="D36" s="19">
        <f t="shared" si="1"/>
        <v>0</v>
      </c>
      <c r="E36" s="18" t="s">
        <v>2</v>
      </c>
      <c r="F36" s="19"/>
      <c r="G36" s="19"/>
      <c r="H36" s="19">
        <f t="shared" si="2"/>
        <v>0</v>
      </c>
      <c r="J36" s="19"/>
    </row>
    <row r="37" spans="1:10">
      <c r="A37" s="12" t="s">
        <v>147</v>
      </c>
      <c r="B37" s="12" t="str">
        <f>VLOOKUP(A37,LISTADHERENT!A$5:H$49,2)</f>
        <v>PATEGO NJOSSU GUSTAVE</v>
      </c>
      <c r="C37" s="19">
        <f t="shared" si="0"/>
        <v>20000</v>
      </c>
      <c r="D37" s="19">
        <f t="shared" si="1"/>
        <v>0</v>
      </c>
      <c r="E37" s="18" t="s">
        <v>1</v>
      </c>
      <c r="F37" s="19"/>
      <c r="G37" s="19"/>
      <c r="H37" s="19">
        <f t="shared" si="2"/>
        <v>0</v>
      </c>
      <c r="J37" s="19"/>
    </row>
    <row r="38" spans="1:10">
      <c r="A38" s="12" t="s">
        <v>148</v>
      </c>
      <c r="B38" s="12" t="str">
        <f>VLOOKUP(A38,LISTADHERENT!A$5:H$49,2)</f>
        <v>SEUNOU RICHELOT</v>
      </c>
      <c r="C38" s="19">
        <f t="shared" si="0"/>
        <v>0</v>
      </c>
      <c r="D38" s="19">
        <f t="shared" si="1"/>
        <v>0</v>
      </c>
      <c r="E38" s="18" t="s">
        <v>2</v>
      </c>
      <c r="F38" s="19"/>
      <c r="G38" s="19"/>
      <c r="H38" s="19">
        <f t="shared" si="2"/>
        <v>0</v>
      </c>
      <c r="J38" s="19"/>
    </row>
    <row r="39" spans="1:10">
      <c r="A39" s="12" t="s">
        <v>149</v>
      </c>
      <c r="B39" s="12" t="str">
        <f>VLOOKUP(A39,LISTADHERENT!A$5:H$49,2)</f>
        <v>SIME ABEL</v>
      </c>
      <c r="C39" s="19">
        <f t="shared" si="0"/>
        <v>0</v>
      </c>
      <c r="D39" s="19">
        <f t="shared" si="1"/>
        <v>0</v>
      </c>
      <c r="E39" s="18" t="s">
        <v>2</v>
      </c>
      <c r="F39" s="19"/>
      <c r="G39" s="19"/>
      <c r="H39" s="19">
        <f t="shared" si="2"/>
        <v>0</v>
      </c>
      <c r="J39" s="19"/>
    </row>
    <row r="40" spans="1:10">
      <c r="A40" s="12" t="s">
        <v>150</v>
      </c>
      <c r="B40" s="12" t="str">
        <f>VLOOKUP(A40,LISTADHERENT!A$5:H$49,2)</f>
        <v>SIME FONGANG ERIC</v>
      </c>
      <c r="C40" s="19">
        <f t="shared" si="0"/>
        <v>20000</v>
      </c>
      <c r="D40" s="19">
        <f t="shared" si="1"/>
        <v>0</v>
      </c>
      <c r="E40" s="18" t="s">
        <v>1</v>
      </c>
      <c r="F40" s="19"/>
      <c r="G40" s="19"/>
      <c r="H40" s="19">
        <f t="shared" si="2"/>
        <v>0</v>
      </c>
      <c r="J40" s="19"/>
    </row>
    <row r="41" spans="1:10">
      <c r="A41" s="12" t="s">
        <v>151</v>
      </c>
      <c r="B41" s="12" t="str">
        <f>VLOOKUP(A41,LISTADHERENT!A$5:H$49,2)</f>
        <v>SIME MATHIEU</v>
      </c>
      <c r="C41" s="19">
        <f t="shared" si="0"/>
        <v>0</v>
      </c>
      <c r="D41" s="19">
        <f t="shared" si="1"/>
        <v>0</v>
      </c>
      <c r="E41" s="18" t="s">
        <v>2</v>
      </c>
      <c r="F41" s="19"/>
      <c r="G41" s="19"/>
      <c r="H41" s="19">
        <f t="shared" si="2"/>
        <v>0</v>
      </c>
      <c r="J41" s="19"/>
    </row>
    <row r="42" spans="1:10">
      <c r="A42" s="12" t="s">
        <v>152</v>
      </c>
      <c r="B42" s="12" t="str">
        <f>VLOOKUP(A42,LISTADHERENT!A$5:H$49,2)</f>
        <v>SIME PIERRE</v>
      </c>
      <c r="C42" s="19">
        <f t="shared" si="0"/>
        <v>20000</v>
      </c>
      <c r="D42" s="19">
        <f t="shared" si="1"/>
        <v>0</v>
      </c>
      <c r="E42" s="18" t="s">
        <v>1</v>
      </c>
      <c r="F42" s="19"/>
      <c r="G42" s="19"/>
      <c r="H42" s="19">
        <f t="shared" si="2"/>
        <v>0</v>
      </c>
      <c r="J42" s="19"/>
    </row>
    <row r="43" spans="1:10">
      <c r="A43" s="12" t="s">
        <v>153</v>
      </c>
      <c r="B43" s="12" t="str">
        <f>VLOOKUP(A43,LISTADHERENT!A$5:H$49,2)</f>
        <v>TCHOUAMOU JEAN PAUL</v>
      </c>
      <c r="C43" s="19">
        <f t="shared" si="0"/>
        <v>20000</v>
      </c>
      <c r="D43" s="19">
        <f t="shared" si="1"/>
        <v>0</v>
      </c>
      <c r="E43" s="18" t="s">
        <v>1</v>
      </c>
      <c r="F43" s="19"/>
      <c r="G43" s="19"/>
      <c r="H43" s="19">
        <f t="shared" si="2"/>
        <v>0</v>
      </c>
      <c r="J43" s="19"/>
    </row>
    <row r="44" spans="1:10">
      <c r="A44" s="12" t="s">
        <v>154</v>
      </c>
      <c r="B44" s="12" t="str">
        <f>VLOOKUP(A44,LISTADHERENT!A$5:H$49,2)</f>
        <v>TCHOUAMOU MATHIEU</v>
      </c>
      <c r="C44" s="19">
        <f t="shared" si="0"/>
        <v>20000</v>
      </c>
      <c r="D44" s="19">
        <f t="shared" si="1"/>
        <v>0</v>
      </c>
      <c r="E44" s="18" t="s">
        <v>1</v>
      </c>
      <c r="F44" s="19"/>
      <c r="G44" s="19"/>
      <c r="H44" s="19">
        <f t="shared" si="2"/>
        <v>0</v>
      </c>
      <c r="J44" s="19"/>
    </row>
    <row r="45" spans="1:10">
      <c r="A45" s="12" t="s">
        <v>155</v>
      </c>
      <c r="B45" s="12" t="str">
        <f>VLOOKUP(A45,LISTADHERENT!A$5:H$49,2)</f>
        <v>TCHOUANTE FRANCOIS</v>
      </c>
      <c r="C45" s="19">
        <f t="shared" si="0"/>
        <v>0</v>
      </c>
      <c r="D45" s="19">
        <f t="shared" si="1"/>
        <v>0</v>
      </c>
      <c r="E45" s="18" t="s">
        <v>2</v>
      </c>
      <c r="F45" s="19"/>
      <c r="G45" s="19"/>
      <c r="H45" s="19">
        <f t="shared" si="2"/>
        <v>0</v>
      </c>
      <c r="J45" s="19"/>
    </row>
    <row r="46" spans="1:10">
      <c r="A46" s="12" t="s">
        <v>156</v>
      </c>
      <c r="B46" s="12" t="str">
        <f>VLOOKUP(A46,LISTADHERENT!A$5:H$49,2)</f>
        <v>TCHOUTOU NANA CLAUDE</v>
      </c>
      <c r="C46" s="19">
        <f t="shared" si="0"/>
        <v>20000</v>
      </c>
      <c r="D46" s="19">
        <f t="shared" si="1"/>
        <v>0</v>
      </c>
      <c r="E46" s="18" t="s">
        <v>1</v>
      </c>
      <c r="F46" s="19"/>
      <c r="G46" s="19"/>
      <c r="H46" s="19">
        <f t="shared" si="2"/>
        <v>0</v>
      </c>
      <c r="J46" s="19"/>
    </row>
    <row r="47" spans="1:10">
      <c r="A47" s="12" t="s">
        <v>157</v>
      </c>
      <c r="B47" s="12" t="str">
        <f>VLOOKUP(A47,LISTADHERENT!A$5:H$49,2)</f>
        <v>TIEYAM ERNEST</v>
      </c>
      <c r="C47" s="19">
        <f t="shared" si="0"/>
        <v>0</v>
      </c>
      <c r="D47" s="19">
        <f t="shared" si="1"/>
        <v>0</v>
      </c>
      <c r="E47" s="18" t="s">
        <v>2</v>
      </c>
      <c r="F47" s="19"/>
      <c r="G47" s="19"/>
      <c r="H47" s="19">
        <f t="shared" si="2"/>
        <v>0</v>
      </c>
      <c r="J47" s="19"/>
    </row>
    <row r="48" spans="1:10">
      <c r="A48" s="12" t="s">
        <v>158</v>
      </c>
      <c r="B48" s="12" t="str">
        <f>VLOOKUP(A48,LISTADHERENT!A$5:H$49,2)</f>
        <v>TUGMA PIERRE LOTI</v>
      </c>
      <c r="C48" s="19">
        <f t="shared" si="0"/>
        <v>0</v>
      </c>
      <c r="D48" s="19">
        <f t="shared" si="1"/>
        <v>0</v>
      </c>
      <c r="E48" s="18" t="s">
        <v>2</v>
      </c>
      <c r="F48" s="19"/>
      <c r="G48" s="19"/>
      <c r="H48" s="19">
        <f t="shared" si="2"/>
        <v>0</v>
      </c>
      <c r="J48" s="19"/>
    </row>
    <row r="49" spans="1:10">
      <c r="A49" s="12" t="s">
        <v>159</v>
      </c>
      <c r="B49" s="12" t="str">
        <f>VLOOKUP(A49,LISTADHERENT!A$5:H$49,2)</f>
        <v>YEPMOU JEAN JACQUES</v>
      </c>
      <c r="C49" s="19">
        <f t="shared" si="0"/>
        <v>0</v>
      </c>
      <c r="D49" s="19">
        <f t="shared" si="1"/>
        <v>0</v>
      </c>
      <c r="E49" s="18" t="s">
        <v>2</v>
      </c>
      <c r="F49" s="19"/>
      <c r="G49" s="19"/>
      <c r="H49" s="19">
        <f t="shared" si="2"/>
        <v>0</v>
      </c>
      <c r="J49" s="19"/>
    </row>
    <row r="50" spans="1:10">
      <c r="A50" s="12" t="s">
        <v>160</v>
      </c>
      <c r="B50" s="12" t="str">
        <f>VLOOKUP(A50,LISTADHERENT!A$5:H$49,2)</f>
        <v>YOUMBI EMMANUEL</v>
      </c>
      <c r="C50" s="19">
        <f t="shared" si="0"/>
        <v>0</v>
      </c>
      <c r="D50" s="19">
        <f t="shared" si="1"/>
        <v>0</v>
      </c>
      <c r="E50" s="18" t="s">
        <v>2</v>
      </c>
      <c r="F50" s="19"/>
      <c r="G50" s="19"/>
      <c r="H50" s="19">
        <f t="shared" si="2"/>
        <v>0</v>
      </c>
      <c r="J50" s="19"/>
    </row>
    <row r="52" spans="1:10" ht="18">
      <c r="A52" s="13" t="s">
        <v>165</v>
      </c>
      <c r="B52" s="13"/>
      <c r="C52" s="14">
        <f>SUM(C6:C51)</f>
        <v>360000</v>
      </c>
      <c r="D52" s="14">
        <f>SUM(D6:D51)</f>
        <v>0</v>
      </c>
      <c r="E52" s="14"/>
      <c r="F52" s="14">
        <f t="shared" ref="F52:J52" si="3">SUM(F6:F51)</f>
        <v>20000</v>
      </c>
      <c r="G52" s="14">
        <f t="shared" si="3"/>
        <v>1000</v>
      </c>
      <c r="H52" s="14">
        <f t="shared" si="3"/>
        <v>21000</v>
      </c>
      <c r="I52" s="14"/>
      <c r="J52" s="14">
        <f t="shared" si="3"/>
        <v>0</v>
      </c>
    </row>
  </sheetData>
  <autoFilter ref="A5:K50">
    <filterColumn colId="8"/>
  </autoFilter>
  <mergeCells count="1">
    <mergeCell ref="C4:H4"/>
  </mergeCells>
  <dataValidations disablePrompts="1" count="1">
    <dataValidation type="list" allowBlank="1" showInputMessage="1" showErrorMessage="1" promptTitle="Saissisez le mode de VERSEMENT" sqref="E6:E50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2"/>
  <sheetViews>
    <sheetView workbookViewId="0">
      <pane xSplit="2" ySplit="5" topLeftCell="C13" activePane="bottomRight" state="frozen"/>
      <selection pane="topRight" activeCell="C1" sqref="C1"/>
      <selection pane="bottomLeft" activeCell="A6" sqref="A6"/>
      <selection pane="bottomRight" activeCell="H13" sqref="H13"/>
    </sheetView>
  </sheetViews>
  <sheetFormatPr baseColWidth="10" defaultRowHeight="15"/>
  <cols>
    <col min="1" max="1" width="13.85546875" customWidth="1"/>
    <col min="2" max="2" width="29.5703125" bestFit="1" customWidth="1"/>
    <col min="3" max="3" width="12.28515625" style="1" bestFit="1" customWidth="1"/>
    <col min="4" max="4" width="12.5703125" bestFit="1" customWidth="1"/>
    <col min="5" max="5" width="17.5703125" style="21" bestFit="1" customWidth="1"/>
    <col min="8" max="8" width="15.5703125" customWidth="1"/>
    <col min="9" max="9" width="21.28515625" bestFit="1" customWidth="1"/>
    <col min="10" max="10" width="19" bestFit="1" customWidth="1"/>
  </cols>
  <sheetData>
    <row r="1" spans="1:11">
      <c r="A1" s="12" t="s">
        <v>166</v>
      </c>
      <c r="B1" s="12" t="s">
        <v>6</v>
      </c>
    </row>
    <row r="2" spans="1:11">
      <c r="A2" s="12" t="s">
        <v>163</v>
      </c>
      <c r="B2" s="12" t="s">
        <v>164</v>
      </c>
    </row>
    <row r="3" spans="1:11">
      <c r="A3" s="12" t="s">
        <v>168</v>
      </c>
      <c r="B3" s="22">
        <v>60000</v>
      </c>
    </row>
    <row r="4" spans="1:11" ht="18">
      <c r="B4" s="20"/>
      <c r="C4" s="24">
        <v>42614</v>
      </c>
      <c r="D4" s="25"/>
      <c r="E4" s="25"/>
      <c r="F4" s="25"/>
      <c r="G4" s="25"/>
      <c r="H4" s="25"/>
    </row>
    <row r="5" spans="1:11" ht="29.25">
      <c r="A5" s="12" t="s">
        <v>162</v>
      </c>
      <c r="B5" s="12" t="s">
        <v>161</v>
      </c>
      <c r="C5" s="15" t="s">
        <v>4</v>
      </c>
      <c r="D5" s="12" t="s">
        <v>5</v>
      </c>
      <c r="E5" s="18" t="s">
        <v>3</v>
      </c>
      <c r="F5" s="22" t="s">
        <v>169</v>
      </c>
      <c r="G5" s="15" t="s">
        <v>173</v>
      </c>
      <c r="H5" s="15" t="s">
        <v>170</v>
      </c>
      <c r="I5" s="15" t="s">
        <v>174</v>
      </c>
      <c r="J5" s="22" t="s">
        <v>171</v>
      </c>
      <c r="K5" s="12" t="s">
        <v>172</v>
      </c>
    </row>
    <row r="6" spans="1:11">
      <c r="A6" s="12" t="s">
        <v>116</v>
      </c>
      <c r="B6" s="12" t="str">
        <f>VLOOKUP(A6,LISTADHERENT!A$5:H$49,2)</f>
        <v>BAKOP ACHILLE</v>
      </c>
      <c r="C6" s="19">
        <f>IF(E6="ECHEC",0,60000)</f>
        <v>0</v>
      </c>
      <c r="D6" s="19">
        <f>IF(E6="ESPECE",1000,0)</f>
        <v>0</v>
      </c>
      <c r="E6" s="18" t="s">
        <v>2</v>
      </c>
    </row>
    <row r="7" spans="1:11">
      <c r="A7" s="12" t="s">
        <v>117</v>
      </c>
      <c r="B7" s="12" t="str">
        <f>VLOOKUP(A7,LISTADHERENT!A$5:H$49,2)</f>
        <v>BOUTCHOUANG WILLIAM</v>
      </c>
      <c r="C7" s="19">
        <f t="shared" ref="C7:C50" si="0">IF(E7="ECHEC",0,60000)</f>
        <v>0</v>
      </c>
      <c r="D7" s="19">
        <f t="shared" ref="D7:D50" si="1">IF(E7="ESPECE",1000,0)</f>
        <v>0</v>
      </c>
      <c r="E7" s="18" t="s">
        <v>2</v>
      </c>
    </row>
    <row r="8" spans="1:11">
      <c r="A8" s="12" t="s">
        <v>118</v>
      </c>
      <c r="B8" s="12" t="str">
        <f>VLOOKUP(A8,LISTADHERENT!A$5:H$49,2)</f>
        <v>CHINGUE FABRICE</v>
      </c>
      <c r="C8" s="19">
        <f t="shared" si="0"/>
        <v>0</v>
      </c>
      <c r="D8" s="19">
        <f t="shared" si="1"/>
        <v>0</v>
      </c>
      <c r="E8" s="18" t="s">
        <v>2</v>
      </c>
    </row>
    <row r="9" spans="1:11">
      <c r="A9" s="12" t="s">
        <v>119</v>
      </c>
      <c r="B9" s="12" t="str">
        <f>VLOOKUP(A9,LISTADHERENT!A$5:H$49,2)</f>
        <v xml:space="preserve">DJOMO JEAN PAUL </v>
      </c>
      <c r="C9" s="19">
        <f t="shared" si="0"/>
        <v>0</v>
      </c>
      <c r="D9" s="19">
        <f t="shared" si="1"/>
        <v>0</v>
      </c>
      <c r="E9" s="18" t="s">
        <v>2</v>
      </c>
    </row>
    <row r="10" spans="1:11">
      <c r="A10" s="12" t="s">
        <v>120</v>
      </c>
      <c r="B10" s="12" t="str">
        <f>VLOOKUP(A10,LISTADHERENT!A$5:H$49,2)</f>
        <v>DJOUKWE GUY</v>
      </c>
      <c r="C10" s="19">
        <f t="shared" si="0"/>
        <v>0</v>
      </c>
      <c r="D10" s="19">
        <f t="shared" si="1"/>
        <v>0</v>
      </c>
      <c r="E10" s="18" t="s">
        <v>2</v>
      </c>
    </row>
    <row r="11" spans="1:11">
      <c r="A11" s="12" t="s">
        <v>121</v>
      </c>
      <c r="B11" s="12" t="str">
        <f>VLOOKUP(A11,LISTADHERENT!A$5:H$49,2)</f>
        <v>DJOUNKEP SAMUEL</v>
      </c>
      <c r="C11" s="19">
        <f t="shared" si="0"/>
        <v>0</v>
      </c>
      <c r="D11" s="19">
        <f t="shared" si="1"/>
        <v>0</v>
      </c>
      <c r="E11" s="18" t="s">
        <v>2</v>
      </c>
    </row>
    <row r="12" spans="1:11">
      <c r="A12" s="12" t="s">
        <v>122</v>
      </c>
      <c r="B12" s="12" t="str">
        <f>VLOOKUP(A12,LISTADHERENT!A$5:H$49,2)</f>
        <v>DJUOMBESSY ANTOINE</v>
      </c>
      <c r="C12" s="19">
        <f t="shared" si="0"/>
        <v>0</v>
      </c>
      <c r="D12" s="19">
        <f t="shared" si="1"/>
        <v>0</v>
      </c>
      <c r="E12" s="18" t="s">
        <v>2</v>
      </c>
    </row>
    <row r="13" spans="1:11">
      <c r="A13" s="12" t="s">
        <v>123</v>
      </c>
      <c r="B13" s="12" t="str">
        <f>VLOOKUP(A13,LISTADHERENT!A$5:H$49,2)</f>
        <v>DONHOU DAVID</v>
      </c>
      <c r="C13" s="19">
        <f t="shared" si="0"/>
        <v>0</v>
      </c>
      <c r="D13" s="19">
        <f t="shared" si="1"/>
        <v>0</v>
      </c>
      <c r="E13" s="18" t="s">
        <v>2</v>
      </c>
      <c r="H13" s="19">
        <f>IF(AND(F13&gt;0,I13="OK"),F13+G13,0)</f>
        <v>0</v>
      </c>
    </row>
    <row r="14" spans="1:11">
      <c r="A14" s="12" t="s">
        <v>124</v>
      </c>
      <c r="B14" s="12" t="str">
        <f>VLOOKUP(A14,LISTADHERENT!A$5:H$49,2)</f>
        <v>FOTSO THOMAS</v>
      </c>
      <c r="C14" s="19">
        <f t="shared" si="0"/>
        <v>60000</v>
      </c>
      <c r="D14" s="19">
        <f t="shared" si="1"/>
        <v>0</v>
      </c>
      <c r="E14" s="18" t="s">
        <v>1</v>
      </c>
    </row>
    <row r="15" spans="1:11">
      <c r="A15" s="12" t="s">
        <v>125</v>
      </c>
      <c r="B15" s="12" t="str">
        <f>VLOOKUP(A15,LISTADHERENT!A$5:H$49,2)</f>
        <v>HENGUE PAUL OMER</v>
      </c>
      <c r="C15" s="19">
        <f t="shared" si="0"/>
        <v>60000</v>
      </c>
      <c r="D15" s="19">
        <f t="shared" si="1"/>
        <v>0</v>
      </c>
      <c r="E15" s="18" t="s">
        <v>1</v>
      </c>
    </row>
    <row r="16" spans="1:11">
      <c r="A16" s="12" t="s">
        <v>126</v>
      </c>
      <c r="B16" s="12" t="str">
        <f>VLOOKUP(A16,LISTADHERENT!A$5:H$49,2)</f>
        <v>HODIEP JULES</v>
      </c>
      <c r="C16" s="19">
        <f t="shared" si="0"/>
        <v>0</v>
      </c>
      <c r="D16" s="19">
        <f t="shared" si="1"/>
        <v>0</v>
      </c>
      <c r="E16" s="18" t="s">
        <v>2</v>
      </c>
    </row>
    <row r="17" spans="1:5">
      <c r="A17" s="12" t="s">
        <v>127</v>
      </c>
      <c r="B17" s="12" t="str">
        <f>VLOOKUP(A17,LISTADHERENT!A$5:H$49,2)</f>
        <v>HOTCHO BENJAMIN</v>
      </c>
      <c r="C17" s="19">
        <f t="shared" si="0"/>
        <v>0</v>
      </c>
      <c r="D17" s="19">
        <f t="shared" si="1"/>
        <v>0</v>
      </c>
      <c r="E17" s="18" t="s">
        <v>2</v>
      </c>
    </row>
    <row r="18" spans="1:5">
      <c r="A18" s="12" t="s">
        <v>128</v>
      </c>
      <c r="B18" s="12" t="str">
        <f>VLOOKUP(A18,LISTADHERENT!A$5:H$49,2)</f>
        <v>KEPHE DAVID</v>
      </c>
      <c r="C18" s="19">
        <f t="shared" si="0"/>
        <v>0</v>
      </c>
      <c r="D18" s="19">
        <f t="shared" si="1"/>
        <v>0</v>
      </c>
      <c r="E18" s="18" t="s">
        <v>2</v>
      </c>
    </row>
    <row r="19" spans="1:5">
      <c r="A19" s="12" t="s">
        <v>129</v>
      </c>
      <c r="B19" s="12" t="str">
        <f>VLOOKUP(A19,LISTADHERENT!A$5:H$49,2)</f>
        <v>KEPSEU FRANCIS</v>
      </c>
      <c r="C19" s="19">
        <f t="shared" si="0"/>
        <v>0</v>
      </c>
      <c r="D19" s="19">
        <f t="shared" si="1"/>
        <v>0</v>
      </c>
      <c r="E19" s="18" t="s">
        <v>2</v>
      </c>
    </row>
    <row r="20" spans="1:5">
      <c r="A20" s="12" t="s">
        <v>130</v>
      </c>
      <c r="B20" s="12" t="str">
        <f>VLOOKUP(A20,LISTADHERENT!A$5:H$49,2)</f>
        <v>KEPSEU HENANG RENE</v>
      </c>
      <c r="C20" s="19">
        <f t="shared" si="0"/>
        <v>0</v>
      </c>
      <c r="D20" s="19">
        <f t="shared" si="1"/>
        <v>0</v>
      </c>
      <c r="E20" s="18" t="s">
        <v>2</v>
      </c>
    </row>
    <row r="21" spans="1:5">
      <c r="A21" s="12" t="s">
        <v>131</v>
      </c>
      <c r="B21" s="12" t="str">
        <f>VLOOKUP(A21,LISTADHERENT!A$5:H$49,2)</f>
        <v>KOUAMOU EMMANUEL</v>
      </c>
      <c r="C21" s="19">
        <f t="shared" si="0"/>
        <v>0</v>
      </c>
      <c r="D21" s="19">
        <f t="shared" si="1"/>
        <v>0</v>
      </c>
      <c r="E21" s="18" t="s">
        <v>2</v>
      </c>
    </row>
    <row r="22" spans="1:5">
      <c r="A22" s="12" t="s">
        <v>132</v>
      </c>
      <c r="B22" s="12" t="str">
        <f>VLOOKUP(A22,LISTADHERENT!A$5:H$49,2)</f>
        <v>KOUAMOU MOISE</v>
      </c>
      <c r="C22" s="19">
        <f t="shared" si="0"/>
        <v>0</v>
      </c>
      <c r="D22" s="19">
        <f t="shared" si="1"/>
        <v>0</v>
      </c>
      <c r="E22" s="18" t="s">
        <v>2</v>
      </c>
    </row>
    <row r="23" spans="1:5">
      <c r="A23" s="12" t="s">
        <v>133</v>
      </c>
      <c r="B23" s="12" t="str">
        <f>VLOOKUP(A23,LISTADHERENT!A$5:H$49,2)</f>
        <v>KOUAMOU VICTOR PEGUY</v>
      </c>
      <c r="C23" s="19">
        <f t="shared" si="0"/>
        <v>0</v>
      </c>
      <c r="D23" s="19">
        <f t="shared" si="1"/>
        <v>0</v>
      </c>
      <c r="E23" s="18" t="s">
        <v>2</v>
      </c>
    </row>
    <row r="24" spans="1:5">
      <c r="A24" s="12" t="s">
        <v>134</v>
      </c>
      <c r="B24" s="12" t="str">
        <f>VLOOKUP(A24,LISTADHERENT!A$5:H$49,2)</f>
        <v>KOUATCHO MESSACK</v>
      </c>
      <c r="C24" s="19">
        <f t="shared" si="0"/>
        <v>60000</v>
      </c>
      <c r="D24" s="19">
        <f t="shared" si="1"/>
        <v>0</v>
      </c>
      <c r="E24" s="18" t="s">
        <v>1</v>
      </c>
    </row>
    <row r="25" spans="1:5">
      <c r="A25" s="12" t="s">
        <v>135</v>
      </c>
      <c r="B25" s="12" t="str">
        <f>VLOOKUP(A25,LISTADHERENT!A$5:H$49,2)</f>
        <v>NANGUEN MARTIN</v>
      </c>
      <c r="C25" s="19">
        <f t="shared" si="0"/>
        <v>0</v>
      </c>
      <c r="D25" s="19">
        <f t="shared" si="1"/>
        <v>0</v>
      </c>
      <c r="E25" s="18" t="s">
        <v>2</v>
      </c>
    </row>
    <row r="26" spans="1:5">
      <c r="A26" s="12" t="s">
        <v>136</v>
      </c>
      <c r="B26" s="12" t="str">
        <f>VLOOKUP(A26,LISTADHERENT!A$5:H$49,2)</f>
        <v>NANKAM APPOLINAIRE</v>
      </c>
      <c r="C26" s="19">
        <f t="shared" si="0"/>
        <v>0</v>
      </c>
      <c r="D26" s="19">
        <f t="shared" si="1"/>
        <v>0</v>
      </c>
      <c r="E26" s="18" t="s">
        <v>2</v>
      </c>
    </row>
    <row r="27" spans="1:5">
      <c r="A27" s="12" t="s">
        <v>137</v>
      </c>
      <c r="B27" s="12" t="str">
        <f>VLOOKUP(A27,LISTADHERENT!A$5:H$49,2)</f>
        <v>NDJOMO ETIENNE</v>
      </c>
      <c r="C27" s="19">
        <f t="shared" si="0"/>
        <v>0</v>
      </c>
      <c r="D27" s="19">
        <f t="shared" si="1"/>
        <v>0</v>
      </c>
      <c r="E27" s="18" t="s">
        <v>2</v>
      </c>
    </row>
    <row r="28" spans="1:5">
      <c r="A28" s="12" t="s">
        <v>138</v>
      </c>
      <c r="B28" s="12" t="str">
        <f>VLOOKUP(A28,LISTADHERENT!A$5:H$49,2)</f>
        <v>NDOMBOU JEAN CLAUDE</v>
      </c>
      <c r="C28" s="19">
        <f t="shared" si="0"/>
        <v>0</v>
      </c>
      <c r="D28" s="19">
        <f t="shared" si="1"/>
        <v>0</v>
      </c>
      <c r="E28" s="18" t="s">
        <v>2</v>
      </c>
    </row>
    <row r="29" spans="1:5">
      <c r="A29" s="12" t="s">
        <v>139</v>
      </c>
      <c r="B29" s="12" t="str">
        <f>VLOOKUP(A29,LISTADHERENT!A$5:H$49,2)</f>
        <v>NGONDIEP CLAUDE</v>
      </c>
      <c r="C29" s="19">
        <f t="shared" si="0"/>
        <v>60000</v>
      </c>
      <c r="D29" s="19">
        <f t="shared" si="1"/>
        <v>0</v>
      </c>
      <c r="E29" s="18" t="s">
        <v>1</v>
      </c>
    </row>
    <row r="30" spans="1:5">
      <c r="A30" s="12" t="s">
        <v>140</v>
      </c>
      <c r="B30" s="12" t="str">
        <f>VLOOKUP(A30,LISTADHERENT!A$5:H$49,2)</f>
        <v>NGONGANG JEAN THEODORE</v>
      </c>
      <c r="C30" s="19">
        <f t="shared" si="0"/>
        <v>0</v>
      </c>
      <c r="D30" s="19">
        <f t="shared" si="1"/>
        <v>0</v>
      </c>
      <c r="E30" s="18" t="s">
        <v>2</v>
      </c>
    </row>
    <row r="31" spans="1:5">
      <c r="A31" s="12" t="s">
        <v>141</v>
      </c>
      <c r="B31" s="12" t="str">
        <f>VLOOKUP(A31,LISTADHERENT!A$5:H$49,2)</f>
        <v>NGUIEMEGNI MATHIEU BLAISE</v>
      </c>
      <c r="C31" s="19">
        <f t="shared" si="0"/>
        <v>0</v>
      </c>
      <c r="D31" s="19">
        <f t="shared" si="1"/>
        <v>0</v>
      </c>
      <c r="E31" s="18" t="s">
        <v>2</v>
      </c>
    </row>
    <row r="32" spans="1:5">
      <c r="A32" s="12" t="s">
        <v>142</v>
      </c>
      <c r="B32" s="12" t="str">
        <f>VLOOKUP(A32,LISTADHERENT!A$5:H$49,2)</f>
        <v>NJEPDJIO MBOUKAM DELUXE</v>
      </c>
      <c r="C32" s="19">
        <f t="shared" si="0"/>
        <v>0</v>
      </c>
      <c r="D32" s="19">
        <f t="shared" si="1"/>
        <v>0</v>
      </c>
      <c r="E32" s="18" t="s">
        <v>2</v>
      </c>
    </row>
    <row r="33" spans="1:5">
      <c r="A33" s="12" t="s">
        <v>143</v>
      </c>
      <c r="B33" s="12" t="str">
        <f>VLOOKUP(A33,LISTADHERENT!A$5:H$49,2)</f>
        <v>NKAMGANG JUSTIN DEJOLIE</v>
      </c>
      <c r="C33" s="19">
        <f t="shared" si="0"/>
        <v>0</v>
      </c>
      <c r="D33" s="19">
        <f t="shared" si="1"/>
        <v>0</v>
      </c>
      <c r="E33" s="18" t="s">
        <v>2</v>
      </c>
    </row>
    <row r="34" spans="1:5">
      <c r="A34" s="12" t="s">
        <v>144</v>
      </c>
      <c r="B34" s="12" t="str">
        <f>VLOOKUP(A34,LISTADHERENT!A$5:H$49,2)</f>
        <v>NKEPSEU DIEUDONNE</v>
      </c>
      <c r="C34" s="19">
        <f t="shared" si="0"/>
        <v>0</v>
      </c>
      <c r="D34" s="19">
        <f t="shared" si="1"/>
        <v>0</v>
      </c>
      <c r="E34" s="18" t="s">
        <v>2</v>
      </c>
    </row>
    <row r="35" spans="1:5">
      <c r="A35" s="12" t="s">
        <v>145</v>
      </c>
      <c r="B35" s="12" t="str">
        <f>VLOOKUP(A35,LISTADHERENT!A$5:H$49,2)</f>
        <v>NTEPDIE TUEMAC MZ</v>
      </c>
      <c r="C35" s="19">
        <f t="shared" si="0"/>
        <v>0</v>
      </c>
      <c r="D35" s="19">
        <f t="shared" si="1"/>
        <v>0</v>
      </c>
      <c r="E35" s="18" t="s">
        <v>2</v>
      </c>
    </row>
    <row r="36" spans="1:5">
      <c r="A36" s="12" t="s">
        <v>146</v>
      </c>
      <c r="B36" s="12" t="str">
        <f>VLOOKUP(A36,LISTADHERENT!A$5:H$49,2)</f>
        <v>NTOMBOU ADOLPHE</v>
      </c>
      <c r="C36" s="19">
        <f t="shared" si="0"/>
        <v>0</v>
      </c>
      <c r="D36" s="19">
        <f t="shared" si="1"/>
        <v>0</v>
      </c>
      <c r="E36" s="18" t="s">
        <v>2</v>
      </c>
    </row>
    <row r="37" spans="1:5">
      <c r="A37" s="12" t="s">
        <v>147</v>
      </c>
      <c r="B37" s="12" t="str">
        <f>VLOOKUP(A37,LISTADHERENT!A$5:H$49,2)</f>
        <v>PATEGO NJOSSU GUSTAVE</v>
      </c>
      <c r="C37" s="19">
        <f t="shared" si="0"/>
        <v>60000</v>
      </c>
      <c r="D37" s="19">
        <f t="shared" si="1"/>
        <v>0</v>
      </c>
      <c r="E37" s="18" t="s">
        <v>1</v>
      </c>
    </row>
    <row r="38" spans="1:5">
      <c r="A38" s="12" t="s">
        <v>148</v>
      </c>
      <c r="B38" s="12" t="str">
        <f>VLOOKUP(A38,LISTADHERENT!A$5:H$49,2)</f>
        <v>SEUNOU RICHELOT</v>
      </c>
      <c r="C38" s="19">
        <f t="shared" si="0"/>
        <v>0</v>
      </c>
      <c r="D38" s="19">
        <f t="shared" si="1"/>
        <v>0</v>
      </c>
      <c r="E38" s="18" t="s">
        <v>2</v>
      </c>
    </row>
    <row r="39" spans="1:5">
      <c r="A39" s="12" t="s">
        <v>149</v>
      </c>
      <c r="B39" s="12" t="str">
        <f>VLOOKUP(A39,LISTADHERENT!A$5:H$49,2)</f>
        <v>SIME ABEL</v>
      </c>
      <c r="C39" s="19">
        <f t="shared" si="0"/>
        <v>0</v>
      </c>
      <c r="D39" s="19">
        <f t="shared" si="1"/>
        <v>0</v>
      </c>
      <c r="E39" s="18" t="s">
        <v>2</v>
      </c>
    </row>
    <row r="40" spans="1:5">
      <c r="A40" s="12" t="s">
        <v>150</v>
      </c>
      <c r="B40" s="12" t="str">
        <f>VLOOKUP(A40,LISTADHERENT!A$5:H$49,2)</f>
        <v>SIME FONGANG ERIC</v>
      </c>
      <c r="C40" s="19">
        <f t="shared" si="0"/>
        <v>0</v>
      </c>
      <c r="D40" s="19">
        <f t="shared" si="1"/>
        <v>0</v>
      </c>
      <c r="E40" s="18" t="s">
        <v>2</v>
      </c>
    </row>
    <row r="41" spans="1:5">
      <c r="A41" s="12" t="s">
        <v>151</v>
      </c>
      <c r="B41" s="12" t="str">
        <f>VLOOKUP(A41,LISTADHERENT!A$5:H$49,2)</f>
        <v>SIME MATHIEU</v>
      </c>
      <c r="C41" s="19">
        <f t="shared" si="0"/>
        <v>0</v>
      </c>
      <c r="D41" s="19">
        <f t="shared" si="1"/>
        <v>0</v>
      </c>
      <c r="E41" s="18" t="s">
        <v>2</v>
      </c>
    </row>
    <row r="42" spans="1:5">
      <c r="A42" s="12" t="s">
        <v>152</v>
      </c>
      <c r="B42" s="12" t="str">
        <f>VLOOKUP(A42,LISTADHERENT!A$5:H$49,2)</f>
        <v>SIME PIERRE</v>
      </c>
      <c r="C42" s="19">
        <f t="shared" si="0"/>
        <v>60000</v>
      </c>
      <c r="D42" s="19">
        <f t="shared" si="1"/>
        <v>0</v>
      </c>
      <c r="E42" s="18" t="s">
        <v>1</v>
      </c>
    </row>
    <row r="43" spans="1:5">
      <c r="A43" s="12" t="s">
        <v>153</v>
      </c>
      <c r="B43" s="12" t="str">
        <f>VLOOKUP(A43,LISTADHERENT!A$5:H$49,2)</f>
        <v>TCHOUAMOU JEAN PAUL</v>
      </c>
      <c r="C43" s="19">
        <f t="shared" si="0"/>
        <v>0</v>
      </c>
      <c r="D43" s="19">
        <f t="shared" si="1"/>
        <v>0</v>
      </c>
      <c r="E43" s="18" t="s">
        <v>2</v>
      </c>
    </row>
    <row r="44" spans="1:5">
      <c r="A44" s="12" t="s">
        <v>154</v>
      </c>
      <c r="B44" s="12" t="str">
        <f>VLOOKUP(A44,LISTADHERENT!A$5:H$49,2)</f>
        <v>TCHOUAMOU MATHIEU</v>
      </c>
      <c r="C44" s="19">
        <f t="shared" si="0"/>
        <v>0</v>
      </c>
      <c r="D44" s="19">
        <f t="shared" si="1"/>
        <v>0</v>
      </c>
      <c r="E44" s="18" t="s">
        <v>2</v>
      </c>
    </row>
    <row r="45" spans="1:5">
      <c r="A45" s="12" t="s">
        <v>155</v>
      </c>
      <c r="B45" s="12" t="str">
        <f>VLOOKUP(A45,LISTADHERENT!A$5:H$49,2)</f>
        <v>TCHOUANTE FRANCOIS</v>
      </c>
      <c r="C45" s="19">
        <f t="shared" si="0"/>
        <v>0</v>
      </c>
      <c r="D45" s="19">
        <f t="shared" si="1"/>
        <v>0</v>
      </c>
      <c r="E45" s="18" t="s">
        <v>2</v>
      </c>
    </row>
    <row r="46" spans="1:5">
      <c r="A46" s="12" t="s">
        <v>156</v>
      </c>
      <c r="B46" s="12" t="str">
        <f>VLOOKUP(A46,LISTADHERENT!A$5:H$49,2)</f>
        <v>TCHOUTOU NANA CLAUDE</v>
      </c>
      <c r="C46" s="19">
        <f t="shared" si="0"/>
        <v>0</v>
      </c>
      <c r="D46" s="19">
        <f t="shared" si="1"/>
        <v>0</v>
      </c>
      <c r="E46" s="18" t="s">
        <v>2</v>
      </c>
    </row>
    <row r="47" spans="1:5">
      <c r="A47" s="12" t="s">
        <v>157</v>
      </c>
      <c r="B47" s="12" t="str">
        <f>VLOOKUP(A47,LISTADHERENT!A$5:H$49,2)</f>
        <v>TIEYAM ERNEST</v>
      </c>
      <c r="C47" s="19">
        <f t="shared" si="0"/>
        <v>0</v>
      </c>
      <c r="D47" s="19">
        <f t="shared" si="1"/>
        <v>0</v>
      </c>
      <c r="E47" s="18" t="s">
        <v>2</v>
      </c>
    </row>
    <row r="48" spans="1:5">
      <c r="A48" s="12" t="s">
        <v>158</v>
      </c>
      <c r="B48" s="12" t="str">
        <f>VLOOKUP(A48,LISTADHERENT!A$5:H$49,2)</f>
        <v>TUGMA PIERRE LOTI</v>
      </c>
      <c r="C48" s="19">
        <f t="shared" si="0"/>
        <v>0</v>
      </c>
      <c r="D48" s="19">
        <f t="shared" si="1"/>
        <v>0</v>
      </c>
      <c r="E48" s="18" t="s">
        <v>2</v>
      </c>
    </row>
    <row r="49" spans="1:9">
      <c r="A49" s="12" t="s">
        <v>159</v>
      </c>
      <c r="B49" s="12" t="str">
        <f>VLOOKUP(A49,LISTADHERENT!A$5:H$49,2)</f>
        <v>YEPMOU JEAN JACQUES</v>
      </c>
      <c r="C49" s="19">
        <f t="shared" si="0"/>
        <v>0</v>
      </c>
      <c r="D49" s="19">
        <f t="shared" si="1"/>
        <v>0</v>
      </c>
      <c r="E49" s="18" t="s">
        <v>2</v>
      </c>
    </row>
    <row r="50" spans="1:9">
      <c r="A50" s="12" t="s">
        <v>160</v>
      </c>
      <c r="B50" s="12" t="str">
        <f>VLOOKUP(A50,LISTADHERENT!A$5:H$49,2)</f>
        <v>YOUMBI EMMANUEL</v>
      </c>
      <c r="C50" s="19">
        <f t="shared" si="0"/>
        <v>0</v>
      </c>
      <c r="D50" s="19">
        <f t="shared" si="1"/>
        <v>0</v>
      </c>
      <c r="E50" s="18" t="s">
        <v>2</v>
      </c>
    </row>
    <row r="52" spans="1:9" ht="18">
      <c r="A52" s="13" t="s">
        <v>165</v>
      </c>
      <c r="B52" s="13"/>
      <c r="C52" s="14">
        <f>SUM(C6:C51)</f>
        <v>360000</v>
      </c>
      <c r="D52" s="14">
        <f>SUM(D6:D51)</f>
        <v>0</v>
      </c>
      <c r="E52" s="14"/>
      <c r="F52" s="14">
        <f t="shared" ref="F52:I52" si="2">SUM(F6:F51)</f>
        <v>0</v>
      </c>
      <c r="G52" s="14">
        <f t="shared" si="2"/>
        <v>0</v>
      </c>
      <c r="H52" s="14">
        <f t="shared" si="2"/>
        <v>0</v>
      </c>
      <c r="I52" s="14">
        <f t="shared" si="2"/>
        <v>0</v>
      </c>
    </row>
  </sheetData>
  <autoFilter ref="A5:J50"/>
  <mergeCells count="1">
    <mergeCell ref="C4:H4"/>
  </mergeCells>
  <dataValidations count="1">
    <dataValidation type="list" allowBlank="1" showInputMessage="1" showErrorMessage="1" promptTitle="Saissisez le mode de VERSEMENT" sqref="E6:E50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I6" sqref="I6"/>
    </sheetView>
  </sheetViews>
  <sheetFormatPr baseColWidth="10" defaultRowHeight="15"/>
  <cols>
    <col min="1" max="1" width="13.85546875" customWidth="1"/>
    <col min="2" max="2" width="29.5703125" bestFit="1" customWidth="1"/>
    <col min="3" max="3" width="12.28515625" style="1" bestFit="1" customWidth="1"/>
    <col min="4" max="4" width="12.5703125" bestFit="1" customWidth="1"/>
    <col min="5" max="5" width="17.5703125" style="21" bestFit="1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1">
      <c r="A1" s="12" t="s">
        <v>166</v>
      </c>
      <c r="B1" s="12" t="s">
        <v>6</v>
      </c>
    </row>
    <row r="2" spans="1:11">
      <c r="A2" s="12" t="s">
        <v>163</v>
      </c>
      <c r="B2" s="12" t="s">
        <v>164</v>
      </c>
    </row>
    <row r="3" spans="1:11">
      <c r="A3" s="12" t="s">
        <v>168</v>
      </c>
      <c r="B3" s="22">
        <v>100000</v>
      </c>
    </row>
    <row r="4" spans="1:11" ht="18">
      <c r="B4" s="20"/>
      <c r="C4" s="24">
        <v>42614</v>
      </c>
      <c r="D4" s="25"/>
      <c r="E4" s="25"/>
      <c r="F4" s="25"/>
      <c r="G4" s="25"/>
      <c r="H4" s="25"/>
    </row>
    <row r="5" spans="1:11" ht="29.25">
      <c r="A5" s="12" t="s">
        <v>162</v>
      </c>
      <c r="B5" s="12" t="s">
        <v>161</v>
      </c>
      <c r="C5" s="15" t="s">
        <v>4</v>
      </c>
      <c r="D5" s="12" t="s">
        <v>5</v>
      </c>
      <c r="E5" s="18" t="s">
        <v>3</v>
      </c>
      <c r="F5" s="22" t="s">
        <v>169</v>
      </c>
      <c r="G5" s="15" t="s">
        <v>173</v>
      </c>
      <c r="H5" s="15" t="s">
        <v>170</v>
      </c>
      <c r="I5" s="15" t="s">
        <v>174</v>
      </c>
      <c r="J5" s="22" t="s">
        <v>171</v>
      </c>
      <c r="K5" s="12" t="s">
        <v>172</v>
      </c>
    </row>
    <row r="6" spans="1:11">
      <c r="A6" s="12" t="s">
        <v>116</v>
      </c>
      <c r="B6" s="12" t="str">
        <f>VLOOKUP(A6,LISTADHERENT!A$5:H$49,2)</f>
        <v>BAKOP ACHILLE</v>
      </c>
      <c r="C6" s="19">
        <f>IF(E6="ECHEC",0,100000)</f>
        <v>0</v>
      </c>
      <c r="D6" s="19">
        <f>IF(E6="ESPECE",1000,0)</f>
        <v>0</v>
      </c>
      <c r="E6" s="18" t="s">
        <v>2</v>
      </c>
      <c r="H6" s="19">
        <f>IF(AND(F6&gt;0,I6="OK"),F6+G6,0)</f>
        <v>0</v>
      </c>
      <c r="I6" s="19"/>
    </row>
    <row r="7" spans="1:11">
      <c r="A7" s="12" t="s">
        <v>117</v>
      </c>
      <c r="B7" s="12" t="str">
        <f>VLOOKUP(A7,LISTADHERENT!A$5:H$49,2)</f>
        <v>BOUTCHOUANG WILLIAM</v>
      </c>
      <c r="C7" s="19">
        <f t="shared" ref="C7:C50" si="0">IF(E7="ECHEC",0,100000)</f>
        <v>0</v>
      </c>
      <c r="D7" s="19">
        <f t="shared" ref="D7:D50" si="1">IF(E7="ESPECE",1000,0)</f>
        <v>0</v>
      </c>
      <c r="E7" s="18" t="s">
        <v>2</v>
      </c>
    </row>
    <row r="8" spans="1:11">
      <c r="A8" s="12" t="s">
        <v>118</v>
      </c>
      <c r="B8" s="12" t="str">
        <f>VLOOKUP(A8,LISTADHERENT!A$5:H$49,2)</f>
        <v>CHINGUE FABRICE</v>
      </c>
      <c r="C8" s="19">
        <f t="shared" si="0"/>
        <v>0</v>
      </c>
      <c r="D8" s="19">
        <f t="shared" si="1"/>
        <v>0</v>
      </c>
      <c r="E8" s="18" t="s">
        <v>2</v>
      </c>
    </row>
    <row r="9" spans="1:11">
      <c r="A9" s="12" t="s">
        <v>119</v>
      </c>
      <c r="B9" s="12" t="str">
        <f>VLOOKUP(A9,LISTADHERENT!A$5:H$49,2)</f>
        <v xml:space="preserve">DJOMO JEAN PAUL </v>
      </c>
      <c r="C9" s="19">
        <f t="shared" si="0"/>
        <v>0</v>
      </c>
      <c r="D9" s="19">
        <f t="shared" si="1"/>
        <v>0</v>
      </c>
      <c r="E9" s="18" t="s">
        <v>2</v>
      </c>
    </row>
    <row r="10" spans="1:11">
      <c r="A10" s="12" t="s">
        <v>120</v>
      </c>
      <c r="B10" s="12" t="str">
        <f>VLOOKUP(A10,LISTADHERENT!A$5:H$49,2)</f>
        <v>DJOUKWE GUY</v>
      </c>
      <c r="C10" s="19">
        <f t="shared" si="0"/>
        <v>0</v>
      </c>
      <c r="D10" s="19">
        <f t="shared" si="1"/>
        <v>0</v>
      </c>
      <c r="E10" s="18" t="s">
        <v>2</v>
      </c>
    </row>
    <row r="11" spans="1:11">
      <c r="A11" s="12" t="s">
        <v>121</v>
      </c>
      <c r="B11" s="12" t="str">
        <f>VLOOKUP(A11,LISTADHERENT!A$5:H$49,2)</f>
        <v>DJOUNKEP SAMUEL</v>
      </c>
      <c r="C11" s="19">
        <f t="shared" si="0"/>
        <v>100000</v>
      </c>
      <c r="D11" s="19">
        <f t="shared" si="1"/>
        <v>0</v>
      </c>
      <c r="E11" s="18" t="s">
        <v>1</v>
      </c>
    </row>
    <row r="12" spans="1:11">
      <c r="A12" s="12" t="s">
        <v>122</v>
      </c>
      <c r="B12" s="12" t="str">
        <f>VLOOKUP(A12,LISTADHERENT!A$5:H$49,2)</f>
        <v>DJUOMBESSY ANTOINE</v>
      </c>
      <c r="C12" s="19">
        <f t="shared" si="0"/>
        <v>100000</v>
      </c>
      <c r="D12" s="19">
        <f t="shared" si="1"/>
        <v>0</v>
      </c>
      <c r="E12" s="18" t="s">
        <v>1</v>
      </c>
    </row>
    <row r="13" spans="1:11">
      <c r="A13" s="12" t="s">
        <v>123</v>
      </c>
      <c r="B13" s="12" t="str">
        <f>VLOOKUP(A13,LISTADHERENT!A$5:H$49,2)</f>
        <v>DONHOU DAVID</v>
      </c>
      <c r="C13" s="19">
        <f t="shared" si="0"/>
        <v>0</v>
      </c>
      <c r="D13" s="19">
        <f t="shared" si="1"/>
        <v>0</v>
      </c>
      <c r="E13" s="18" t="s">
        <v>2</v>
      </c>
    </row>
    <row r="14" spans="1:11">
      <c r="A14" s="12" t="s">
        <v>124</v>
      </c>
      <c r="B14" s="12" t="str">
        <f>VLOOKUP(A14,LISTADHERENT!A$5:H$49,2)</f>
        <v>FOTSO THOMAS</v>
      </c>
      <c r="C14" s="19">
        <f t="shared" si="0"/>
        <v>100000</v>
      </c>
      <c r="D14" s="19">
        <f t="shared" si="1"/>
        <v>0</v>
      </c>
      <c r="E14" s="18" t="s">
        <v>1</v>
      </c>
    </row>
    <row r="15" spans="1:11">
      <c r="A15" s="12" t="s">
        <v>125</v>
      </c>
      <c r="B15" s="12" t="str">
        <f>VLOOKUP(A15,LISTADHERENT!A$5:H$49,2)</f>
        <v>HENGUE PAUL OMER</v>
      </c>
      <c r="C15" s="19">
        <f t="shared" si="0"/>
        <v>0</v>
      </c>
      <c r="D15" s="19">
        <f t="shared" si="1"/>
        <v>0</v>
      </c>
      <c r="E15" s="18" t="s">
        <v>2</v>
      </c>
    </row>
    <row r="16" spans="1:11">
      <c r="A16" s="12" t="s">
        <v>126</v>
      </c>
      <c r="B16" s="12" t="str">
        <f>VLOOKUP(A16,LISTADHERENT!A$5:H$49,2)</f>
        <v>HODIEP JULES</v>
      </c>
      <c r="C16" s="19">
        <f t="shared" si="0"/>
        <v>0</v>
      </c>
      <c r="D16" s="19">
        <f t="shared" si="1"/>
        <v>0</v>
      </c>
      <c r="E16" s="18" t="s">
        <v>2</v>
      </c>
    </row>
    <row r="17" spans="1:5">
      <c r="A17" s="12" t="s">
        <v>127</v>
      </c>
      <c r="B17" s="12" t="str">
        <f>VLOOKUP(A17,LISTADHERENT!A$5:H$49,2)</f>
        <v>HOTCHO BENJAMIN</v>
      </c>
      <c r="C17" s="19">
        <f t="shared" si="0"/>
        <v>0</v>
      </c>
      <c r="D17" s="19">
        <f t="shared" si="1"/>
        <v>0</v>
      </c>
      <c r="E17" s="18" t="s">
        <v>2</v>
      </c>
    </row>
    <row r="18" spans="1:5">
      <c r="A18" s="12" t="s">
        <v>128</v>
      </c>
      <c r="B18" s="12" t="str">
        <f>VLOOKUP(A18,LISTADHERENT!A$5:H$49,2)</f>
        <v>KEPHE DAVID</v>
      </c>
      <c r="C18" s="19">
        <f t="shared" si="0"/>
        <v>0</v>
      </c>
      <c r="D18" s="19">
        <f t="shared" si="1"/>
        <v>0</v>
      </c>
      <c r="E18" s="18" t="s">
        <v>2</v>
      </c>
    </row>
    <row r="19" spans="1:5">
      <c r="A19" s="12" t="s">
        <v>129</v>
      </c>
      <c r="B19" s="12" t="str">
        <f>VLOOKUP(A19,LISTADHERENT!A$5:H$49,2)</f>
        <v>KEPSEU FRANCIS</v>
      </c>
      <c r="C19" s="19">
        <f t="shared" si="0"/>
        <v>0</v>
      </c>
      <c r="D19" s="19">
        <f t="shared" si="1"/>
        <v>0</v>
      </c>
      <c r="E19" s="18" t="s">
        <v>2</v>
      </c>
    </row>
    <row r="20" spans="1:5">
      <c r="A20" s="12" t="s">
        <v>130</v>
      </c>
      <c r="B20" s="12" t="str">
        <f>VLOOKUP(A20,LISTADHERENT!A$5:H$49,2)</f>
        <v>KEPSEU HENANG RENE</v>
      </c>
      <c r="C20" s="19">
        <f t="shared" si="0"/>
        <v>0</v>
      </c>
      <c r="D20" s="19">
        <f t="shared" si="1"/>
        <v>0</v>
      </c>
      <c r="E20" s="18" t="s">
        <v>2</v>
      </c>
    </row>
    <row r="21" spans="1:5">
      <c r="A21" s="12" t="s">
        <v>131</v>
      </c>
      <c r="B21" s="12" t="str">
        <f>VLOOKUP(A21,LISTADHERENT!A$5:H$49,2)</f>
        <v>KOUAMOU EMMANUEL</v>
      </c>
      <c r="C21" s="19">
        <f t="shared" si="0"/>
        <v>0</v>
      </c>
      <c r="D21" s="19">
        <f t="shared" si="1"/>
        <v>0</v>
      </c>
      <c r="E21" s="18" t="s">
        <v>2</v>
      </c>
    </row>
    <row r="22" spans="1:5">
      <c r="A22" s="12" t="s">
        <v>132</v>
      </c>
      <c r="B22" s="12" t="str">
        <f>VLOOKUP(A22,LISTADHERENT!A$5:H$49,2)</f>
        <v>KOUAMOU MOISE</v>
      </c>
      <c r="C22" s="19">
        <f t="shared" si="0"/>
        <v>100000</v>
      </c>
      <c r="D22" s="19">
        <f t="shared" si="1"/>
        <v>0</v>
      </c>
      <c r="E22" s="18" t="s">
        <v>1</v>
      </c>
    </row>
    <row r="23" spans="1:5">
      <c r="A23" s="12" t="s">
        <v>133</v>
      </c>
      <c r="B23" s="12" t="str">
        <f>VLOOKUP(A23,LISTADHERENT!A$5:H$49,2)</f>
        <v>KOUAMOU VICTOR PEGUY</v>
      </c>
      <c r="C23" s="19">
        <f t="shared" si="0"/>
        <v>0</v>
      </c>
      <c r="D23" s="19">
        <f t="shared" si="1"/>
        <v>0</v>
      </c>
      <c r="E23" s="18" t="s">
        <v>2</v>
      </c>
    </row>
    <row r="24" spans="1:5">
      <c r="A24" s="12" t="s">
        <v>134</v>
      </c>
      <c r="B24" s="12" t="str">
        <f>VLOOKUP(A24,LISTADHERENT!A$5:H$49,2)</f>
        <v>KOUATCHO MESSACK</v>
      </c>
      <c r="C24" s="19">
        <f t="shared" si="0"/>
        <v>100000</v>
      </c>
      <c r="D24" s="19">
        <f t="shared" si="1"/>
        <v>0</v>
      </c>
      <c r="E24" s="18" t="s">
        <v>1</v>
      </c>
    </row>
    <row r="25" spans="1:5">
      <c r="A25" s="12" t="s">
        <v>135</v>
      </c>
      <c r="B25" s="12" t="str">
        <f>VLOOKUP(A25,LISTADHERENT!A$5:H$49,2)</f>
        <v>NANGUEN MARTIN</v>
      </c>
      <c r="C25" s="19">
        <f t="shared" si="0"/>
        <v>0</v>
      </c>
      <c r="D25" s="19">
        <f t="shared" si="1"/>
        <v>0</v>
      </c>
      <c r="E25" s="18" t="s">
        <v>2</v>
      </c>
    </row>
    <row r="26" spans="1:5">
      <c r="A26" s="12" t="s">
        <v>136</v>
      </c>
      <c r="B26" s="12" t="str">
        <f>VLOOKUP(A26,LISTADHERENT!A$5:H$49,2)</f>
        <v>NANKAM APPOLINAIRE</v>
      </c>
      <c r="C26" s="19">
        <f t="shared" si="0"/>
        <v>0</v>
      </c>
      <c r="D26" s="19">
        <f t="shared" si="1"/>
        <v>0</v>
      </c>
      <c r="E26" s="18" t="s">
        <v>2</v>
      </c>
    </row>
    <row r="27" spans="1:5">
      <c r="A27" s="12" t="s">
        <v>137</v>
      </c>
      <c r="B27" s="12" t="str">
        <f>VLOOKUP(A27,LISTADHERENT!A$5:H$49,2)</f>
        <v>NDJOMO ETIENNE</v>
      </c>
      <c r="C27" s="19">
        <f t="shared" si="0"/>
        <v>0</v>
      </c>
      <c r="D27" s="19">
        <f t="shared" si="1"/>
        <v>0</v>
      </c>
      <c r="E27" s="18" t="s">
        <v>2</v>
      </c>
    </row>
    <row r="28" spans="1:5">
      <c r="A28" s="12" t="s">
        <v>138</v>
      </c>
      <c r="B28" s="12" t="str">
        <f>VLOOKUP(A28,LISTADHERENT!A$5:H$49,2)</f>
        <v>NDOMBOU JEAN CLAUDE</v>
      </c>
      <c r="C28" s="19">
        <f t="shared" si="0"/>
        <v>0</v>
      </c>
      <c r="D28" s="19">
        <f t="shared" si="1"/>
        <v>0</v>
      </c>
      <c r="E28" s="18" t="s">
        <v>2</v>
      </c>
    </row>
    <row r="29" spans="1:5">
      <c r="A29" s="12" t="s">
        <v>139</v>
      </c>
      <c r="B29" s="12" t="str">
        <f>VLOOKUP(A29,LISTADHERENT!A$5:H$49,2)</f>
        <v>NGONDIEP CLAUDE</v>
      </c>
      <c r="C29" s="19">
        <f t="shared" si="0"/>
        <v>100000</v>
      </c>
      <c r="D29" s="19">
        <f t="shared" si="1"/>
        <v>0</v>
      </c>
      <c r="E29" s="18" t="s">
        <v>1</v>
      </c>
    </row>
    <row r="30" spans="1:5">
      <c r="A30" s="12" t="s">
        <v>140</v>
      </c>
      <c r="B30" s="12" t="str">
        <f>VLOOKUP(A30,LISTADHERENT!A$5:H$49,2)</f>
        <v>NGONGANG JEAN THEODORE</v>
      </c>
      <c r="C30" s="19">
        <f t="shared" si="0"/>
        <v>0</v>
      </c>
      <c r="D30" s="19">
        <f t="shared" si="1"/>
        <v>0</v>
      </c>
      <c r="E30" s="18" t="s">
        <v>2</v>
      </c>
    </row>
    <row r="31" spans="1:5">
      <c r="A31" s="12" t="s">
        <v>141</v>
      </c>
      <c r="B31" s="12" t="str">
        <f>VLOOKUP(A31,LISTADHERENT!A$5:H$49,2)</f>
        <v>NGUIEMEGNI MATHIEU BLAISE</v>
      </c>
      <c r="C31" s="19">
        <f t="shared" si="0"/>
        <v>0</v>
      </c>
      <c r="D31" s="19">
        <f t="shared" si="1"/>
        <v>0</v>
      </c>
      <c r="E31" s="18" t="s">
        <v>2</v>
      </c>
    </row>
    <row r="32" spans="1:5">
      <c r="A32" s="12" t="s">
        <v>142</v>
      </c>
      <c r="B32" s="12" t="str">
        <f>VLOOKUP(A32,LISTADHERENT!A$5:H$49,2)</f>
        <v>NJEPDJIO MBOUKAM DELUXE</v>
      </c>
      <c r="C32" s="19">
        <f t="shared" si="0"/>
        <v>0</v>
      </c>
      <c r="D32" s="19">
        <f t="shared" si="1"/>
        <v>0</v>
      </c>
      <c r="E32" s="18" t="s">
        <v>2</v>
      </c>
    </row>
    <row r="33" spans="1:5">
      <c r="A33" s="12" t="s">
        <v>143</v>
      </c>
      <c r="B33" s="12" t="str">
        <f>VLOOKUP(A33,LISTADHERENT!A$5:H$49,2)</f>
        <v>NKAMGANG JUSTIN DEJOLIE</v>
      </c>
      <c r="C33" s="19">
        <f t="shared" si="0"/>
        <v>100000</v>
      </c>
      <c r="D33" s="19">
        <f t="shared" si="1"/>
        <v>0</v>
      </c>
      <c r="E33" s="18" t="s">
        <v>1</v>
      </c>
    </row>
    <row r="34" spans="1:5">
      <c r="A34" s="12" t="s">
        <v>144</v>
      </c>
      <c r="B34" s="12" t="str">
        <f>VLOOKUP(A34,LISTADHERENT!A$5:H$49,2)</f>
        <v>NKEPSEU DIEUDONNE</v>
      </c>
      <c r="C34" s="19">
        <f t="shared" si="0"/>
        <v>0</v>
      </c>
      <c r="D34" s="19">
        <f t="shared" si="1"/>
        <v>0</v>
      </c>
      <c r="E34" s="18" t="s">
        <v>2</v>
      </c>
    </row>
    <row r="35" spans="1:5">
      <c r="A35" s="12" t="s">
        <v>145</v>
      </c>
      <c r="B35" s="12" t="str">
        <f>VLOOKUP(A35,LISTADHERENT!A$5:H$49,2)</f>
        <v>NTEPDIE TUEMAC MZ</v>
      </c>
      <c r="C35" s="19">
        <f t="shared" si="0"/>
        <v>0</v>
      </c>
      <c r="D35" s="19">
        <f t="shared" si="1"/>
        <v>0</v>
      </c>
      <c r="E35" s="18" t="s">
        <v>2</v>
      </c>
    </row>
    <row r="36" spans="1:5">
      <c r="A36" s="12" t="s">
        <v>146</v>
      </c>
      <c r="B36" s="12" t="str">
        <f>VLOOKUP(A36,LISTADHERENT!A$5:H$49,2)</f>
        <v>NTOMBOU ADOLPHE</v>
      </c>
      <c r="C36" s="19">
        <f t="shared" si="0"/>
        <v>0</v>
      </c>
      <c r="D36" s="19">
        <f t="shared" si="1"/>
        <v>0</v>
      </c>
      <c r="E36" s="18" t="s">
        <v>2</v>
      </c>
    </row>
    <row r="37" spans="1:5">
      <c r="A37" s="12" t="s">
        <v>147</v>
      </c>
      <c r="B37" s="12" t="str">
        <f>VLOOKUP(A37,LISTADHERENT!A$5:H$49,2)</f>
        <v>PATEGO NJOSSU GUSTAVE</v>
      </c>
      <c r="C37" s="19">
        <f t="shared" si="0"/>
        <v>0</v>
      </c>
      <c r="D37" s="19">
        <f t="shared" si="1"/>
        <v>0</v>
      </c>
      <c r="E37" s="18" t="s">
        <v>2</v>
      </c>
    </row>
    <row r="38" spans="1:5">
      <c r="A38" s="12" t="s">
        <v>148</v>
      </c>
      <c r="B38" s="12" t="str">
        <f>VLOOKUP(A38,LISTADHERENT!A$5:H$49,2)</f>
        <v>SEUNOU RICHELOT</v>
      </c>
      <c r="C38" s="19">
        <f t="shared" si="0"/>
        <v>0</v>
      </c>
      <c r="D38" s="19">
        <f t="shared" si="1"/>
        <v>0</v>
      </c>
      <c r="E38" s="18" t="s">
        <v>2</v>
      </c>
    </row>
    <row r="39" spans="1:5">
      <c r="A39" s="12" t="s">
        <v>149</v>
      </c>
      <c r="B39" s="12" t="str">
        <f>VLOOKUP(A39,LISTADHERENT!A$5:H$49,2)</f>
        <v>SIME ABEL</v>
      </c>
      <c r="C39" s="19">
        <f t="shared" si="0"/>
        <v>0</v>
      </c>
      <c r="D39" s="19">
        <f t="shared" si="1"/>
        <v>0</v>
      </c>
      <c r="E39" s="18" t="s">
        <v>2</v>
      </c>
    </row>
    <row r="40" spans="1:5">
      <c r="A40" s="12" t="s">
        <v>150</v>
      </c>
      <c r="B40" s="12" t="str">
        <f>VLOOKUP(A40,LISTADHERENT!A$5:H$49,2)</f>
        <v>SIME FONGANG ERIC</v>
      </c>
      <c r="C40" s="19">
        <f t="shared" si="0"/>
        <v>100000</v>
      </c>
      <c r="D40" s="19">
        <f t="shared" si="1"/>
        <v>0</v>
      </c>
      <c r="E40" s="18" t="s">
        <v>1</v>
      </c>
    </row>
    <row r="41" spans="1:5">
      <c r="A41" s="12" t="s">
        <v>151</v>
      </c>
      <c r="B41" s="12" t="str">
        <f>VLOOKUP(A41,LISTADHERENT!A$5:H$49,2)</f>
        <v>SIME MATHIEU</v>
      </c>
      <c r="C41" s="19">
        <f t="shared" si="0"/>
        <v>0</v>
      </c>
      <c r="D41" s="19">
        <f t="shared" si="1"/>
        <v>0</v>
      </c>
      <c r="E41" s="18" t="s">
        <v>2</v>
      </c>
    </row>
    <row r="42" spans="1:5">
      <c r="A42" s="12" t="s">
        <v>152</v>
      </c>
      <c r="B42" s="12" t="str">
        <f>VLOOKUP(A42,LISTADHERENT!A$5:H$49,2)</f>
        <v>SIME PIERRE</v>
      </c>
      <c r="C42" s="19">
        <f t="shared" si="0"/>
        <v>0</v>
      </c>
      <c r="D42" s="19">
        <f t="shared" si="1"/>
        <v>0</v>
      </c>
      <c r="E42" s="18" t="s">
        <v>2</v>
      </c>
    </row>
    <row r="43" spans="1:5">
      <c r="A43" s="12" t="s">
        <v>153</v>
      </c>
      <c r="B43" s="12" t="str">
        <f>VLOOKUP(A43,LISTADHERENT!A$5:H$49,2)</f>
        <v>TCHOUAMOU JEAN PAUL</v>
      </c>
      <c r="C43" s="19">
        <f t="shared" si="0"/>
        <v>0</v>
      </c>
      <c r="D43" s="19">
        <f t="shared" si="1"/>
        <v>0</v>
      </c>
      <c r="E43" s="18" t="s">
        <v>2</v>
      </c>
    </row>
    <row r="44" spans="1:5">
      <c r="A44" s="12" t="s">
        <v>154</v>
      </c>
      <c r="B44" s="12" t="str">
        <f>VLOOKUP(A44,LISTADHERENT!A$5:H$49,2)</f>
        <v>TCHOUAMOU MATHIEU</v>
      </c>
      <c r="C44" s="19">
        <f t="shared" si="0"/>
        <v>100000</v>
      </c>
      <c r="D44" s="19">
        <f t="shared" si="1"/>
        <v>0</v>
      </c>
      <c r="E44" s="18" t="s">
        <v>1</v>
      </c>
    </row>
    <row r="45" spans="1:5">
      <c r="A45" s="12" t="s">
        <v>155</v>
      </c>
      <c r="B45" s="12" t="str">
        <f>VLOOKUP(A45,LISTADHERENT!A$5:H$49,2)</f>
        <v>TCHOUANTE FRANCOIS</v>
      </c>
      <c r="C45" s="19">
        <f t="shared" si="0"/>
        <v>0</v>
      </c>
      <c r="D45" s="19">
        <f t="shared" si="1"/>
        <v>0</v>
      </c>
      <c r="E45" s="18" t="s">
        <v>2</v>
      </c>
    </row>
    <row r="46" spans="1:5">
      <c r="A46" s="12" t="s">
        <v>156</v>
      </c>
      <c r="B46" s="12" t="str">
        <f>VLOOKUP(A46,LISTADHERENT!A$5:H$49,2)</f>
        <v>TCHOUTOU NANA CLAUDE</v>
      </c>
      <c r="C46" s="19">
        <f t="shared" si="0"/>
        <v>0</v>
      </c>
      <c r="D46" s="19">
        <f t="shared" si="1"/>
        <v>0</v>
      </c>
      <c r="E46" s="18" t="s">
        <v>2</v>
      </c>
    </row>
    <row r="47" spans="1:5">
      <c r="A47" s="12" t="s">
        <v>157</v>
      </c>
      <c r="B47" s="12" t="str">
        <f>VLOOKUP(A47,LISTADHERENT!A$5:H$49,2)</f>
        <v>TIEYAM ERNEST</v>
      </c>
      <c r="C47" s="19">
        <f t="shared" si="0"/>
        <v>0</v>
      </c>
      <c r="D47" s="19">
        <f t="shared" si="1"/>
        <v>0</v>
      </c>
      <c r="E47" s="18" t="s">
        <v>2</v>
      </c>
    </row>
    <row r="48" spans="1:5">
      <c r="A48" s="12" t="s">
        <v>158</v>
      </c>
      <c r="B48" s="12" t="str">
        <f>VLOOKUP(A48,LISTADHERENT!A$5:H$49,2)</f>
        <v>TUGMA PIERRE LOTI</v>
      </c>
      <c r="C48" s="19">
        <f t="shared" si="0"/>
        <v>0</v>
      </c>
      <c r="D48" s="19">
        <f t="shared" si="1"/>
        <v>0</v>
      </c>
      <c r="E48" s="18" t="s">
        <v>2</v>
      </c>
    </row>
    <row r="49" spans="1:9">
      <c r="A49" s="12" t="s">
        <v>159</v>
      </c>
      <c r="B49" s="12" t="str">
        <f>VLOOKUP(A49,LISTADHERENT!A$5:H$49,2)</f>
        <v>YEPMOU JEAN JACQUES</v>
      </c>
      <c r="C49" s="19">
        <f t="shared" si="0"/>
        <v>0</v>
      </c>
      <c r="D49" s="19">
        <f t="shared" si="1"/>
        <v>0</v>
      </c>
      <c r="E49" s="18" t="s">
        <v>2</v>
      </c>
    </row>
    <row r="50" spans="1:9">
      <c r="A50" s="12" t="s">
        <v>160</v>
      </c>
      <c r="B50" s="12" t="str">
        <f>VLOOKUP(A50,LISTADHERENT!A$5:H$49,2)</f>
        <v>YOUMBI EMMANUEL</v>
      </c>
      <c r="C50" s="19">
        <f t="shared" si="0"/>
        <v>0</v>
      </c>
      <c r="D50" s="19">
        <f t="shared" si="1"/>
        <v>0</v>
      </c>
      <c r="E50" s="18" t="s">
        <v>2</v>
      </c>
    </row>
    <row r="52" spans="1:9" ht="18">
      <c r="A52" s="13" t="s">
        <v>165</v>
      </c>
      <c r="B52" s="13"/>
      <c r="C52" s="14">
        <f>SUM(C6:C51)</f>
        <v>900000</v>
      </c>
      <c r="D52" s="14">
        <f>SUM(D6:D51)</f>
        <v>0</v>
      </c>
      <c r="E52" s="14"/>
      <c r="F52" s="14">
        <f t="shared" ref="F52:I52" si="2">SUM(F6:F51)</f>
        <v>0</v>
      </c>
      <c r="G52" s="14">
        <f t="shared" si="2"/>
        <v>0</v>
      </c>
      <c r="H52" s="14">
        <f t="shared" si="2"/>
        <v>0</v>
      </c>
      <c r="I52" s="14">
        <f t="shared" si="2"/>
        <v>0</v>
      </c>
    </row>
  </sheetData>
  <autoFilter ref="A5:J50"/>
  <mergeCells count="1">
    <mergeCell ref="C4:H4"/>
  </mergeCells>
  <dataValidations count="1">
    <dataValidation type="list" allowBlank="1" showInputMessage="1" showErrorMessage="1" promptTitle="Saissisez le mode de VERSEMENT" sqref="E6:E50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baseColWidth="10" defaultRowHeight="15"/>
  <sheetData>
    <row r="1" spans="1:1">
      <c r="A1" t="s">
        <v>1</v>
      </c>
    </row>
    <row r="2" spans="1:1">
      <c r="A2" t="s">
        <v>0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</vt:i4>
      </vt:variant>
    </vt:vector>
  </HeadingPairs>
  <TitlesOfParts>
    <vt:vector size="7" baseType="lpstr">
      <vt:lpstr>LISTADHERENT</vt:lpstr>
      <vt:lpstr>TONT20000</vt:lpstr>
      <vt:lpstr>TONT60000</vt:lpstr>
      <vt:lpstr>TONT100000</vt:lpstr>
      <vt:lpstr>Feuil2</vt:lpstr>
      <vt:lpstr>LISTADHERENT!Impression_des_titres</vt:lpstr>
      <vt:lpstr>MODEPAID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Djuombessy</dc:creator>
  <cp:lastModifiedBy>HP</cp:lastModifiedBy>
  <dcterms:created xsi:type="dcterms:W3CDTF">2016-09-19T11:09:03Z</dcterms:created>
  <dcterms:modified xsi:type="dcterms:W3CDTF">2016-09-22T03:30:47Z</dcterms:modified>
</cp:coreProperties>
</file>