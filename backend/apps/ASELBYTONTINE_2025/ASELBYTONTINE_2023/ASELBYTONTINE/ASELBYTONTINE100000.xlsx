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\ASELBYTONTINE\"/>
    </mc:Choice>
  </mc:AlternateContent>
  <bookViews>
    <workbookView xWindow="0" yWindow="0" windowWidth="20490" windowHeight="6810" activeTab="3"/>
  </bookViews>
  <sheets>
    <sheet name="MODEPAID" sheetId="3" r:id="rId1"/>
    <sheet name="TONTJUIN" sheetId="15" r:id="rId2"/>
    <sheet name="TONTJUIL" sheetId="13" r:id="rId3"/>
    <sheet name="TONTAOUT" sheetId="14" r:id="rId4"/>
    <sheet name="TONTSEPT" sheetId="12" r:id="rId5"/>
  </sheets>
  <externalReferences>
    <externalReference r:id="rId6"/>
    <externalReference r:id="rId7"/>
  </externalReferences>
  <definedNames>
    <definedName name="_xlnm._FilterDatabase" localSheetId="3" hidden="1">TONTAOUT!$A$5:$L$31</definedName>
    <definedName name="_xlnm._FilterDatabase" localSheetId="2" hidden="1">TONTJUIL!$A$5:$L$31</definedName>
    <definedName name="_xlnm._FilterDatabase" localSheetId="1" hidden="1">TONTJUIN!$A$5:$L$31</definedName>
    <definedName name="_xlnm._FilterDatabase" localSheetId="4" hidden="1">TONTSEPT!$A$5:$P$31</definedName>
    <definedName name="MODEPAID" localSheetId="0">MODEPAID!$A$1:$A$3</definedName>
    <definedName name="MODEPAID" localSheetId="3">#REF!</definedName>
    <definedName name="MODEPAID" localSheetId="2">#REF!</definedName>
    <definedName name="MODEPAID" localSheetId="1">#REF!</definedName>
    <definedName name="MODEPAID" localSheetId="4">#REF!</definedName>
    <definedName name="MODEPAID">#REF!</definedName>
    <definedName name="VALMODEPAID" localSheetId="3">[1]MODEPAID!$A$1:$A$3</definedName>
    <definedName name="VALMODEPAID" localSheetId="2">[1]MODEPAID!$A$1:$A$3</definedName>
    <definedName name="VALMODEPAID" localSheetId="1">[1]MODEPAID!$A$1:$A$3</definedName>
    <definedName name="VALMODEPAID">MODEPAID!$A$1:$A$3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3" i="14" l="1"/>
  <c r="L7" i="12" l="1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L25" i="12"/>
  <c r="L26" i="12"/>
  <c r="L27" i="12"/>
  <c r="L28" i="12"/>
  <c r="L29" i="12"/>
  <c r="L30" i="12"/>
  <c r="L31" i="12"/>
  <c r="L6" i="12"/>
  <c r="M33" i="12" l="1"/>
  <c r="C43" i="12" s="1"/>
  <c r="N33" i="12"/>
  <c r="I33" i="15" l="1"/>
  <c r="G33" i="15"/>
  <c r="H31" i="15"/>
  <c r="D31" i="15"/>
  <c r="C31" i="15"/>
  <c r="B31" i="15"/>
  <c r="H30" i="15"/>
  <c r="D30" i="15"/>
  <c r="C30" i="15"/>
  <c r="B30" i="15"/>
  <c r="H29" i="15"/>
  <c r="G29" i="15"/>
  <c r="F29" i="15"/>
  <c r="D29" i="15"/>
  <c r="C29" i="15"/>
  <c r="B29" i="15"/>
  <c r="H28" i="15"/>
  <c r="D28" i="15"/>
  <c r="C28" i="15"/>
  <c r="B28" i="15"/>
  <c r="H27" i="15"/>
  <c r="D27" i="15"/>
  <c r="C27" i="15"/>
  <c r="B27" i="15"/>
  <c r="H26" i="15"/>
  <c r="D26" i="15"/>
  <c r="C26" i="15"/>
  <c r="B26" i="15"/>
  <c r="H25" i="15"/>
  <c r="D25" i="15"/>
  <c r="C25" i="15"/>
  <c r="B25" i="15"/>
  <c r="H24" i="15"/>
  <c r="D24" i="15"/>
  <c r="C24" i="15"/>
  <c r="B24" i="15"/>
  <c r="H23" i="15"/>
  <c r="D23" i="15"/>
  <c r="C23" i="15"/>
  <c r="B23" i="15"/>
  <c r="H22" i="15"/>
  <c r="D22" i="15"/>
  <c r="C22" i="15"/>
  <c r="B22" i="15"/>
  <c r="H21" i="15"/>
  <c r="D21" i="15"/>
  <c r="C21" i="15"/>
  <c r="B21" i="15"/>
  <c r="H20" i="15"/>
  <c r="D20" i="15"/>
  <c r="C20" i="15"/>
  <c r="C37" i="15" s="1"/>
  <c r="F37" i="15" s="1"/>
  <c r="B20" i="15"/>
  <c r="H19" i="15"/>
  <c r="G19" i="15"/>
  <c r="F19" i="15"/>
  <c r="F33" i="15" s="1"/>
  <c r="D19" i="15"/>
  <c r="C19" i="15"/>
  <c r="B19" i="15"/>
  <c r="H18" i="15"/>
  <c r="D18" i="15"/>
  <c r="C18" i="15"/>
  <c r="B18" i="15"/>
  <c r="H17" i="15"/>
  <c r="D17" i="15"/>
  <c r="C17" i="15"/>
  <c r="B17" i="15"/>
  <c r="H16" i="15"/>
  <c r="D16" i="15"/>
  <c r="C16" i="15"/>
  <c r="B16" i="15"/>
  <c r="H15" i="15"/>
  <c r="D15" i="15"/>
  <c r="C15" i="15"/>
  <c r="B15" i="15"/>
  <c r="D14" i="15"/>
  <c r="C14" i="15"/>
  <c r="B14" i="15"/>
  <c r="H13" i="15"/>
  <c r="D13" i="15"/>
  <c r="C13" i="15"/>
  <c r="B13" i="15"/>
  <c r="H12" i="15"/>
  <c r="D12" i="15"/>
  <c r="C12" i="15"/>
  <c r="B12" i="15"/>
  <c r="H11" i="15"/>
  <c r="D11" i="15"/>
  <c r="C11" i="15"/>
  <c r="B11" i="15"/>
  <c r="H10" i="15"/>
  <c r="D10" i="15"/>
  <c r="C10" i="15"/>
  <c r="B10" i="15"/>
  <c r="H9" i="15"/>
  <c r="D9" i="15"/>
  <c r="C9" i="15"/>
  <c r="B9" i="15"/>
  <c r="H8" i="15"/>
  <c r="D8" i="15"/>
  <c r="C8" i="15"/>
  <c r="B8" i="15"/>
  <c r="H7" i="15"/>
  <c r="D7" i="15"/>
  <c r="C7" i="15"/>
  <c r="B7" i="15"/>
  <c r="H6" i="15"/>
  <c r="H33" i="15" s="1"/>
  <c r="C38" i="15" s="1"/>
  <c r="D6" i="15"/>
  <c r="D33" i="15" s="1"/>
  <c r="C6" i="15"/>
  <c r="C36" i="15" s="1"/>
  <c r="F36" i="15" s="1"/>
  <c r="B6" i="15"/>
  <c r="H37" i="14"/>
  <c r="I33" i="14"/>
  <c r="G33" i="14"/>
  <c r="F33" i="14"/>
  <c r="C40" i="14" s="1"/>
  <c r="D33" i="14"/>
  <c r="H31" i="14"/>
  <c r="D31" i="14"/>
  <c r="C31" i="14"/>
  <c r="B31" i="14"/>
  <c r="H30" i="14"/>
  <c r="D30" i="14"/>
  <c r="C30" i="14"/>
  <c r="B30" i="14"/>
  <c r="H29" i="14"/>
  <c r="D29" i="14"/>
  <c r="C29" i="14"/>
  <c r="B29" i="14"/>
  <c r="H28" i="14"/>
  <c r="D28" i="14"/>
  <c r="C28" i="14"/>
  <c r="B28" i="14"/>
  <c r="H27" i="14"/>
  <c r="D27" i="14"/>
  <c r="C27" i="14"/>
  <c r="B27" i="14"/>
  <c r="H26" i="14"/>
  <c r="D26" i="14"/>
  <c r="C26" i="14"/>
  <c r="B26" i="14"/>
  <c r="H25" i="14"/>
  <c r="D25" i="14"/>
  <c r="C25" i="14"/>
  <c r="B25" i="14"/>
  <c r="H24" i="14"/>
  <c r="D24" i="14"/>
  <c r="C24" i="14"/>
  <c r="B24" i="14"/>
  <c r="H23" i="14"/>
  <c r="D23" i="14"/>
  <c r="C23" i="14"/>
  <c r="B23" i="14"/>
  <c r="H22" i="14"/>
  <c r="D22" i="14"/>
  <c r="C22" i="14"/>
  <c r="B22" i="14"/>
  <c r="H21" i="14"/>
  <c r="D21" i="14"/>
  <c r="C21" i="14"/>
  <c r="B21" i="14"/>
  <c r="H20" i="14"/>
  <c r="D20" i="14"/>
  <c r="C20" i="14"/>
  <c r="B20" i="14"/>
  <c r="H19" i="14"/>
  <c r="D19" i="14"/>
  <c r="C19" i="14"/>
  <c r="B19" i="14"/>
  <c r="H18" i="14"/>
  <c r="D18" i="14"/>
  <c r="C18" i="14"/>
  <c r="B18" i="14"/>
  <c r="H17" i="14"/>
  <c r="D17" i="14"/>
  <c r="C17" i="14"/>
  <c r="B17" i="14"/>
  <c r="H16" i="14"/>
  <c r="D16" i="14"/>
  <c r="C16" i="14"/>
  <c r="B16" i="14"/>
  <c r="H15" i="14"/>
  <c r="D15" i="14"/>
  <c r="C15" i="14"/>
  <c r="B15" i="14"/>
  <c r="H14" i="14"/>
  <c r="D14" i="14"/>
  <c r="C14" i="14"/>
  <c r="B14" i="14"/>
  <c r="H13" i="14"/>
  <c r="C39" i="14" s="1"/>
  <c r="D13" i="14"/>
  <c r="C13" i="14"/>
  <c r="B13" i="14"/>
  <c r="H12" i="14"/>
  <c r="D12" i="14"/>
  <c r="C12" i="14"/>
  <c r="B12" i="14"/>
  <c r="H11" i="14"/>
  <c r="D11" i="14"/>
  <c r="C11" i="14"/>
  <c r="B11" i="14"/>
  <c r="H10" i="14"/>
  <c r="D10" i="14"/>
  <c r="C10" i="14"/>
  <c r="B10" i="14"/>
  <c r="H9" i="14"/>
  <c r="D9" i="14"/>
  <c r="C9" i="14"/>
  <c r="B9" i="14"/>
  <c r="H8" i="14"/>
  <c r="D8" i="14"/>
  <c r="C8" i="14"/>
  <c r="B8" i="14"/>
  <c r="H7" i="14"/>
  <c r="D7" i="14"/>
  <c r="C7" i="14"/>
  <c r="C38" i="14" s="1"/>
  <c r="F38" i="14" s="1"/>
  <c r="B7" i="14"/>
  <c r="H6" i="14"/>
  <c r="H33" i="14" s="1"/>
  <c r="D6" i="14"/>
  <c r="C6" i="14"/>
  <c r="C37" i="14" s="1"/>
  <c r="B6" i="14"/>
  <c r="C37" i="13"/>
  <c r="F37" i="13" s="1"/>
  <c r="I33" i="13"/>
  <c r="H33" i="13"/>
  <c r="C38" i="13" s="1"/>
  <c r="G33" i="13"/>
  <c r="F33" i="13"/>
  <c r="C33" i="13"/>
  <c r="H31" i="13"/>
  <c r="D31" i="13"/>
  <c r="C31" i="13"/>
  <c r="B31" i="13"/>
  <c r="H30" i="13"/>
  <c r="D30" i="13"/>
  <c r="C30" i="13"/>
  <c r="B30" i="13"/>
  <c r="H29" i="13"/>
  <c r="D29" i="13"/>
  <c r="C29" i="13"/>
  <c r="B29" i="13"/>
  <c r="H28" i="13"/>
  <c r="D28" i="13"/>
  <c r="C28" i="13"/>
  <c r="B28" i="13"/>
  <c r="H27" i="13"/>
  <c r="D27" i="13"/>
  <c r="C27" i="13"/>
  <c r="B27" i="13"/>
  <c r="H26" i="13"/>
  <c r="D26" i="13"/>
  <c r="C26" i="13"/>
  <c r="B26" i="13"/>
  <c r="H25" i="13"/>
  <c r="D25" i="13"/>
  <c r="C25" i="13"/>
  <c r="B25" i="13"/>
  <c r="H24" i="13"/>
  <c r="D24" i="13"/>
  <c r="C24" i="13"/>
  <c r="B24" i="13"/>
  <c r="H23" i="13"/>
  <c r="D23" i="13"/>
  <c r="C23" i="13"/>
  <c r="B23" i="13"/>
  <c r="H22" i="13"/>
  <c r="D22" i="13"/>
  <c r="C22" i="13"/>
  <c r="B22" i="13"/>
  <c r="H21" i="13"/>
  <c r="D21" i="13"/>
  <c r="C21" i="13"/>
  <c r="B21" i="13"/>
  <c r="H20" i="13"/>
  <c r="D20" i="13"/>
  <c r="C20" i="13"/>
  <c r="B20" i="13"/>
  <c r="H19" i="13"/>
  <c r="D19" i="13"/>
  <c r="C19" i="13"/>
  <c r="B19" i="13"/>
  <c r="H18" i="13"/>
  <c r="D18" i="13"/>
  <c r="C18" i="13"/>
  <c r="B18" i="13"/>
  <c r="H17" i="13"/>
  <c r="D17" i="13"/>
  <c r="C17" i="13"/>
  <c r="B17" i="13"/>
  <c r="H16" i="13"/>
  <c r="D16" i="13"/>
  <c r="C16" i="13"/>
  <c r="B16" i="13"/>
  <c r="H15" i="13"/>
  <c r="D15" i="13"/>
  <c r="C15" i="13"/>
  <c r="B15" i="13"/>
  <c r="H14" i="13"/>
  <c r="D14" i="13"/>
  <c r="C14" i="13"/>
  <c r="B14" i="13"/>
  <c r="H13" i="13"/>
  <c r="D13" i="13"/>
  <c r="C13" i="13"/>
  <c r="B13" i="13"/>
  <c r="H12" i="13"/>
  <c r="D12" i="13"/>
  <c r="C12" i="13"/>
  <c r="B12" i="13"/>
  <c r="H11" i="13"/>
  <c r="D11" i="13"/>
  <c r="C11" i="13"/>
  <c r="B11" i="13"/>
  <c r="H10" i="13"/>
  <c r="D10" i="13"/>
  <c r="C10" i="13"/>
  <c r="B10" i="13"/>
  <c r="H9" i="13"/>
  <c r="D9" i="13"/>
  <c r="C9" i="13"/>
  <c r="B9" i="13"/>
  <c r="H8" i="13"/>
  <c r="D8" i="13"/>
  <c r="C8" i="13"/>
  <c r="B8" i="13"/>
  <c r="H7" i="13"/>
  <c r="D7" i="13"/>
  <c r="C7" i="13"/>
  <c r="B7" i="13"/>
  <c r="H6" i="13"/>
  <c r="D6" i="13"/>
  <c r="D33" i="13" s="1"/>
  <c r="C6" i="13"/>
  <c r="C36" i="13" s="1"/>
  <c r="F36" i="13" s="1"/>
  <c r="B6" i="13"/>
  <c r="C33" i="15" l="1"/>
  <c r="C42" i="14"/>
  <c r="F37" i="14"/>
  <c r="C33" i="14"/>
  <c r="M30" i="14" l="1"/>
  <c r="N30" i="14" s="1"/>
  <c r="M28" i="14"/>
  <c r="N28" i="14" s="1"/>
  <c r="M26" i="14"/>
  <c r="N26" i="14" s="1"/>
  <c r="M24" i="14"/>
  <c r="N24" i="14" s="1"/>
  <c r="M22" i="14"/>
  <c r="N22" i="14" s="1"/>
  <c r="M20" i="14"/>
  <c r="N20" i="14" s="1"/>
  <c r="M18" i="14"/>
  <c r="N18" i="14" s="1"/>
  <c r="M16" i="14"/>
  <c r="N16" i="14" s="1"/>
  <c r="M14" i="14"/>
  <c r="N14" i="14" s="1"/>
  <c r="M12" i="14"/>
  <c r="N12" i="14" s="1"/>
  <c r="M10" i="14"/>
  <c r="N10" i="14" s="1"/>
  <c r="M8" i="14"/>
  <c r="N8" i="14" s="1"/>
  <c r="M6" i="14"/>
  <c r="M31" i="14"/>
  <c r="N31" i="14" s="1"/>
  <c r="M29" i="14"/>
  <c r="N29" i="14" s="1"/>
  <c r="M27" i="14"/>
  <c r="N27" i="14" s="1"/>
  <c r="M25" i="14"/>
  <c r="N25" i="14" s="1"/>
  <c r="M23" i="14"/>
  <c r="N23" i="14" s="1"/>
  <c r="M21" i="14"/>
  <c r="N21" i="14" s="1"/>
  <c r="M19" i="14"/>
  <c r="N19" i="14" s="1"/>
  <c r="M17" i="14"/>
  <c r="N17" i="14" s="1"/>
  <c r="M15" i="14"/>
  <c r="N15" i="14" s="1"/>
  <c r="M13" i="14"/>
  <c r="N13" i="14" s="1"/>
  <c r="M11" i="14"/>
  <c r="N11" i="14" s="1"/>
  <c r="M9" i="14"/>
  <c r="N9" i="14" s="1"/>
  <c r="M7" i="14"/>
  <c r="N7" i="14" s="1"/>
  <c r="M33" i="14" l="1"/>
  <c r="N6" i="14"/>
  <c r="N33" i="14" s="1"/>
  <c r="F38" i="12" l="1"/>
  <c r="F37" i="12"/>
  <c r="E40" i="12" s="1"/>
  <c r="L33" i="12"/>
  <c r="E38" i="12"/>
  <c r="E37" i="12"/>
  <c r="D40" i="12" l="1"/>
  <c r="D38" i="12"/>
  <c r="D37" i="12"/>
  <c r="G33" i="12"/>
  <c r="C44" i="12" s="1"/>
  <c r="F33" i="12"/>
  <c r="D31" i="12"/>
  <c r="C31" i="12"/>
  <c r="B31" i="12"/>
  <c r="D30" i="12"/>
  <c r="C30" i="12"/>
  <c r="B30" i="12"/>
  <c r="D29" i="12"/>
  <c r="C29" i="12"/>
  <c r="B29" i="12"/>
  <c r="D28" i="12"/>
  <c r="C28" i="12"/>
  <c r="B28" i="12"/>
  <c r="D27" i="12"/>
  <c r="C27" i="12"/>
  <c r="B27" i="12"/>
  <c r="D26" i="12"/>
  <c r="C26" i="12"/>
  <c r="B26" i="12"/>
  <c r="D25" i="12"/>
  <c r="C25" i="12"/>
  <c r="B25" i="12"/>
  <c r="D24" i="12"/>
  <c r="C24" i="12"/>
  <c r="B24" i="12"/>
  <c r="D23" i="12"/>
  <c r="C23" i="12"/>
  <c r="B23" i="12"/>
  <c r="D22" i="12"/>
  <c r="C22" i="12"/>
  <c r="B22" i="12"/>
  <c r="D21" i="12"/>
  <c r="C21" i="12"/>
  <c r="B21" i="12"/>
  <c r="D20" i="12"/>
  <c r="C20" i="12"/>
  <c r="B20" i="12"/>
  <c r="D19" i="12"/>
  <c r="C19" i="12"/>
  <c r="B19" i="12"/>
  <c r="D18" i="12"/>
  <c r="C18" i="12"/>
  <c r="B18" i="12"/>
  <c r="D17" i="12"/>
  <c r="C17" i="12"/>
  <c r="B17" i="12"/>
  <c r="D16" i="12"/>
  <c r="C16" i="12"/>
  <c r="B16" i="12"/>
  <c r="D15" i="12"/>
  <c r="C15" i="12"/>
  <c r="B15" i="12"/>
  <c r="D14" i="12"/>
  <c r="C14" i="12"/>
  <c r="B14" i="12"/>
  <c r="D13" i="12"/>
  <c r="C13" i="12"/>
  <c r="B13" i="12"/>
  <c r="D12" i="12"/>
  <c r="C12" i="12"/>
  <c r="B12" i="12"/>
  <c r="D11" i="12"/>
  <c r="C11" i="12"/>
  <c r="B11" i="12"/>
  <c r="D10" i="12"/>
  <c r="C10" i="12"/>
  <c r="B10" i="12"/>
  <c r="D9" i="12"/>
  <c r="C9" i="12"/>
  <c r="B9" i="12"/>
  <c r="D8" i="12"/>
  <c r="C8" i="12"/>
  <c r="B8" i="12"/>
  <c r="D7" i="12"/>
  <c r="C7" i="12"/>
  <c r="C38" i="12" s="1"/>
  <c r="B7" i="12"/>
  <c r="D6" i="12"/>
  <c r="C6" i="12"/>
  <c r="B6" i="12"/>
  <c r="D33" i="12" l="1"/>
  <c r="G38" i="12"/>
  <c r="C33" i="12"/>
  <c r="I33" i="12"/>
  <c r="C37" i="12"/>
  <c r="C47" i="12" l="1"/>
  <c r="G37" i="12"/>
  <c r="F40" i="12" s="1"/>
  <c r="C40" i="12"/>
  <c r="G40" i="12" l="1"/>
</calcChain>
</file>

<file path=xl/sharedStrings.xml><?xml version="1.0" encoding="utf-8"?>
<sst xmlns="http://schemas.openxmlformats.org/spreadsheetml/2006/main" count="422" uniqueCount="70">
  <si>
    <t>ASSOCIATION</t>
  </si>
  <si>
    <t>ASELBY</t>
  </si>
  <si>
    <t>ANNEE</t>
  </si>
  <si>
    <t>2016/2017</t>
  </si>
  <si>
    <t xml:space="preserve">TONTINE </t>
  </si>
  <si>
    <t>MATRICULE</t>
  </si>
  <si>
    <t>NOM ET PRENOM</t>
  </si>
  <si>
    <t>MONTANT TONTINE</t>
  </si>
  <si>
    <t>PENALITE</t>
  </si>
  <si>
    <t>MODE VERSEMENT</t>
  </si>
  <si>
    <t>PRÊT</t>
  </si>
  <si>
    <t>INTERET PRÊT</t>
  </si>
  <si>
    <t>REMBOURSEMENT</t>
  </si>
  <si>
    <t>STATUT PRÊT</t>
  </si>
  <si>
    <t>INTERET ACHAT</t>
  </si>
  <si>
    <t>DATE ACHAT</t>
  </si>
  <si>
    <t>ECHEC</t>
  </si>
  <si>
    <t>AS201602</t>
  </si>
  <si>
    <t>AS201606</t>
  </si>
  <si>
    <t>BANQUE</t>
  </si>
  <si>
    <t>AS201607</t>
  </si>
  <si>
    <t>AS201609</t>
  </si>
  <si>
    <t>AS201612</t>
  </si>
  <si>
    <t>AS201614</t>
  </si>
  <si>
    <t>AS201617</t>
  </si>
  <si>
    <t>AS201618</t>
  </si>
  <si>
    <t>AS201619</t>
  </si>
  <si>
    <t>AS201621</t>
  </si>
  <si>
    <t>AS201622</t>
  </si>
  <si>
    <t>AS201624</t>
  </si>
  <si>
    <t>AS201628</t>
  </si>
  <si>
    <t>AS201629</t>
  </si>
  <si>
    <t>AS201633</t>
  </si>
  <si>
    <t>AS201635</t>
  </si>
  <si>
    <t>AS201636</t>
  </si>
  <si>
    <t>AS201639</t>
  </si>
  <si>
    <t>AS201642</t>
  </si>
  <si>
    <t>AS201645</t>
  </si>
  <si>
    <t>TOTAL</t>
  </si>
  <si>
    <t>ESPECES</t>
  </si>
  <si>
    <t>AVALISTE</t>
  </si>
  <si>
    <t>SIME MATHIEU</t>
  </si>
  <si>
    <t>HOTCHO BENJAMIN</t>
  </si>
  <si>
    <t xml:space="preserve"> </t>
  </si>
  <si>
    <t>OK</t>
  </si>
  <si>
    <t>NDJOMO ETIENNE</t>
  </si>
  <si>
    <t>FOTSO THOMAS</t>
  </si>
  <si>
    <t>RESTE 36000</t>
  </si>
  <si>
    <t>NANKAM APPOLINAIRE</t>
  </si>
  <si>
    <t>TIEYAM ERNEST</t>
  </si>
  <si>
    <t>OK ESPECES</t>
  </si>
  <si>
    <t>INTERET</t>
  </si>
  <si>
    <t>PERCU</t>
  </si>
  <si>
    <t>ACHAT LOT PRINCIPAL</t>
  </si>
  <si>
    <t>ACHAT PETIT LOT</t>
  </si>
  <si>
    <t>TONTINE</t>
  </si>
  <si>
    <t>INTERET PETIT LOT</t>
  </si>
  <si>
    <t>MODE VERSEMENT REMBOURSEMENT</t>
  </si>
  <si>
    <t>MODE VERSEMENT TONTINE</t>
  </si>
  <si>
    <t>MODE VERSEMENT TONTINE PRINCIPAL</t>
  </si>
  <si>
    <t>REMBOURSEMENT PETIT LOT</t>
  </si>
  <si>
    <t>MONTANT TONTINE LOT PRINCIPAL</t>
  </si>
  <si>
    <t>INTERET LOT PRINCIPAL</t>
  </si>
  <si>
    <t>INTERET LOT PRINCIPAL CUMULE</t>
  </si>
  <si>
    <t>VENTE PETIT LOT</t>
  </si>
  <si>
    <t>MODE VERSEMENT VENTE PETIT LOT</t>
  </si>
  <si>
    <t>DATE VENTE</t>
  </si>
  <si>
    <t>VENTE LOT PRINCIPAL</t>
  </si>
  <si>
    <t>SOLDE EN CAISSE</t>
  </si>
  <si>
    <t>MONTANT PETIT LOT A VENDRE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</si>
</sst>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C]d\-mmm\-yy;@"/>
    <numFmt numFmtId="165" formatCode="#,##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  <font>
      <sz val="11"/>
      <color rgb="FFFF0000"/>
      <name val="Britannic Bold"/>
      <family val="2"/>
    </font>
    <font>
      <sz val="14"/>
      <color rgb="FFFF0000"/>
      <name val="Britannic Bol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/>
    <xf numFmtId="17" fontId="2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wrapText="1"/>
    </xf>
    <xf numFmtId="0" fontId="1" fillId="0" borderId="0" xfId="0" applyFont="1" applyAlignment="1">
      <alignment horizontal="center"/>
    </xf>
    <xf numFmtId="3" fontId="3" fillId="0" borderId="0" xfId="0" applyNumberFormat="1" applyFont="1"/>
    <xf numFmtId="0" fontId="2" fillId="0" borderId="0" xfId="0" applyFont="1"/>
    <xf numFmtId="3" fontId="2" fillId="0" borderId="0" xfId="0" applyNumberFormat="1" applyFont="1"/>
    <xf numFmtId="14" fontId="0" fillId="0" borderId="0" xfId="0" applyNumberFormat="1"/>
    <xf numFmtId="165" fontId="0" fillId="0" borderId="0" xfId="0" applyNumberFormat="1"/>
    <xf numFmtId="165" fontId="1" fillId="0" borderId="0" xfId="0" applyNumberFormat="1" applyFont="1" applyAlignment="1">
      <alignment wrapText="1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4" fillId="0" borderId="0" xfId="0" applyNumberFormat="1" applyFont="1" applyAlignment="1">
      <alignment wrapText="1"/>
    </xf>
    <xf numFmtId="3" fontId="5" fillId="0" borderId="0" xfId="0" applyNumberFormat="1" applyFont="1"/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ASELBYTONTINE1000002016_201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TONTASELB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PAID"/>
      <sheetName val="TONTDEC2016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/>
      <sheetData sheetId="5"/>
      <sheetData sheetId="6">
        <row r="9">
          <cell r="F9">
            <v>100000</v>
          </cell>
          <cell r="G9">
            <v>3000</v>
          </cell>
        </row>
        <row r="21">
          <cell r="F21">
            <v>38000</v>
          </cell>
          <cell r="G21">
            <v>1000</v>
          </cell>
        </row>
        <row r="29">
          <cell r="F29">
            <v>200000</v>
          </cell>
          <cell r="G29">
            <v>20000</v>
          </cell>
        </row>
      </sheetData>
      <sheetData sheetId="7">
        <row r="13">
          <cell r="F13">
            <v>31000</v>
          </cell>
          <cell r="G13">
            <v>500</v>
          </cell>
        </row>
        <row r="19">
          <cell r="F19">
            <v>200000</v>
          </cell>
          <cell r="G19">
            <v>4000</v>
          </cell>
        </row>
        <row r="29">
          <cell r="F29">
            <v>200000</v>
          </cell>
          <cell r="G29">
            <v>7000</v>
          </cell>
        </row>
      </sheetData>
      <sheetData sheetId="8">
        <row r="13">
          <cell r="F13">
            <v>79500</v>
          </cell>
          <cell r="G13">
            <v>5000</v>
          </cell>
        </row>
        <row r="19">
          <cell r="F19">
            <v>100000</v>
          </cell>
          <cell r="G19">
            <v>9000</v>
          </cell>
        </row>
        <row r="29">
          <cell r="F29">
            <v>100000</v>
          </cell>
          <cell r="G29">
            <v>10000</v>
          </cell>
        </row>
      </sheetData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  <cell r="B5" t="str">
            <v>BAKOP ACHILLE</v>
          </cell>
          <cell r="C5" t="str">
            <v>FONCTIONNAIRE DE POLICE</v>
          </cell>
          <cell r="D5">
            <v>0</v>
          </cell>
          <cell r="E5">
            <v>677841881</v>
          </cell>
          <cell r="F5">
            <v>0</v>
          </cell>
          <cell r="G5" t="str">
            <v>NKOLBISSON</v>
          </cell>
          <cell r="H5">
            <v>42887</v>
          </cell>
        </row>
        <row r="6">
          <cell r="A6" t="str">
            <v>AS201602</v>
          </cell>
          <cell r="B6" t="str">
            <v>BOUTCHOUANG WILLIAM</v>
          </cell>
          <cell r="C6" t="str">
            <v>OPERATEUR ECONOMIQUE</v>
          </cell>
          <cell r="D6">
            <v>0</v>
          </cell>
          <cell r="E6">
            <v>677704694</v>
          </cell>
          <cell r="F6">
            <v>0</v>
          </cell>
          <cell r="G6" t="str">
            <v>EMANA</v>
          </cell>
          <cell r="H6">
            <v>43191</v>
          </cell>
        </row>
        <row r="7">
          <cell r="A7" t="str">
            <v>AS201603</v>
          </cell>
          <cell r="B7" t="str">
            <v>CHINGUE FABRICE</v>
          </cell>
          <cell r="C7" t="str">
            <v>OPERATEUR ECONOMIQUE</v>
          </cell>
          <cell r="D7">
            <v>0</v>
          </cell>
          <cell r="E7">
            <v>677881912</v>
          </cell>
          <cell r="F7">
            <v>0</v>
          </cell>
          <cell r="G7" t="str">
            <v>SANTA BARBARA</v>
          </cell>
          <cell r="H7">
            <v>43466</v>
          </cell>
        </row>
        <row r="8">
          <cell r="A8" t="str">
            <v>AS201604</v>
          </cell>
          <cell r="B8" t="str">
            <v xml:space="preserve">DJOMO JEAN PAUL </v>
          </cell>
          <cell r="C8" t="str">
            <v>RETRAITE</v>
          </cell>
          <cell r="D8">
            <v>0</v>
          </cell>
          <cell r="E8">
            <v>677986676</v>
          </cell>
          <cell r="F8">
            <v>0</v>
          </cell>
          <cell r="G8" t="str">
            <v>RUE MANGUIERS</v>
          </cell>
          <cell r="H8">
            <v>43132</v>
          </cell>
        </row>
        <row r="9">
          <cell r="A9" t="str">
            <v>AS201605</v>
          </cell>
          <cell r="B9" t="str">
            <v>DJOUKWE GUY</v>
          </cell>
          <cell r="C9" t="str">
            <v>PROFESSEUR DES LYCEES TECHNIQUE</v>
          </cell>
          <cell r="D9">
            <v>0</v>
          </cell>
          <cell r="E9">
            <v>675250451</v>
          </cell>
          <cell r="F9">
            <v>0</v>
          </cell>
          <cell r="G9" t="str">
            <v>RUE MANGUIERS</v>
          </cell>
          <cell r="H9">
            <v>43313</v>
          </cell>
        </row>
        <row r="10">
          <cell r="A10" t="str">
            <v>AS201606</v>
          </cell>
          <cell r="B10" t="str">
            <v>DJOUNKEP SAMUEL</v>
          </cell>
          <cell r="C10" t="str">
            <v>COMPTABLE RETRAITE</v>
          </cell>
          <cell r="D10">
            <v>0</v>
          </cell>
          <cell r="E10">
            <v>697103557</v>
          </cell>
          <cell r="F10">
            <v>0</v>
          </cell>
          <cell r="G10" t="str">
            <v>BIYEM ASSI LYCEE</v>
          </cell>
          <cell r="H10">
            <v>42401</v>
          </cell>
        </row>
        <row r="11">
          <cell r="A11" t="str">
            <v>AS201607</v>
          </cell>
          <cell r="B11" t="str">
            <v>DJUOMBESSY ANTOINE</v>
          </cell>
          <cell r="C11" t="str">
            <v>ANALYSTE CONCEPTEUR SI</v>
          </cell>
          <cell r="D11">
            <v>0</v>
          </cell>
          <cell r="E11">
            <v>677501239</v>
          </cell>
          <cell r="F11">
            <v>699324095</v>
          </cell>
          <cell r="G11" t="str">
            <v>MESSASSI</v>
          </cell>
          <cell r="H11">
            <v>43647</v>
          </cell>
        </row>
        <row r="12">
          <cell r="A12" t="str">
            <v>AS201608</v>
          </cell>
          <cell r="B12" t="str">
            <v>DONHOU DAVID</v>
          </cell>
          <cell r="C12" t="str">
            <v>MAGISTRAT</v>
          </cell>
          <cell r="D12">
            <v>0</v>
          </cell>
          <cell r="E12">
            <v>699908065</v>
          </cell>
          <cell r="F12">
            <v>0</v>
          </cell>
          <cell r="G12" t="str">
            <v>TONGOLO</v>
          </cell>
          <cell r="H12">
            <v>42979</v>
          </cell>
        </row>
        <row r="13">
          <cell r="A13" t="str">
            <v>AS201609</v>
          </cell>
          <cell r="B13" t="str">
            <v>FOTSO THOMAS</v>
          </cell>
          <cell r="C13" t="str">
            <v>CADRE BANQUE</v>
          </cell>
          <cell r="D13">
            <v>0</v>
          </cell>
          <cell r="E13">
            <v>677910278</v>
          </cell>
          <cell r="F13">
            <v>0</v>
          </cell>
          <cell r="G13" t="str">
            <v>OYOMABANG</v>
          </cell>
          <cell r="H13">
            <v>43344</v>
          </cell>
        </row>
        <row r="14">
          <cell r="A14" t="str">
            <v>AS201610</v>
          </cell>
          <cell r="B14" t="str">
            <v>HENGUE PAUL OMER</v>
          </cell>
          <cell r="C14" t="str">
            <v>SOCIOLOGUE</v>
          </cell>
          <cell r="D14">
            <v>0</v>
          </cell>
          <cell r="E14">
            <v>694468080</v>
          </cell>
          <cell r="F14">
            <v>0</v>
          </cell>
          <cell r="G14" t="str">
            <v>MESSASSI</v>
          </cell>
          <cell r="H14">
            <v>42583</v>
          </cell>
        </row>
        <row r="15">
          <cell r="A15" t="str">
            <v>AS201611</v>
          </cell>
          <cell r="B15" t="str">
            <v>HODIEP JULES</v>
          </cell>
          <cell r="C15" t="str">
            <v>CADRE CNPS</v>
          </cell>
          <cell r="D15">
            <v>0</v>
          </cell>
          <cell r="E15">
            <v>675291170</v>
          </cell>
          <cell r="F15">
            <v>0</v>
          </cell>
          <cell r="G15" t="str">
            <v>NYOM 2</v>
          </cell>
          <cell r="H15">
            <v>43009</v>
          </cell>
        </row>
        <row r="16">
          <cell r="A16" t="str">
            <v>AS201612</v>
          </cell>
          <cell r="B16" t="str">
            <v>HOTCHO BENJAMIN</v>
          </cell>
          <cell r="C16" t="str">
            <v>COMPTABLE</v>
          </cell>
          <cell r="D16">
            <v>0</v>
          </cell>
          <cell r="E16">
            <v>699956355</v>
          </cell>
          <cell r="F16">
            <v>0</v>
          </cell>
          <cell r="G16" t="str">
            <v>DAMAS</v>
          </cell>
          <cell r="H16">
            <v>42614</v>
          </cell>
        </row>
        <row r="17">
          <cell r="A17" t="str">
            <v>AS201613</v>
          </cell>
          <cell r="B17" t="str">
            <v>KEPHE DAVID</v>
          </cell>
          <cell r="C17" t="str">
            <v>OPERATEUR ECONOMIQUE</v>
          </cell>
          <cell r="D17">
            <v>0</v>
          </cell>
          <cell r="E17">
            <v>677053815</v>
          </cell>
          <cell r="F17">
            <v>0</v>
          </cell>
          <cell r="G17" t="str">
            <v>MESSASSI</v>
          </cell>
          <cell r="H17">
            <v>43374</v>
          </cell>
        </row>
        <row r="18">
          <cell r="A18" t="str">
            <v>AS201614</v>
          </cell>
          <cell r="B18" t="str">
            <v>KEPSEU FRANCIS</v>
          </cell>
          <cell r="C18" t="str">
            <v>OFFICIER DE POLICE RETRAITE</v>
          </cell>
          <cell r="D18">
            <v>0</v>
          </cell>
          <cell r="E18">
            <v>699528700</v>
          </cell>
          <cell r="F18">
            <v>0</v>
          </cell>
          <cell r="G18" t="str">
            <v>SIMBOCK</v>
          </cell>
          <cell r="H18">
            <v>43405</v>
          </cell>
        </row>
        <row r="19">
          <cell r="A19" t="str">
            <v>AS201615</v>
          </cell>
          <cell r="B19" t="str">
            <v>KEPSEU HENANG RENE</v>
          </cell>
          <cell r="C19" t="str">
            <v>CADRE SONEL RETRAITE</v>
          </cell>
          <cell r="D19">
            <v>0</v>
          </cell>
          <cell r="E19">
            <v>699843118</v>
          </cell>
          <cell r="F19">
            <v>0</v>
          </cell>
          <cell r="G19" t="str">
            <v>BIYEM ASSI LYCEE</v>
          </cell>
          <cell r="H19">
            <v>42522</v>
          </cell>
        </row>
        <row r="20">
          <cell r="A20" t="str">
            <v>AS201616</v>
          </cell>
          <cell r="B20" t="str">
            <v>KOUAMOU EMMANUEL</v>
          </cell>
          <cell r="C20" t="str">
            <v>OPERATEUR ECONOMIQUE</v>
          </cell>
          <cell r="D20">
            <v>0</v>
          </cell>
          <cell r="E20">
            <v>699335584</v>
          </cell>
          <cell r="F20">
            <v>0</v>
          </cell>
          <cell r="G20" t="str">
            <v>MONTEE JOUVENCE</v>
          </cell>
          <cell r="H20">
            <v>42795</v>
          </cell>
        </row>
        <row r="21">
          <cell r="A21" t="str">
            <v>AS201617</v>
          </cell>
          <cell r="B21" t="str">
            <v>KOUAMOU MOISE</v>
          </cell>
          <cell r="C21" t="str">
            <v>INGENIEUR E-F</v>
          </cell>
          <cell r="D21">
            <v>0</v>
          </cell>
          <cell r="E21">
            <v>675836725</v>
          </cell>
          <cell r="F21">
            <v>0</v>
          </cell>
          <cell r="G21" t="str">
            <v>DAMAS</v>
          </cell>
          <cell r="H21">
            <v>42370</v>
          </cell>
        </row>
        <row r="22">
          <cell r="A22" t="str">
            <v>AS201618</v>
          </cell>
          <cell r="B22" t="str">
            <v>KOUAMOU VICTOR PEGUY</v>
          </cell>
          <cell r="C22" t="str">
            <v>S/OFFICIER SUPERIEUR</v>
          </cell>
          <cell r="D22">
            <v>0</v>
          </cell>
          <cell r="E22">
            <v>696564847</v>
          </cell>
          <cell r="F22">
            <v>0</v>
          </cell>
          <cell r="G22" t="str">
            <v>MESSASSI</v>
          </cell>
          <cell r="H22">
            <v>43617</v>
          </cell>
        </row>
        <row r="23">
          <cell r="A23" t="str">
            <v>AS201619</v>
          </cell>
          <cell r="B23" t="str">
            <v>KOUATCHO MESSACK</v>
          </cell>
          <cell r="C23" t="str">
            <v>INSPECTEUR DE TRAVAIL</v>
          </cell>
          <cell r="D23">
            <v>0</v>
          </cell>
          <cell r="E23">
            <v>677735778</v>
          </cell>
          <cell r="F23">
            <v>0</v>
          </cell>
          <cell r="G23" t="str">
            <v>SANTA BARBARA</v>
          </cell>
          <cell r="H23">
            <v>42644</v>
          </cell>
        </row>
        <row r="24">
          <cell r="A24" t="str">
            <v>AS201620</v>
          </cell>
          <cell r="B24" t="str">
            <v>NANGUEN MARTIN</v>
          </cell>
          <cell r="C24" t="str">
            <v>SECRETAIRE D'ADMINISTRATION</v>
          </cell>
          <cell r="D24">
            <v>0</v>
          </cell>
          <cell r="E24">
            <v>677648306</v>
          </cell>
          <cell r="F24">
            <v>0</v>
          </cell>
          <cell r="G24" t="str">
            <v>RUE MANGUIERS</v>
          </cell>
          <cell r="H24">
            <v>43040</v>
          </cell>
        </row>
        <row r="25">
          <cell r="A25" t="str">
            <v>AS201621</v>
          </cell>
          <cell r="B25" t="str">
            <v>NANKAM APPOLINAIRE</v>
          </cell>
          <cell r="C25" t="str">
            <v>ENSEIGNANT</v>
          </cell>
          <cell r="D25">
            <v>0</v>
          </cell>
          <cell r="E25">
            <v>693055118</v>
          </cell>
          <cell r="F25">
            <v>0</v>
          </cell>
          <cell r="G25" t="str">
            <v>DAMAS</v>
          </cell>
          <cell r="H25">
            <v>43678</v>
          </cell>
        </row>
        <row r="26">
          <cell r="A26" t="str">
            <v>AS201622</v>
          </cell>
          <cell r="B26" t="str">
            <v>NDJOMO ETIENNE</v>
          </cell>
          <cell r="C26" t="str">
            <v>COMPTABLE</v>
          </cell>
          <cell r="D26">
            <v>0</v>
          </cell>
          <cell r="E26">
            <v>677553702</v>
          </cell>
          <cell r="F26">
            <v>0</v>
          </cell>
          <cell r="G26" t="str">
            <v>MONTEE JOUVENCE</v>
          </cell>
          <cell r="H26">
            <v>42705</v>
          </cell>
        </row>
        <row r="27">
          <cell r="A27" t="str">
            <v>AS201623</v>
          </cell>
          <cell r="B27" t="str">
            <v>NDOMBOU JEAN CLAUDE</v>
          </cell>
          <cell r="C27" t="str">
            <v>ING AGRONOME RETRAITE</v>
          </cell>
          <cell r="D27">
            <v>0</v>
          </cell>
          <cell r="E27">
            <v>699358350</v>
          </cell>
          <cell r="F27">
            <v>0</v>
          </cell>
          <cell r="G27" t="str">
            <v>ETOUG EBE</v>
          </cell>
          <cell r="H27">
            <v>42767</v>
          </cell>
        </row>
        <row r="28">
          <cell r="A28" t="str">
            <v>AS201624</v>
          </cell>
          <cell r="B28" t="str">
            <v>NGONDIEP CLAUDE</v>
          </cell>
          <cell r="C28" t="str">
            <v>DAS(DIRECTEUR ADMINISTRATEUR SOCIETE)</v>
          </cell>
          <cell r="D28">
            <v>0</v>
          </cell>
          <cell r="E28">
            <v>675249207</v>
          </cell>
          <cell r="F28">
            <v>0</v>
          </cell>
          <cell r="G28" t="str">
            <v>CITE VERTE</v>
          </cell>
          <cell r="H28">
            <v>43070</v>
          </cell>
        </row>
        <row r="29">
          <cell r="A29" t="str">
            <v>AS201625</v>
          </cell>
          <cell r="B29" t="str">
            <v>NGONGANG JEAN THEODORE</v>
          </cell>
          <cell r="C29" t="str">
            <v>CHEF ENTREPRISE</v>
          </cell>
          <cell r="D29">
            <v>0</v>
          </cell>
          <cell r="E29">
            <v>677766503</v>
          </cell>
          <cell r="F29">
            <v>0</v>
          </cell>
          <cell r="G29" t="str">
            <v>RUE MANGUIERS</v>
          </cell>
          <cell r="H29">
            <v>42491</v>
          </cell>
        </row>
        <row r="30">
          <cell r="A30" t="str">
            <v>AS201626</v>
          </cell>
          <cell r="B30" t="str">
            <v>NGUIEMEGNI MATHIEU BLAISE</v>
          </cell>
          <cell r="C30" t="str">
            <v>CADRE CADASTRE</v>
          </cell>
          <cell r="D30">
            <v>0</v>
          </cell>
          <cell r="E30">
            <v>677068360</v>
          </cell>
          <cell r="F30">
            <v>0</v>
          </cell>
          <cell r="G30" t="str">
            <v>MONATELE</v>
          </cell>
          <cell r="H30">
            <v>43101</v>
          </cell>
        </row>
        <row r="31">
          <cell r="A31" t="str">
            <v>AS201627</v>
          </cell>
          <cell r="B31" t="str">
            <v>NJEPDJIO MBOUKAM DELUXE</v>
          </cell>
          <cell r="C31" t="str">
            <v>OPERATEUR ECONOMIQUE</v>
          </cell>
          <cell r="D31">
            <v>0</v>
          </cell>
          <cell r="E31">
            <v>670909070</v>
          </cell>
          <cell r="F31">
            <v>0</v>
          </cell>
          <cell r="G31" t="str">
            <v>MENDONG</v>
          </cell>
          <cell r="H31">
            <v>43586</v>
          </cell>
        </row>
        <row r="32">
          <cell r="A32" t="str">
            <v>AS201628</v>
          </cell>
          <cell r="B32" t="str">
            <v>NKAMGANG JUSTIN DEJOLIE</v>
          </cell>
          <cell r="C32" t="str">
            <v>DELEGUE COMMERCIAL</v>
          </cell>
          <cell r="D32">
            <v>0</v>
          </cell>
          <cell r="E32">
            <v>676659191</v>
          </cell>
          <cell r="F32">
            <v>0</v>
          </cell>
          <cell r="G32" t="str">
            <v>MENDONG</v>
          </cell>
          <cell r="H32">
            <v>43497</v>
          </cell>
        </row>
        <row r="33">
          <cell r="A33" t="str">
            <v>AS201629</v>
          </cell>
          <cell r="B33" t="str">
            <v>NKEPSEU DIEUDONNE</v>
          </cell>
          <cell r="C33" t="str">
            <v>OPERATEUR ECONOMIQUE</v>
          </cell>
          <cell r="D33">
            <v>0</v>
          </cell>
          <cell r="E33">
            <v>677575366</v>
          </cell>
          <cell r="F33">
            <v>0</v>
          </cell>
          <cell r="G33" t="str">
            <v>ESSOS</v>
          </cell>
          <cell r="H33">
            <v>42917</v>
          </cell>
        </row>
        <row r="34">
          <cell r="A34" t="str">
            <v>AS201630</v>
          </cell>
          <cell r="B34" t="str">
            <v>NTEPDIE TUEMAC MZ</v>
          </cell>
          <cell r="C34" t="str">
            <v>OPERATEUR ECONOMIQUE</v>
          </cell>
          <cell r="D34">
            <v>0</v>
          </cell>
          <cell r="E34">
            <v>677377251</v>
          </cell>
          <cell r="F34">
            <v>0</v>
          </cell>
          <cell r="G34" t="str">
            <v>MONTEE JOUVENCE</v>
          </cell>
          <cell r="H34">
            <v>43282</v>
          </cell>
        </row>
        <row r="35">
          <cell r="A35" t="str">
            <v>AS201631</v>
          </cell>
          <cell r="B35" t="str">
            <v>NTOMBOU ADOLPHE</v>
          </cell>
          <cell r="C35" t="str">
            <v xml:space="preserve">INGENIEUR </v>
          </cell>
          <cell r="D35">
            <v>0</v>
          </cell>
          <cell r="E35">
            <v>677867173</v>
          </cell>
          <cell r="F35">
            <v>0</v>
          </cell>
          <cell r="G35" t="str">
            <v>BIYEM ASSI LYCEE</v>
          </cell>
          <cell r="H35">
            <v>42461</v>
          </cell>
        </row>
        <row r="36">
          <cell r="A36" t="str">
            <v>AS201632</v>
          </cell>
          <cell r="B36" t="str">
            <v>PATEGO NJOSSU GUSTAVE</v>
          </cell>
          <cell r="C36" t="str">
            <v>INGENIEUR T-P</v>
          </cell>
          <cell r="D36">
            <v>0</v>
          </cell>
          <cell r="E36">
            <v>699995086</v>
          </cell>
          <cell r="F36">
            <v>0</v>
          </cell>
          <cell r="G36" t="str">
            <v>EBOGO 1(SOA)</v>
          </cell>
          <cell r="H36">
            <v>43525</v>
          </cell>
        </row>
        <row r="37">
          <cell r="A37" t="str">
            <v>AS201633</v>
          </cell>
          <cell r="B37" t="str">
            <v>SEUNOU RICHELOT</v>
          </cell>
          <cell r="C37" t="str">
            <v>OPERATEUR ECONOMIQUE</v>
          </cell>
          <cell r="D37">
            <v>0</v>
          </cell>
          <cell r="E37">
            <v>677054646</v>
          </cell>
          <cell r="F37">
            <v>0</v>
          </cell>
          <cell r="G37" t="str">
            <v>EMANA</v>
          </cell>
          <cell r="H37">
            <v>43160</v>
          </cell>
        </row>
        <row r="38">
          <cell r="A38" t="str">
            <v>AS201634</v>
          </cell>
          <cell r="B38" t="str">
            <v>SIME ABEL</v>
          </cell>
          <cell r="C38" t="str">
            <v>OPERATEUR ECONOMIQUE</v>
          </cell>
          <cell r="D38">
            <v>0</v>
          </cell>
          <cell r="E38">
            <v>699549665</v>
          </cell>
          <cell r="F38">
            <v>0</v>
          </cell>
          <cell r="G38" t="str">
            <v>ELEVEUR</v>
          </cell>
          <cell r="H38">
            <v>43556</v>
          </cell>
        </row>
        <row r="39">
          <cell r="A39" t="str">
            <v>AS201635</v>
          </cell>
          <cell r="B39" t="str">
            <v>SIME FONGANG ERIC</v>
          </cell>
          <cell r="C39" t="str">
            <v>CADRE BANQUE</v>
          </cell>
          <cell r="D39">
            <v>0</v>
          </cell>
          <cell r="E39">
            <v>699350133</v>
          </cell>
          <cell r="F39">
            <v>0</v>
          </cell>
          <cell r="G39" t="str">
            <v>DAMAS</v>
          </cell>
          <cell r="H39">
            <v>43435</v>
          </cell>
        </row>
        <row r="40">
          <cell r="A40" t="str">
            <v>AS201636</v>
          </cell>
          <cell r="B40" t="str">
            <v>SIME MATHIEU</v>
          </cell>
          <cell r="C40" t="str">
            <v>CHEF ENTREPRISE</v>
          </cell>
          <cell r="D40">
            <v>0</v>
          </cell>
          <cell r="E40">
            <v>677477649</v>
          </cell>
          <cell r="F40">
            <v>0</v>
          </cell>
          <cell r="G40" t="str">
            <v>PARC NATIONAL</v>
          </cell>
          <cell r="H40">
            <v>42948</v>
          </cell>
        </row>
        <row r="41">
          <cell r="A41" t="str">
            <v>AS201637</v>
          </cell>
          <cell r="B41" t="str">
            <v>SIME PIERRE</v>
          </cell>
          <cell r="C41" t="str">
            <v>TECHNICIEN DE SANTE RETRAITE</v>
          </cell>
          <cell r="D41">
            <v>0</v>
          </cell>
          <cell r="E41">
            <v>677546060</v>
          </cell>
          <cell r="F41">
            <v>0</v>
          </cell>
          <cell r="G41" t="str">
            <v>OYOMABANG</v>
          </cell>
          <cell r="H41">
            <v>42736</v>
          </cell>
        </row>
        <row r="42">
          <cell r="A42" t="str">
            <v>AS201638</v>
          </cell>
          <cell r="B42" t="str">
            <v>TCHOUAMOU JEAN PAUL</v>
          </cell>
          <cell r="C42" t="str">
            <v>CADRE CNPS</v>
          </cell>
          <cell r="D42">
            <v>0</v>
          </cell>
          <cell r="E42">
            <v>677780149</v>
          </cell>
          <cell r="F42">
            <v>0</v>
          </cell>
          <cell r="G42" t="str">
            <v>MESSASSI</v>
          </cell>
          <cell r="H42">
            <v>42552</v>
          </cell>
        </row>
        <row r="43">
          <cell r="A43" t="str">
            <v>AS201639</v>
          </cell>
          <cell r="B43" t="str">
            <v>TCHOUAMOU MATHIEU</v>
          </cell>
          <cell r="C43" t="str">
            <v>OFFICIER SUPERIEUR</v>
          </cell>
          <cell r="D43">
            <v>0</v>
          </cell>
          <cell r="E43">
            <v>699778906</v>
          </cell>
          <cell r="F43">
            <v>0</v>
          </cell>
          <cell r="G43" t="str">
            <v>MENDONG</v>
          </cell>
          <cell r="H43">
            <v>43709</v>
          </cell>
        </row>
        <row r="44">
          <cell r="A44" t="str">
            <v>AS201640</v>
          </cell>
          <cell r="B44" t="str">
            <v>TCHOUANTE FRANCOIS</v>
          </cell>
          <cell r="C44" t="str">
            <v>ENSEIGNANT</v>
          </cell>
          <cell r="D44">
            <v>0</v>
          </cell>
          <cell r="E44">
            <v>678639806</v>
          </cell>
          <cell r="F44">
            <v>0</v>
          </cell>
          <cell r="G44" t="str">
            <v>MENDONG</v>
          </cell>
          <cell r="H44">
            <v>43252</v>
          </cell>
        </row>
        <row r="45">
          <cell r="A45" t="str">
            <v>AS201641</v>
          </cell>
          <cell r="B45" t="str">
            <v>TCHOUTOU NANA CLAUDE</v>
          </cell>
          <cell r="C45" t="str">
            <v>OPERATEUR ECONOMIQUE</v>
          </cell>
          <cell r="D45">
            <v>0</v>
          </cell>
          <cell r="E45">
            <v>677775940</v>
          </cell>
          <cell r="F45">
            <v>0</v>
          </cell>
          <cell r="G45" t="str">
            <v>NKOL FOULOU</v>
          </cell>
          <cell r="H45">
            <v>43221</v>
          </cell>
        </row>
        <row r="46">
          <cell r="A46" t="str">
            <v>AS201642</v>
          </cell>
          <cell r="B46" t="str">
            <v>TIEYAM ERNEST</v>
          </cell>
          <cell r="C46" t="str">
            <v>INGENIEUR ELECTRONICIEN</v>
          </cell>
          <cell r="D46">
            <v>0</v>
          </cell>
          <cell r="E46">
            <v>677508603</v>
          </cell>
          <cell r="F46">
            <v>0</v>
          </cell>
          <cell r="G46" t="str">
            <v>BASTOS</v>
          </cell>
          <cell r="H46">
            <v>42856</v>
          </cell>
        </row>
        <row r="47">
          <cell r="A47" t="str">
            <v>AS201643</v>
          </cell>
          <cell r="B47" t="str">
            <v>TUGMA PIERRE LOTI</v>
          </cell>
          <cell r="C47" t="str">
            <v>PROFESSEUR DES LYCEES RETRAITE</v>
          </cell>
          <cell r="D47">
            <v>0</v>
          </cell>
          <cell r="E47">
            <v>677726329</v>
          </cell>
          <cell r="F47">
            <v>0</v>
          </cell>
          <cell r="G47" t="str">
            <v>BIYEM ASSI LYCEE</v>
          </cell>
          <cell r="H47">
            <v>42430</v>
          </cell>
        </row>
        <row r="48">
          <cell r="A48" t="str">
            <v>AS201644</v>
          </cell>
          <cell r="B48" t="str">
            <v>YEPMOU JEAN JACQUES</v>
          </cell>
          <cell r="C48" t="str">
            <v>ADMINISTRATEUR CIVIL</v>
          </cell>
          <cell r="D48">
            <v>0</v>
          </cell>
          <cell r="E48">
            <v>699663416</v>
          </cell>
          <cell r="F48">
            <v>0</v>
          </cell>
          <cell r="G48" t="str">
            <v>MENDONG (NKOLZIE)</v>
          </cell>
          <cell r="H48">
            <v>42826</v>
          </cell>
        </row>
        <row r="49">
          <cell r="A49" t="str">
            <v>AS201645</v>
          </cell>
          <cell r="B49" t="str">
            <v>YOUMBI EMMANUEL</v>
          </cell>
          <cell r="C49" t="str">
            <v>PROFESSEUR DES UNIVERSITES</v>
          </cell>
          <cell r="D49">
            <v>0</v>
          </cell>
          <cell r="E49">
            <v>677547311</v>
          </cell>
          <cell r="F49">
            <v>0</v>
          </cell>
          <cell r="G49" t="str">
            <v>MENDONG (GUINNESS)</v>
          </cell>
          <cell r="H49">
            <v>42675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3"/>
    </sheetView>
  </sheetViews>
  <sheetFormatPr baseColWidth="10" defaultRowHeight="15" x14ac:dyDescent="0.25"/>
  <sheetData>
    <row r="1" spans="1:1" x14ac:dyDescent="0.25">
      <c r="A1" t="s">
        <v>19</v>
      </c>
    </row>
    <row r="2" spans="1:1" x14ac:dyDescent="0.25">
      <c r="A2" t="s">
        <v>39</v>
      </c>
    </row>
    <row r="3" spans="1:1" x14ac:dyDescent="0.25">
      <c r="A3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pane xSplit="2" ySplit="5" topLeftCell="C54" activePane="bottomRight" state="frozen"/>
      <selection activeCell="I3" sqref="I3"/>
      <selection pane="topRight" activeCell="I3" sqref="I3"/>
      <selection pane="bottomLeft" activeCell="I3" sqref="I3"/>
      <selection pane="bottomRight" activeCell="C4" sqref="C4:H4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8.140625" bestFit="1" customWidth="1"/>
    <col min="9" max="9" width="21.28515625" bestFit="1" customWidth="1"/>
    <col min="10" max="10" width="19" bestFit="1" customWidth="1"/>
  </cols>
  <sheetData>
    <row r="1" spans="1:12" x14ac:dyDescent="0.25">
      <c r="A1" s="1" t="s">
        <v>0</v>
      </c>
      <c r="B1" s="1" t="s">
        <v>1</v>
      </c>
    </row>
    <row r="2" spans="1:12" x14ac:dyDescent="0.25">
      <c r="A2" s="1" t="s">
        <v>2</v>
      </c>
      <c r="B2" s="1" t="s">
        <v>3</v>
      </c>
    </row>
    <row r="3" spans="1:12" x14ac:dyDescent="0.25">
      <c r="A3" s="1" t="s">
        <v>4</v>
      </c>
      <c r="B3" s="4">
        <v>100000</v>
      </c>
    </row>
    <row r="4" spans="1:12" ht="18" x14ac:dyDescent="0.25">
      <c r="B4" s="5"/>
      <c r="C4" s="18">
        <v>42904</v>
      </c>
      <c r="D4" s="19"/>
      <c r="E4" s="19"/>
      <c r="F4" s="19"/>
      <c r="G4" s="19"/>
      <c r="H4" s="19"/>
    </row>
    <row r="5" spans="1:12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1" t="s">
        <v>15</v>
      </c>
      <c r="L5" s="6" t="s">
        <v>40</v>
      </c>
    </row>
    <row r="6" spans="1:12" x14ac:dyDescent="0.25">
      <c r="A6" s="1" t="s">
        <v>17</v>
      </c>
      <c r="B6" s="1" t="str">
        <f>VLOOKUP(A6,[2]LISTADHERENT!A$5:H$49,2)</f>
        <v>BOUTCHOUANG WILLIAM</v>
      </c>
      <c r="C6" s="8">
        <f t="shared" ref="C6:C31" si="0">IF(E6="ECHEC",0,100000)</f>
        <v>100000</v>
      </c>
      <c r="D6" s="8">
        <f t="shared" ref="D6:D31" si="1">IF(E6="ESPECES",0,0)</f>
        <v>0</v>
      </c>
      <c r="E6" s="7" t="s">
        <v>39</v>
      </c>
      <c r="F6" s="8"/>
      <c r="G6" s="8"/>
      <c r="H6" s="8">
        <f>[1]TONTMAI!F6+[1]TONTMAI!G6</f>
        <v>0</v>
      </c>
      <c r="J6" s="8">
        <v>200000</v>
      </c>
      <c r="K6" s="11">
        <v>42694</v>
      </c>
    </row>
    <row r="7" spans="1:12" x14ac:dyDescent="0.25">
      <c r="A7" s="1" t="s">
        <v>18</v>
      </c>
      <c r="B7" s="1" t="str">
        <f>VLOOKUP(A7,[2]LISTADHERENT!A$5:H$49,2)</f>
        <v>DJOUNKEP SAMUEL</v>
      </c>
      <c r="C7" s="8">
        <f t="shared" si="0"/>
        <v>100000</v>
      </c>
      <c r="D7" s="8">
        <f t="shared" si="1"/>
        <v>0</v>
      </c>
      <c r="E7" s="7" t="s">
        <v>19</v>
      </c>
      <c r="F7" s="8"/>
      <c r="G7" s="8"/>
      <c r="H7" s="8">
        <f>[1]TONTMAI!F7+[1]TONTMAI!G7</f>
        <v>0</v>
      </c>
      <c r="J7" s="8"/>
    </row>
    <row r="8" spans="1:12" x14ac:dyDescent="0.25">
      <c r="A8" s="1" t="s">
        <v>20</v>
      </c>
      <c r="B8" s="1" t="str">
        <f>VLOOKUP(A8,[2]LISTADHERENT!A$5:H$49,2)</f>
        <v>DJUOMBESSY ANTOINE</v>
      </c>
      <c r="C8" s="8">
        <f t="shared" si="0"/>
        <v>100000</v>
      </c>
      <c r="D8" s="8">
        <f t="shared" si="1"/>
        <v>0</v>
      </c>
      <c r="E8" s="7" t="s">
        <v>19</v>
      </c>
      <c r="F8" s="8"/>
      <c r="G8" s="8"/>
      <c r="H8" s="8">
        <f>[1]TONTMAI!F8+[1]TONTMAI!G8</f>
        <v>0</v>
      </c>
      <c r="J8" s="8">
        <v>155000</v>
      </c>
      <c r="K8" s="11">
        <v>42723</v>
      </c>
    </row>
    <row r="9" spans="1:12" x14ac:dyDescent="0.25">
      <c r="A9" s="1" t="s">
        <v>21</v>
      </c>
      <c r="B9" s="1" t="str">
        <f>VLOOKUP(A9,[2]LISTADHERENT!A$5:H$49,2)</f>
        <v>FOTSO THOMAS</v>
      </c>
      <c r="C9" s="8">
        <f t="shared" si="0"/>
        <v>100000</v>
      </c>
      <c r="D9" s="8">
        <f t="shared" si="1"/>
        <v>0</v>
      </c>
      <c r="E9" s="7" t="s">
        <v>39</v>
      </c>
      <c r="F9" s="8"/>
      <c r="G9" s="8"/>
      <c r="H9" s="8">
        <f>[1]TONTMAI!F9+[1]TONTMAI!G9</f>
        <v>103000</v>
      </c>
      <c r="I9" t="s">
        <v>44</v>
      </c>
      <c r="J9" s="8">
        <v>191000</v>
      </c>
      <c r="K9" s="11">
        <v>42603</v>
      </c>
    </row>
    <row r="10" spans="1:12" x14ac:dyDescent="0.25">
      <c r="A10" s="1" t="s">
        <v>22</v>
      </c>
      <c r="B10" s="1" t="str">
        <f>VLOOKUP(A10,[2]LISTADHERENT!A$5:H$49,2)</f>
        <v>HOTCHO BENJAMIN</v>
      </c>
      <c r="C10" s="8">
        <f t="shared" si="0"/>
        <v>100000</v>
      </c>
      <c r="D10" s="8">
        <f t="shared" si="1"/>
        <v>0</v>
      </c>
      <c r="E10" s="7" t="s">
        <v>19</v>
      </c>
      <c r="F10" s="8"/>
      <c r="G10" s="8"/>
      <c r="H10" s="8">
        <f>[1]TONTMAI!F10+[1]TONTMAI!G10</f>
        <v>0</v>
      </c>
      <c r="J10" s="8">
        <v>195000</v>
      </c>
      <c r="K10" s="11">
        <v>42694</v>
      </c>
    </row>
    <row r="11" spans="1:12" x14ac:dyDescent="0.25">
      <c r="A11" s="1" t="s">
        <v>22</v>
      </c>
      <c r="B11" s="1" t="str">
        <f>VLOOKUP(A11,[2]LISTADHERENT!A$5:H$49,2)</f>
        <v>HOTCHO BENJAMIN</v>
      </c>
      <c r="C11" s="8">
        <f t="shared" si="0"/>
        <v>100000</v>
      </c>
      <c r="D11" s="8">
        <f t="shared" si="1"/>
        <v>0</v>
      </c>
      <c r="E11" s="7" t="s">
        <v>19</v>
      </c>
      <c r="F11" s="8"/>
      <c r="G11" s="8"/>
      <c r="H11" s="8">
        <f>[1]TONTMAI!F11+[1]TONTMAI!G11</f>
        <v>0</v>
      </c>
      <c r="J11" s="8">
        <v>110000</v>
      </c>
      <c r="K11" s="11">
        <v>42476</v>
      </c>
    </row>
    <row r="12" spans="1:12" x14ac:dyDescent="0.25">
      <c r="A12" s="1" t="s">
        <v>23</v>
      </c>
      <c r="B12" s="1" t="str">
        <f>VLOOKUP(A12,[2]LISTADHERENT!A$5:H$49,2)</f>
        <v>KEPSEU FRANCIS</v>
      </c>
      <c r="C12" s="8">
        <f t="shared" si="0"/>
        <v>100000</v>
      </c>
      <c r="D12" s="8">
        <f t="shared" si="1"/>
        <v>0</v>
      </c>
      <c r="E12" s="7" t="s">
        <v>19</v>
      </c>
      <c r="F12" s="8"/>
      <c r="G12" s="8"/>
      <c r="H12" s="8">
        <f>[1]TONTMAI!F12+[1]TONTMAI!G12</f>
        <v>0</v>
      </c>
      <c r="J12" s="8">
        <v>126000</v>
      </c>
      <c r="K12" s="11">
        <v>42904</v>
      </c>
      <c r="L12" s="1" t="s">
        <v>48</v>
      </c>
    </row>
    <row r="13" spans="1:12" x14ac:dyDescent="0.25">
      <c r="A13" s="1" t="s">
        <v>24</v>
      </c>
      <c r="B13" s="1" t="str">
        <f>VLOOKUP(A13,[2]LISTADHERENT!A$5:H$49,2)</f>
        <v>KOUAMOU MOISE</v>
      </c>
      <c r="C13" s="8">
        <f t="shared" si="0"/>
        <v>100000</v>
      </c>
      <c r="D13" s="8">
        <f t="shared" si="1"/>
        <v>0</v>
      </c>
      <c r="E13" s="7" t="s">
        <v>19</v>
      </c>
      <c r="F13" s="8">
        <v>31000</v>
      </c>
      <c r="G13" s="8">
        <v>500</v>
      </c>
      <c r="H13" s="8">
        <f>[1]TONTMAI!F13+[1]TONTMAI!G13</f>
        <v>0</v>
      </c>
      <c r="J13" s="8">
        <v>110000</v>
      </c>
      <c r="K13" s="11">
        <v>42448</v>
      </c>
    </row>
    <row r="14" spans="1:12" x14ac:dyDescent="0.25">
      <c r="A14" s="1" t="s">
        <v>25</v>
      </c>
      <c r="B14" s="1" t="str">
        <f>VLOOKUP(A14,[2]LISTADHERENT!A$5:H$49,2)</f>
        <v>KOUAMOU VICTOR PEGUY</v>
      </c>
      <c r="C14" s="8">
        <f t="shared" si="0"/>
        <v>100000</v>
      </c>
      <c r="D14" s="8">
        <f t="shared" si="1"/>
        <v>0</v>
      </c>
      <c r="E14" s="7" t="s">
        <v>19</v>
      </c>
      <c r="F14" s="8"/>
      <c r="G14" s="8"/>
      <c r="H14" s="8">
        <v>218000</v>
      </c>
      <c r="I14" t="s">
        <v>47</v>
      </c>
      <c r="J14" s="8">
        <v>136000</v>
      </c>
      <c r="K14" s="11">
        <v>42659</v>
      </c>
    </row>
    <row r="15" spans="1:12" x14ac:dyDescent="0.25">
      <c r="A15" s="1" t="s">
        <v>26</v>
      </c>
      <c r="B15" s="1" t="str">
        <f>VLOOKUP(A15,[2]LISTADHERENT!A$5:H$49,2)</f>
        <v>KOUATCHO MESSACK</v>
      </c>
      <c r="C15" s="8">
        <f t="shared" si="0"/>
        <v>100000</v>
      </c>
      <c r="D15" s="8">
        <f t="shared" si="1"/>
        <v>0</v>
      </c>
      <c r="E15" s="7" t="s">
        <v>19</v>
      </c>
      <c r="F15" s="8"/>
      <c r="G15" s="8"/>
      <c r="H15" s="8">
        <f>[1]TONTMAI!F15+[1]TONTMAI!G15</f>
        <v>0</v>
      </c>
      <c r="J15" s="8">
        <v>136000</v>
      </c>
      <c r="K15" s="11">
        <v>42659</v>
      </c>
    </row>
    <row r="16" spans="1:12" x14ac:dyDescent="0.25">
      <c r="A16" s="1" t="s">
        <v>27</v>
      </c>
      <c r="B16" s="1" t="str">
        <f>VLOOKUP(A16,[2]LISTADHERENT!A$5:H$49,2)</f>
        <v>NANKAM APPOLINAIRE</v>
      </c>
      <c r="C16" s="8">
        <f t="shared" si="0"/>
        <v>100000</v>
      </c>
      <c r="D16" s="8">
        <f t="shared" si="1"/>
        <v>0</v>
      </c>
      <c r="E16" s="7" t="s">
        <v>19</v>
      </c>
      <c r="F16" s="8"/>
      <c r="G16" s="8"/>
      <c r="H16" s="8">
        <f>[1]TONTMAI!F16+[1]TONTMAI!G16</f>
        <v>0</v>
      </c>
      <c r="J16" s="8">
        <v>157000</v>
      </c>
      <c r="K16" s="11">
        <v>42632</v>
      </c>
    </row>
    <row r="17" spans="1:12" x14ac:dyDescent="0.25">
      <c r="A17" s="1" t="s">
        <v>28</v>
      </c>
      <c r="B17" s="1" t="str">
        <f>VLOOKUP(A17,[2]LISTADHERENT!A$5:H$49,2)</f>
        <v>NDJOMO ETIENNE</v>
      </c>
      <c r="C17" s="8">
        <f t="shared" si="0"/>
        <v>100000</v>
      </c>
      <c r="D17" s="8">
        <f t="shared" si="1"/>
        <v>0</v>
      </c>
      <c r="E17" s="7" t="s">
        <v>19</v>
      </c>
      <c r="F17" s="8"/>
      <c r="G17" s="8"/>
      <c r="H17" s="8">
        <f>[1]TONTMAI!F17+[1]TONTMAI!G17</f>
        <v>0</v>
      </c>
      <c r="J17" s="8"/>
    </row>
    <row r="18" spans="1:12" x14ac:dyDescent="0.25">
      <c r="A18" s="1" t="s">
        <v>29</v>
      </c>
      <c r="B18" s="1" t="str">
        <f>VLOOKUP(A18,[2]LISTADHERENT!A$5:H$49,2)</f>
        <v>NGONDIEP CLAUDE</v>
      </c>
      <c r="C18" s="8">
        <f t="shared" si="0"/>
        <v>100000</v>
      </c>
      <c r="D18" s="8">
        <f t="shared" si="1"/>
        <v>0</v>
      </c>
      <c r="E18" s="7" t="s">
        <v>19</v>
      </c>
      <c r="F18" s="8"/>
      <c r="G18" s="8"/>
      <c r="H18" s="8">
        <f>[1]TONTMAI!F18+[1]TONTMAI!G18</f>
        <v>0</v>
      </c>
      <c r="J18" s="8">
        <v>125000</v>
      </c>
      <c r="K18" s="11">
        <v>42904</v>
      </c>
      <c r="L18" s="1" t="s">
        <v>49</v>
      </c>
    </row>
    <row r="19" spans="1:12" x14ac:dyDescent="0.25">
      <c r="A19" s="1" t="s">
        <v>30</v>
      </c>
      <c r="B19" s="1" t="str">
        <f>VLOOKUP(A19,[2]LISTADHERENT!A$5:H$49,2)</f>
        <v>NKAMGANG JUSTIN DEJOLIE</v>
      </c>
      <c r="C19" s="8">
        <f t="shared" si="0"/>
        <v>100000</v>
      </c>
      <c r="D19" s="8">
        <f t="shared" si="1"/>
        <v>0</v>
      </c>
      <c r="E19" s="7" t="s">
        <v>19</v>
      </c>
      <c r="F19" s="8">
        <f>100000+100000</f>
        <v>200000</v>
      </c>
      <c r="G19" s="8">
        <f>2000+2000</f>
        <v>4000</v>
      </c>
      <c r="H19" s="8">
        <f>[1]TONTMAI!F19+[1]TONTMAI!G19</f>
        <v>0</v>
      </c>
      <c r="J19" s="8">
        <v>200000</v>
      </c>
      <c r="K19" s="11">
        <v>42603</v>
      </c>
    </row>
    <row r="20" spans="1:12" x14ac:dyDescent="0.25">
      <c r="A20" s="1" t="s">
        <v>30</v>
      </c>
      <c r="B20" s="1" t="str">
        <f>VLOOKUP(A20,[2]LISTADHERENT!A$5:H$49,2)</f>
        <v>NKAMGANG JUSTIN DEJOLIE</v>
      </c>
      <c r="C20" s="8">
        <f t="shared" si="0"/>
        <v>100000</v>
      </c>
      <c r="D20" s="8">
        <f t="shared" si="1"/>
        <v>0</v>
      </c>
      <c r="E20" s="7" t="s">
        <v>19</v>
      </c>
      <c r="F20" s="8"/>
      <c r="G20" s="8"/>
      <c r="H20" s="8">
        <f>[1]TONTMAI!F20+[1]TONTMAI!G20</f>
        <v>0</v>
      </c>
      <c r="J20" s="8">
        <v>127000</v>
      </c>
      <c r="K20" s="11">
        <v>42750</v>
      </c>
    </row>
    <row r="21" spans="1:12" x14ac:dyDescent="0.25">
      <c r="A21" s="1" t="s">
        <v>30</v>
      </c>
      <c r="B21" s="1" t="str">
        <f>VLOOKUP(A21,[2]LISTADHERENT!A$5:H$49,2)</f>
        <v>NKAMGANG JUSTIN DEJOLIE</v>
      </c>
      <c r="C21" s="8">
        <f t="shared" si="0"/>
        <v>100000</v>
      </c>
      <c r="D21" s="8">
        <f t="shared" si="1"/>
        <v>0</v>
      </c>
      <c r="E21" s="7" t="s">
        <v>19</v>
      </c>
      <c r="F21" s="8"/>
      <c r="G21" s="8"/>
      <c r="H21" s="8">
        <f>[1]TONTMAI!F21+[1]TONTMAI!G21</f>
        <v>39000</v>
      </c>
      <c r="I21" t="s">
        <v>44</v>
      </c>
      <c r="J21" s="8">
        <v>110000</v>
      </c>
      <c r="K21" s="11">
        <v>42841</v>
      </c>
    </row>
    <row r="22" spans="1:12" x14ac:dyDescent="0.25">
      <c r="A22" s="1" t="s">
        <v>31</v>
      </c>
      <c r="B22" s="1" t="str">
        <f>VLOOKUP(A22,[2]LISTADHERENT!A$5:H$49,2)</f>
        <v>NKEPSEU DIEUDONNE</v>
      </c>
      <c r="C22" s="8">
        <f t="shared" si="0"/>
        <v>100000</v>
      </c>
      <c r="D22" s="8">
        <f t="shared" si="1"/>
        <v>0</v>
      </c>
      <c r="E22" s="7" t="s">
        <v>39</v>
      </c>
      <c r="F22" s="8"/>
      <c r="G22" s="8"/>
      <c r="H22" s="8">
        <f>[1]TONTMAI!F22+[1]TONTMAI!G22</f>
        <v>0</v>
      </c>
      <c r="J22" s="8">
        <v>127000</v>
      </c>
      <c r="K22" s="11">
        <v>42750</v>
      </c>
    </row>
    <row r="23" spans="1:12" x14ac:dyDescent="0.25">
      <c r="A23" s="1" t="s">
        <v>32</v>
      </c>
      <c r="B23" s="1" t="str">
        <f>VLOOKUP(A23,[2]LISTADHERENT!A$5:H$49,2)</f>
        <v>SEUNOU RICHELOT</v>
      </c>
      <c r="C23" s="8">
        <f t="shared" si="0"/>
        <v>100000</v>
      </c>
      <c r="D23" s="8">
        <f t="shared" si="1"/>
        <v>0</v>
      </c>
      <c r="E23" s="7" t="s">
        <v>39</v>
      </c>
      <c r="F23" s="8"/>
      <c r="G23" s="8"/>
      <c r="H23" s="8">
        <f>[1]TONTMAI!F23+[1]TONTMAI!G23</f>
        <v>0</v>
      </c>
      <c r="J23" s="8">
        <v>265000</v>
      </c>
      <c r="K23" s="11">
        <v>42568</v>
      </c>
    </row>
    <row r="24" spans="1:12" x14ac:dyDescent="0.25">
      <c r="A24" s="1" t="s">
        <v>32</v>
      </c>
      <c r="B24" s="1" t="str">
        <f>VLOOKUP(A24,[2]LISTADHERENT!A$5:H$49,2)</f>
        <v>SEUNOU RICHELOT</v>
      </c>
      <c r="C24" s="8">
        <f t="shared" si="0"/>
        <v>100000</v>
      </c>
      <c r="D24" s="8">
        <f t="shared" si="1"/>
        <v>0</v>
      </c>
      <c r="E24" s="7" t="s">
        <v>39</v>
      </c>
      <c r="F24" s="8"/>
      <c r="G24" s="8"/>
      <c r="H24" s="8">
        <f>[1]TONTMAI!F24+[1]TONTMAI!G24</f>
        <v>0</v>
      </c>
      <c r="J24" s="8">
        <v>111000</v>
      </c>
      <c r="K24" s="11">
        <v>42813</v>
      </c>
    </row>
    <row r="25" spans="1:12" x14ac:dyDescent="0.25">
      <c r="A25" s="1" t="s">
        <v>33</v>
      </c>
      <c r="B25" s="1" t="str">
        <f>VLOOKUP(A25,[2]LISTADHERENT!A$5:H$49,2)</f>
        <v>SIME FONGANG ERIC</v>
      </c>
      <c r="C25" s="8">
        <f t="shared" si="0"/>
        <v>100000</v>
      </c>
      <c r="D25" s="8">
        <f t="shared" si="1"/>
        <v>0</v>
      </c>
      <c r="E25" s="7" t="s">
        <v>19</v>
      </c>
      <c r="F25" s="8"/>
      <c r="G25" s="8"/>
      <c r="H25" s="8">
        <f>[1]TONTMAI!F25+[1]TONTMAI!G25</f>
        <v>0</v>
      </c>
      <c r="J25" s="8">
        <v>100000</v>
      </c>
      <c r="K25" s="11">
        <v>42876</v>
      </c>
      <c r="L25" t="s">
        <v>46</v>
      </c>
    </row>
    <row r="26" spans="1:12" x14ac:dyDescent="0.25">
      <c r="A26" s="1" t="s">
        <v>34</v>
      </c>
      <c r="B26" s="1" t="str">
        <f>VLOOKUP(A26,[2]LISTADHERENT!A$5:H$49,2)</f>
        <v>SIME MATHIEU</v>
      </c>
      <c r="C26" s="8">
        <f t="shared" si="0"/>
        <v>100000</v>
      </c>
      <c r="D26" s="8">
        <f t="shared" si="1"/>
        <v>0</v>
      </c>
      <c r="E26" s="7" t="s">
        <v>19</v>
      </c>
      <c r="F26" s="8"/>
      <c r="G26" s="8"/>
      <c r="H26" s="8">
        <f>[1]TONTMAI!F26+[1]TONTMAI!G26</f>
        <v>0</v>
      </c>
      <c r="J26" s="8">
        <v>147000</v>
      </c>
      <c r="K26" s="11">
        <v>42632</v>
      </c>
    </row>
    <row r="27" spans="1:12" x14ac:dyDescent="0.25">
      <c r="A27" s="1" t="s">
        <v>34</v>
      </c>
      <c r="B27" s="1" t="str">
        <f>VLOOKUP(A27,[2]LISTADHERENT!A$5:H$49,2)</f>
        <v>SIME MATHIEU</v>
      </c>
      <c r="C27" s="8">
        <f t="shared" si="0"/>
        <v>100000</v>
      </c>
      <c r="D27" s="8">
        <f t="shared" si="1"/>
        <v>0</v>
      </c>
      <c r="E27" s="7" t="s">
        <v>19</v>
      </c>
      <c r="F27" s="8"/>
      <c r="G27" s="8"/>
      <c r="H27" s="8">
        <f>[1]TONTMAI!F27+[1]TONTMAI!G27</f>
        <v>0</v>
      </c>
      <c r="J27" s="8">
        <v>155000</v>
      </c>
      <c r="K27" s="11">
        <v>42785</v>
      </c>
      <c r="L27" t="s">
        <v>42</v>
      </c>
    </row>
    <row r="28" spans="1:12" x14ac:dyDescent="0.25">
      <c r="A28" s="1" t="s">
        <v>35</v>
      </c>
      <c r="B28" s="1" t="str">
        <f>VLOOKUP(A28,[2]LISTADHERENT!A$5:H$49,2)</f>
        <v>TCHOUAMOU MATHIEU</v>
      </c>
      <c r="C28" s="8">
        <f t="shared" si="0"/>
        <v>100000</v>
      </c>
      <c r="D28" s="8">
        <f t="shared" si="1"/>
        <v>0</v>
      </c>
      <c r="E28" s="7" t="s">
        <v>19</v>
      </c>
      <c r="F28" s="8"/>
      <c r="G28" s="8"/>
      <c r="H28" s="8">
        <f>[1]TONTMAI!F28+[1]TONTMAI!G28</f>
        <v>0</v>
      </c>
      <c r="J28" s="8">
        <v>100000</v>
      </c>
      <c r="K28" s="11">
        <v>42876</v>
      </c>
      <c r="L28" t="s">
        <v>45</v>
      </c>
    </row>
    <row r="29" spans="1:12" x14ac:dyDescent="0.25">
      <c r="A29" s="1" t="s">
        <v>36</v>
      </c>
      <c r="B29" s="1" t="str">
        <f>VLOOKUP(A29,[2]LISTADHERENT!A$5:H$49,2)</f>
        <v>TIEYAM ERNEST</v>
      </c>
      <c r="C29" s="8">
        <f t="shared" si="0"/>
        <v>100000</v>
      </c>
      <c r="D29" s="8">
        <f t="shared" si="1"/>
        <v>0</v>
      </c>
      <c r="E29" s="7" t="s">
        <v>19</v>
      </c>
      <c r="F29" s="8">
        <f>100000+100000</f>
        <v>200000</v>
      </c>
      <c r="G29" s="8">
        <f>4000+3000</f>
        <v>7000</v>
      </c>
      <c r="H29" s="8">
        <f>[1]TONTMAI!F29+[1]TONTMAI!G29</f>
        <v>220000</v>
      </c>
      <c r="I29" t="s">
        <v>44</v>
      </c>
      <c r="J29" s="8">
        <v>270000</v>
      </c>
      <c r="K29" s="11">
        <v>42568</v>
      </c>
    </row>
    <row r="30" spans="1:12" x14ac:dyDescent="0.25">
      <c r="A30" s="1" t="s">
        <v>36</v>
      </c>
      <c r="B30" s="1" t="str">
        <f>VLOOKUP(A30,[2]LISTADHERENT!A$5:H$49,2)</f>
        <v>TIEYAM ERNEST</v>
      </c>
      <c r="C30" s="8">
        <f t="shared" si="0"/>
        <v>100000</v>
      </c>
      <c r="D30" s="8">
        <f t="shared" si="1"/>
        <v>0</v>
      </c>
      <c r="E30" s="7" t="s">
        <v>19</v>
      </c>
      <c r="F30" s="8"/>
      <c r="G30" s="8"/>
      <c r="H30" s="8">
        <f>[1]TONTMAI!F30+[1]TONTMAI!G30</f>
        <v>0</v>
      </c>
      <c r="J30" s="8">
        <v>170000</v>
      </c>
      <c r="K30" s="11">
        <v>42785</v>
      </c>
      <c r="L30" t="s">
        <v>41</v>
      </c>
    </row>
    <row r="31" spans="1:12" x14ac:dyDescent="0.25">
      <c r="A31" s="1" t="s">
        <v>37</v>
      </c>
      <c r="B31" s="1" t="str">
        <f>VLOOKUP(A31,[2]LISTADHERENT!A$5:H$49,2)</f>
        <v>YOUMBI EMMANUEL</v>
      </c>
      <c r="C31" s="8">
        <f t="shared" si="0"/>
        <v>100000</v>
      </c>
      <c r="D31" s="8">
        <f t="shared" si="1"/>
        <v>0</v>
      </c>
      <c r="E31" s="7" t="s">
        <v>19</v>
      </c>
      <c r="F31" s="8"/>
      <c r="G31" s="8"/>
      <c r="H31" s="8">
        <f>[1]TONTMAI!F31+[1]TONTMAI!G31</f>
        <v>0</v>
      </c>
      <c r="J31" s="8"/>
    </row>
    <row r="33" spans="1:9" ht="18" x14ac:dyDescent="0.25">
      <c r="A33" s="9" t="s">
        <v>38</v>
      </c>
      <c r="B33" s="9"/>
      <c r="C33" s="10">
        <f>SUM(C6:C32)</f>
        <v>2600000</v>
      </c>
      <c r="D33" s="10">
        <f>SUM(D6:D32)</f>
        <v>0</v>
      </c>
      <c r="E33" s="10"/>
      <c r="F33" s="10">
        <f>SUM(F6:F32)</f>
        <v>431000</v>
      </c>
      <c r="G33" s="10">
        <f>SUM(G6:G32)</f>
        <v>11500</v>
      </c>
      <c r="H33" s="10">
        <f>SUM(H6:H32)</f>
        <v>580000</v>
      </c>
      <c r="I33" s="10">
        <f>SUM(I6:I32)</f>
        <v>0</v>
      </c>
    </row>
    <row r="34" spans="1:9" x14ac:dyDescent="0.25">
      <c r="C34" s="2" t="s">
        <v>43</v>
      </c>
    </row>
    <row r="36" spans="1:9" ht="18" x14ac:dyDescent="0.25">
      <c r="B36" s="10" t="s">
        <v>39</v>
      </c>
      <c r="C36" s="10">
        <f>SUMIFS(C6:C31,E6:E31,"ESPECES")</f>
        <v>500000</v>
      </c>
      <c r="E36" s="10">
        <v>375000</v>
      </c>
      <c r="F36" s="10">
        <f>C36+E36</f>
        <v>875000</v>
      </c>
      <c r="G36" s="10"/>
    </row>
    <row r="37" spans="1:9" ht="18" x14ac:dyDescent="0.25">
      <c r="B37" s="10" t="s">
        <v>19</v>
      </c>
      <c r="C37" s="10">
        <f>SUMIFS(C6:C31,E6:E31,"BANQUE")</f>
        <v>2100000</v>
      </c>
      <c r="E37" s="10">
        <v>205000</v>
      </c>
      <c r="F37" s="10">
        <f>C37+E37</f>
        <v>2305000</v>
      </c>
      <c r="G37" s="10"/>
    </row>
    <row r="38" spans="1:9" ht="18" x14ac:dyDescent="0.25">
      <c r="B38" s="10" t="s">
        <v>12</v>
      </c>
      <c r="C38" s="10">
        <f>H33</f>
        <v>580000</v>
      </c>
    </row>
  </sheetData>
  <autoFilter ref="A5:L31"/>
  <mergeCells count="1">
    <mergeCell ref="C4:H4"/>
  </mergeCells>
  <dataValidations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workbookViewId="0">
      <pane xSplit="2" ySplit="5" topLeftCell="C30" activePane="bottomRight" state="frozen"/>
      <selection activeCell="I3" sqref="I3"/>
      <selection pane="topRight" activeCell="I3" sqref="I3"/>
      <selection pane="bottomLeft" activeCell="I3" sqref="I3"/>
      <selection pane="bottomRight" activeCell="C36" sqref="C36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8.140625" bestFit="1" customWidth="1"/>
    <col min="9" max="9" width="21.28515625" bestFit="1" customWidth="1"/>
    <col min="10" max="10" width="19" bestFit="1" customWidth="1"/>
  </cols>
  <sheetData>
    <row r="1" spans="1:12" x14ac:dyDescent="0.25">
      <c r="A1" s="1" t="s">
        <v>0</v>
      </c>
      <c r="B1" s="1" t="s">
        <v>1</v>
      </c>
    </row>
    <row r="2" spans="1:12" x14ac:dyDescent="0.25">
      <c r="A2" s="1" t="s">
        <v>2</v>
      </c>
      <c r="B2" s="1" t="s">
        <v>3</v>
      </c>
    </row>
    <row r="3" spans="1:12" x14ac:dyDescent="0.25">
      <c r="A3" s="1" t="s">
        <v>4</v>
      </c>
      <c r="B3" s="4">
        <v>100000</v>
      </c>
    </row>
    <row r="4" spans="1:12" ht="18" x14ac:dyDescent="0.25">
      <c r="B4" s="5"/>
      <c r="C4" s="18">
        <v>42932</v>
      </c>
      <c r="D4" s="19"/>
      <c r="E4" s="19"/>
      <c r="F4" s="19"/>
      <c r="G4" s="19"/>
      <c r="H4" s="19"/>
    </row>
    <row r="5" spans="1:12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1" t="s">
        <v>15</v>
      </c>
      <c r="L5" s="6" t="s">
        <v>40</v>
      </c>
    </row>
    <row r="6" spans="1:12" x14ac:dyDescent="0.25">
      <c r="A6" s="1" t="s">
        <v>17</v>
      </c>
      <c r="B6" s="1" t="str">
        <f>VLOOKUP(A6,[2]LISTADHERENT!A$5:H$49,2)</f>
        <v>BOUTCHOUANG WILLIAM</v>
      </c>
      <c r="C6" s="8">
        <f t="shared" ref="C6:C31" si="0">IF(E6="ECHEC",0,100000)</f>
        <v>100000</v>
      </c>
      <c r="D6" s="8">
        <f t="shared" ref="D6:D31" si="1">IF(E6="ESPECES",0,0)</f>
        <v>0</v>
      </c>
      <c r="E6" s="7" t="s">
        <v>39</v>
      </c>
      <c r="F6" s="8"/>
      <c r="G6" s="8"/>
      <c r="H6" s="8">
        <f>[1]TONTJUIN!F6+[1]TONTJUIN!G6</f>
        <v>0</v>
      </c>
      <c r="J6" s="8">
        <v>200000</v>
      </c>
      <c r="K6" s="11">
        <v>42694</v>
      </c>
    </row>
    <row r="7" spans="1:12" x14ac:dyDescent="0.25">
      <c r="A7" s="1" t="s">
        <v>18</v>
      </c>
      <c r="B7" s="1" t="str">
        <f>VLOOKUP(A7,[2]LISTADHERENT!A$5:H$49,2)</f>
        <v>DJOUNKEP SAMUEL</v>
      </c>
      <c r="C7" s="8">
        <f t="shared" si="0"/>
        <v>100000</v>
      </c>
      <c r="D7" s="8">
        <f t="shared" si="1"/>
        <v>0</v>
      </c>
      <c r="E7" s="7" t="s">
        <v>19</v>
      </c>
      <c r="F7" s="8"/>
      <c r="G7" s="8"/>
      <c r="H7" s="8">
        <f>[1]TONTJUIN!F7+[1]TONTJUIN!G7</f>
        <v>0</v>
      </c>
      <c r="J7" s="8"/>
    </row>
    <row r="8" spans="1:12" x14ac:dyDescent="0.25">
      <c r="A8" s="1" t="s">
        <v>20</v>
      </c>
      <c r="B8" s="1" t="str">
        <f>VLOOKUP(A8,[2]LISTADHERENT!A$5:H$49,2)</f>
        <v>DJUOMBESSY ANTOINE</v>
      </c>
      <c r="C8" s="8">
        <f t="shared" si="0"/>
        <v>100000</v>
      </c>
      <c r="D8" s="8">
        <f t="shared" si="1"/>
        <v>0</v>
      </c>
      <c r="E8" s="7" t="s">
        <v>19</v>
      </c>
      <c r="F8" s="8"/>
      <c r="G8" s="8"/>
      <c r="H8" s="8">
        <f>[1]TONTJUIN!F8+[1]TONTJUIN!G8</f>
        <v>0</v>
      </c>
      <c r="J8" s="8">
        <v>155000</v>
      </c>
      <c r="K8" s="11">
        <v>42723</v>
      </c>
    </row>
    <row r="9" spans="1:12" x14ac:dyDescent="0.25">
      <c r="A9" s="1" t="s">
        <v>21</v>
      </c>
      <c r="B9" s="1" t="str">
        <f>VLOOKUP(A9,[2]LISTADHERENT!A$5:H$49,2)</f>
        <v>FOTSO THOMAS</v>
      </c>
      <c r="C9" s="8">
        <f t="shared" si="0"/>
        <v>100000</v>
      </c>
      <c r="D9" s="8">
        <f t="shared" si="1"/>
        <v>0</v>
      </c>
      <c r="E9" s="7" t="s">
        <v>19</v>
      </c>
      <c r="F9" s="8"/>
      <c r="G9" s="8"/>
      <c r="H9" s="8">
        <f>[1]TONTJUIN!F9+[1]TONTJUIN!G9</f>
        <v>0</v>
      </c>
      <c r="J9" s="8">
        <v>191000</v>
      </c>
      <c r="K9" s="11">
        <v>42603</v>
      </c>
    </row>
    <row r="10" spans="1:12" x14ac:dyDescent="0.25">
      <c r="A10" s="1" t="s">
        <v>22</v>
      </c>
      <c r="B10" s="1" t="str">
        <f>VLOOKUP(A10,[2]LISTADHERENT!A$5:H$49,2)</f>
        <v>HOTCHO BENJAMIN</v>
      </c>
      <c r="C10" s="8">
        <f t="shared" si="0"/>
        <v>100000</v>
      </c>
      <c r="D10" s="8">
        <f t="shared" si="1"/>
        <v>0</v>
      </c>
      <c r="E10" s="7" t="s">
        <v>19</v>
      </c>
      <c r="F10" s="8"/>
      <c r="G10" s="8"/>
      <c r="H10" s="8">
        <f>[1]TONTJUIN!F10+[1]TONTJUIN!G10</f>
        <v>0</v>
      </c>
      <c r="J10" s="8">
        <v>195000</v>
      </c>
      <c r="K10" s="11">
        <v>42694</v>
      </c>
    </row>
    <row r="11" spans="1:12" x14ac:dyDescent="0.25">
      <c r="A11" s="1" t="s">
        <v>22</v>
      </c>
      <c r="B11" s="1" t="str">
        <f>VLOOKUP(A11,[2]LISTADHERENT!A$5:H$49,2)</f>
        <v>HOTCHO BENJAMIN</v>
      </c>
      <c r="C11" s="8">
        <f t="shared" si="0"/>
        <v>100000</v>
      </c>
      <c r="D11" s="8">
        <f t="shared" si="1"/>
        <v>0</v>
      </c>
      <c r="E11" s="7" t="s">
        <v>19</v>
      </c>
      <c r="F11" s="8"/>
      <c r="G11" s="8"/>
      <c r="H11" s="8">
        <f>[1]TONTJUIN!F11+[1]TONTJUIN!G11</f>
        <v>0</v>
      </c>
      <c r="J11" s="8">
        <v>110000</v>
      </c>
      <c r="K11" s="11">
        <v>42476</v>
      </c>
    </row>
    <row r="12" spans="1:12" x14ac:dyDescent="0.25">
      <c r="A12" s="1" t="s">
        <v>23</v>
      </c>
      <c r="B12" s="1" t="str">
        <f>VLOOKUP(A12,[2]LISTADHERENT!A$5:H$49,2)</f>
        <v>KEPSEU FRANCIS</v>
      </c>
      <c r="C12" s="8">
        <f t="shared" si="0"/>
        <v>100000</v>
      </c>
      <c r="D12" s="8">
        <f t="shared" si="1"/>
        <v>0</v>
      </c>
      <c r="E12" s="7" t="s">
        <v>19</v>
      </c>
      <c r="F12" s="8"/>
      <c r="G12" s="8"/>
      <c r="H12" s="8">
        <f>[1]TONTJUIN!F12+[1]TONTJUIN!G12</f>
        <v>0</v>
      </c>
      <c r="J12" s="8">
        <v>126000</v>
      </c>
      <c r="K12" s="11">
        <v>42904</v>
      </c>
      <c r="L12" s="1" t="s">
        <v>48</v>
      </c>
    </row>
    <row r="13" spans="1:12" x14ac:dyDescent="0.25">
      <c r="A13" s="1" t="s">
        <v>24</v>
      </c>
      <c r="B13" s="1" t="str">
        <f>VLOOKUP(A13,[2]LISTADHERENT!A$5:H$49,2)</f>
        <v>KOUAMOU MOISE</v>
      </c>
      <c r="C13" s="8">
        <f t="shared" si="0"/>
        <v>100000</v>
      </c>
      <c r="D13" s="8">
        <f t="shared" si="1"/>
        <v>0</v>
      </c>
      <c r="E13" s="7" t="s">
        <v>19</v>
      </c>
      <c r="F13" s="8">
        <v>79500</v>
      </c>
      <c r="G13" s="8">
        <v>5000</v>
      </c>
      <c r="H13" s="8">
        <f>[1]TONTJUIN!F13+[1]TONTJUIN!G13</f>
        <v>31500</v>
      </c>
      <c r="I13" t="s">
        <v>50</v>
      </c>
      <c r="J13" s="8">
        <v>110000</v>
      </c>
      <c r="K13" s="11">
        <v>42448</v>
      </c>
    </row>
    <row r="14" spans="1:12" x14ac:dyDescent="0.25">
      <c r="A14" s="1" t="s">
        <v>25</v>
      </c>
      <c r="B14" s="1" t="str">
        <f>VLOOKUP(A14,[2]LISTADHERENT!A$5:H$49,2)</f>
        <v>KOUAMOU VICTOR PEGUY</v>
      </c>
      <c r="C14" s="8">
        <f t="shared" si="0"/>
        <v>100000</v>
      </c>
      <c r="D14" s="8">
        <f t="shared" si="1"/>
        <v>0</v>
      </c>
      <c r="E14" s="7" t="s">
        <v>19</v>
      </c>
      <c r="F14" s="8"/>
      <c r="G14" s="8"/>
      <c r="H14" s="8">
        <f>[1]TONTJUIN!F14+[1]TONTJUIN!G14</f>
        <v>0</v>
      </c>
      <c r="J14" s="8">
        <v>136000</v>
      </c>
      <c r="K14" s="11">
        <v>42659</v>
      </c>
    </row>
    <row r="15" spans="1:12" x14ac:dyDescent="0.25">
      <c r="A15" s="1" t="s">
        <v>26</v>
      </c>
      <c r="B15" s="1" t="str">
        <f>VLOOKUP(A15,[2]LISTADHERENT!A$5:H$49,2)</f>
        <v>KOUATCHO MESSACK</v>
      </c>
      <c r="C15" s="8">
        <f t="shared" si="0"/>
        <v>100000</v>
      </c>
      <c r="D15" s="8">
        <f t="shared" si="1"/>
        <v>0</v>
      </c>
      <c r="E15" s="7" t="s">
        <v>19</v>
      </c>
      <c r="F15" s="8"/>
      <c r="G15" s="8"/>
      <c r="H15" s="8">
        <f>[1]TONTJUIN!F15+[1]TONTJUIN!G15</f>
        <v>0</v>
      </c>
      <c r="J15" s="8">
        <v>136000</v>
      </c>
      <c r="K15" s="11">
        <v>42659</v>
      </c>
    </row>
    <row r="16" spans="1:12" x14ac:dyDescent="0.25">
      <c r="A16" s="1" t="s">
        <v>27</v>
      </c>
      <c r="B16" s="1" t="str">
        <f>VLOOKUP(A16,[2]LISTADHERENT!A$5:H$49,2)</f>
        <v>NANKAM APPOLINAIRE</v>
      </c>
      <c r="C16" s="8">
        <f t="shared" si="0"/>
        <v>100000</v>
      </c>
      <c r="D16" s="8">
        <f t="shared" si="1"/>
        <v>0</v>
      </c>
      <c r="E16" s="7" t="s">
        <v>19</v>
      </c>
      <c r="F16" s="8"/>
      <c r="G16" s="8"/>
      <c r="H16" s="8">
        <f>[1]TONTJUIN!F16+[1]TONTJUIN!G16</f>
        <v>0</v>
      </c>
      <c r="J16" s="8">
        <v>157000</v>
      </c>
      <c r="K16" s="11">
        <v>42632</v>
      </c>
    </row>
    <row r="17" spans="1:12" x14ac:dyDescent="0.25">
      <c r="A17" s="1" t="s">
        <v>28</v>
      </c>
      <c r="B17" s="1" t="str">
        <f>VLOOKUP(A17,[2]LISTADHERENT!A$5:H$49,2)</f>
        <v>NDJOMO ETIENNE</v>
      </c>
      <c r="C17" s="8">
        <f t="shared" si="0"/>
        <v>100000</v>
      </c>
      <c r="D17" s="8">
        <f t="shared" si="1"/>
        <v>0</v>
      </c>
      <c r="E17" s="7" t="s">
        <v>19</v>
      </c>
      <c r="F17" s="8"/>
      <c r="G17" s="8"/>
      <c r="H17" s="8">
        <f>[1]TONTJUIN!F17+[1]TONTJUIN!G17</f>
        <v>0</v>
      </c>
      <c r="J17" s="8">
        <v>101000</v>
      </c>
      <c r="K17" s="11">
        <v>42932</v>
      </c>
    </row>
    <row r="18" spans="1:12" x14ac:dyDescent="0.25">
      <c r="A18" s="1" t="s">
        <v>29</v>
      </c>
      <c r="B18" s="1" t="str">
        <f>VLOOKUP(A18,[2]LISTADHERENT!A$5:H$49,2)</f>
        <v>NGONDIEP CLAUDE</v>
      </c>
      <c r="C18" s="8">
        <f t="shared" si="0"/>
        <v>100000</v>
      </c>
      <c r="D18" s="8">
        <f t="shared" si="1"/>
        <v>0</v>
      </c>
      <c r="E18" s="7" t="s">
        <v>19</v>
      </c>
      <c r="F18" s="8"/>
      <c r="G18" s="8"/>
      <c r="H18" s="8">
        <f>[1]TONTJUIN!F18+[1]TONTJUIN!G18</f>
        <v>0</v>
      </c>
      <c r="J18" s="8">
        <v>125000</v>
      </c>
      <c r="K18" s="11">
        <v>42904</v>
      </c>
      <c r="L18" s="1" t="s">
        <v>49</v>
      </c>
    </row>
    <row r="19" spans="1:12" x14ac:dyDescent="0.25">
      <c r="A19" s="1" t="s">
        <v>30</v>
      </c>
      <c r="B19" s="1" t="str">
        <f>VLOOKUP(A19,[2]LISTADHERENT!A$5:H$49,2)</f>
        <v>NKAMGANG JUSTIN DEJOLIE</v>
      </c>
      <c r="C19" s="8">
        <f t="shared" si="0"/>
        <v>100000</v>
      </c>
      <c r="D19" s="8">
        <f t="shared" si="1"/>
        <v>0</v>
      </c>
      <c r="E19" s="7" t="s">
        <v>39</v>
      </c>
      <c r="F19" s="8">
        <v>100000</v>
      </c>
      <c r="G19" s="8">
        <v>9000</v>
      </c>
      <c r="H19" s="8">
        <f>[1]TONTJUIN!F19+[1]TONTJUIN!G19</f>
        <v>204000</v>
      </c>
      <c r="I19" t="s">
        <v>50</v>
      </c>
      <c r="J19" s="8">
        <v>200000</v>
      </c>
      <c r="K19" s="11">
        <v>42603</v>
      </c>
    </row>
    <row r="20" spans="1:12" x14ac:dyDescent="0.25">
      <c r="A20" s="1" t="s">
        <v>30</v>
      </c>
      <c r="B20" s="1" t="str">
        <f>VLOOKUP(A20,[2]LISTADHERENT!A$5:H$49,2)</f>
        <v>NKAMGANG JUSTIN DEJOLIE</v>
      </c>
      <c r="C20" s="8">
        <f t="shared" si="0"/>
        <v>100000</v>
      </c>
      <c r="D20" s="8">
        <f t="shared" si="1"/>
        <v>0</v>
      </c>
      <c r="E20" s="7" t="s">
        <v>39</v>
      </c>
      <c r="F20" s="8"/>
      <c r="G20" s="8"/>
      <c r="H20" s="8">
        <f>[1]TONTJUIN!F20+[1]TONTJUIN!G20</f>
        <v>0</v>
      </c>
      <c r="J20" s="8">
        <v>127000</v>
      </c>
      <c r="K20" s="11">
        <v>42750</v>
      </c>
    </row>
    <row r="21" spans="1:12" x14ac:dyDescent="0.25">
      <c r="A21" s="1" t="s">
        <v>30</v>
      </c>
      <c r="B21" s="1" t="str">
        <f>VLOOKUP(A21,[2]LISTADHERENT!A$5:H$49,2)</f>
        <v>NKAMGANG JUSTIN DEJOLIE</v>
      </c>
      <c r="C21" s="8">
        <f t="shared" si="0"/>
        <v>100000</v>
      </c>
      <c r="D21" s="8">
        <f t="shared" si="1"/>
        <v>0</v>
      </c>
      <c r="E21" s="7" t="s">
        <v>39</v>
      </c>
      <c r="F21" s="8"/>
      <c r="G21" s="8"/>
      <c r="H21" s="8">
        <f>[1]TONTJUIN!F21+[1]TONTJUIN!G21</f>
        <v>0</v>
      </c>
      <c r="J21" s="8">
        <v>110000</v>
      </c>
      <c r="K21" s="11">
        <v>42841</v>
      </c>
    </row>
    <row r="22" spans="1:12" x14ac:dyDescent="0.25">
      <c r="A22" s="1" t="s">
        <v>31</v>
      </c>
      <c r="B22" s="1" t="str">
        <f>VLOOKUP(A22,[2]LISTADHERENT!A$5:H$49,2)</f>
        <v>NKEPSEU DIEUDONNE</v>
      </c>
      <c r="C22" s="8">
        <f t="shared" si="0"/>
        <v>100000</v>
      </c>
      <c r="D22" s="8">
        <f t="shared" si="1"/>
        <v>0</v>
      </c>
      <c r="E22" s="7" t="s">
        <v>19</v>
      </c>
      <c r="F22" s="8"/>
      <c r="G22" s="8"/>
      <c r="H22" s="8">
        <f>[1]TONTJUIN!F22+[1]TONTJUIN!G22</f>
        <v>0</v>
      </c>
      <c r="J22" s="8">
        <v>127000</v>
      </c>
      <c r="K22" s="11">
        <v>42750</v>
      </c>
    </row>
    <row r="23" spans="1:12" x14ac:dyDescent="0.25">
      <c r="A23" s="1" t="s">
        <v>32</v>
      </c>
      <c r="B23" s="1" t="str">
        <f>VLOOKUP(A23,[2]LISTADHERENT!A$5:H$49,2)</f>
        <v>SEUNOU RICHELOT</v>
      </c>
      <c r="C23" s="8">
        <f t="shared" si="0"/>
        <v>100000</v>
      </c>
      <c r="D23" s="8">
        <f t="shared" si="1"/>
        <v>0</v>
      </c>
      <c r="E23" s="7" t="s">
        <v>39</v>
      </c>
      <c r="F23" s="8"/>
      <c r="G23" s="8"/>
      <c r="H23" s="8">
        <f>[1]TONTJUIN!F23+[1]TONTJUIN!G23</f>
        <v>0</v>
      </c>
      <c r="J23" s="8">
        <v>265000</v>
      </c>
      <c r="K23" s="11">
        <v>42568</v>
      </c>
    </row>
    <row r="24" spans="1:12" x14ac:dyDescent="0.25">
      <c r="A24" s="1" t="s">
        <v>32</v>
      </c>
      <c r="B24" s="1" t="str">
        <f>VLOOKUP(A24,[2]LISTADHERENT!A$5:H$49,2)</f>
        <v>SEUNOU RICHELOT</v>
      </c>
      <c r="C24" s="8">
        <f t="shared" si="0"/>
        <v>100000</v>
      </c>
      <c r="D24" s="8">
        <f t="shared" si="1"/>
        <v>0</v>
      </c>
      <c r="E24" s="7" t="s">
        <v>39</v>
      </c>
      <c r="F24" s="8"/>
      <c r="G24" s="8"/>
      <c r="H24" s="8">
        <f>[1]TONTJUIN!F24+[1]TONTJUIN!G24</f>
        <v>0</v>
      </c>
      <c r="J24" s="8">
        <v>111000</v>
      </c>
      <c r="K24" s="11">
        <v>42813</v>
      </c>
    </row>
    <row r="25" spans="1:12" x14ac:dyDescent="0.25">
      <c r="A25" s="1" t="s">
        <v>33</v>
      </c>
      <c r="B25" s="1" t="str">
        <f>VLOOKUP(A25,[2]LISTADHERENT!A$5:H$49,2)</f>
        <v>SIME FONGANG ERIC</v>
      </c>
      <c r="C25" s="8">
        <f t="shared" si="0"/>
        <v>100000</v>
      </c>
      <c r="D25" s="8">
        <f t="shared" si="1"/>
        <v>0</v>
      </c>
      <c r="E25" s="7" t="s">
        <v>39</v>
      </c>
      <c r="F25" s="8"/>
      <c r="G25" s="8"/>
      <c r="H25" s="8">
        <f>[1]TONTJUIN!F25+[1]TONTJUIN!G25</f>
        <v>0</v>
      </c>
      <c r="J25" s="8">
        <v>100000</v>
      </c>
      <c r="K25" s="11">
        <v>42876</v>
      </c>
      <c r="L25" t="s">
        <v>46</v>
      </c>
    </row>
    <row r="26" spans="1:12" x14ac:dyDescent="0.25">
      <c r="A26" s="1" t="s">
        <v>34</v>
      </c>
      <c r="B26" s="1" t="str">
        <f>VLOOKUP(A26,[2]LISTADHERENT!A$5:H$49,2)</f>
        <v>SIME MATHIEU</v>
      </c>
      <c r="C26" s="8">
        <f t="shared" si="0"/>
        <v>100000</v>
      </c>
      <c r="D26" s="8">
        <f t="shared" si="1"/>
        <v>0</v>
      </c>
      <c r="E26" s="7" t="s">
        <v>19</v>
      </c>
      <c r="F26" s="8"/>
      <c r="G26" s="8"/>
      <c r="H26" s="8">
        <f>[1]TONTJUIN!F26+[1]TONTJUIN!G26</f>
        <v>0</v>
      </c>
      <c r="J26" s="8">
        <v>147000</v>
      </c>
      <c r="K26" s="11">
        <v>42632</v>
      </c>
    </row>
    <row r="27" spans="1:12" x14ac:dyDescent="0.25">
      <c r="A27" s="1" t="s">
        <v>34</v>
      </c>
      <c r="B27" s="1" t="str">
        <f>VLOOKUP(A27,[2]LISTADHERENT!A$5:H$49,2)</f>
        <v>SIME MATHIEU</v>
      </c>
      <c r="C27" s="8">
        <f t="shared" si="0"/>
        <v>100000</v>
      </c>
      <c r="D27" s="8">
        <f t="shared" si="1"/>
        <v>0</v>
      </c>
      <c r="E27" s="7" t="s">
        <v>19</v>
      </c>
      <c r="F27" s="8"/>
      <c r="G27" s="8"/>
      <c r="H27" s="8">
        <f>[1]TONTJUIN!F27+[1]TONTJUIN!G27</f>
        <v>0</v>
      </c>
      <c r="J27" s="8">
        <v>155000</v>
      </c>
      <c r="K27" s="11">
        <v>42785</v>
      </c>
      <c r="L27" t="s">
        <v>42</v>
      </c>
    </row>
    <row r="28" spans="1:12" x14ac:dyDescent="0.25">
      <c r="A28" s="1" t="s">
        <v>35</v>
      </c>
      <c r="B28" s="1" t="str">
        <f>VLOOKUP(A28,[2]LISTADHERENT!A$5:H$49,2)</f>
        <v>TCHOUAMOU MATHIEU</v>
      </c>
      <c r="C28" s="8">
        <f t="shared" si="0"/>
        <v>100000</v>
      </c>
      <c r="D28" s="8">
        <f t="shared" si="1"/>
        <v>0</v>
      </c>
      <c r="E28" s="7" t="s">
        <v>19</v>
      </c>
      <c r="F28" s="8"/>
      <c r="G28" s="8"/>
      <c r="H28" s="8">
        <f>[1]TONTJUIN!F28+[1]TONTJUIN!G28</f>
        <v>0</v>
      </c>
      <c r="J28" s="8">
        <v>100000</v>
      </c>
      <c r="K28" s="11">
        <v>42876</v>
      </c>
      <c r="L28" t="s">
        <v>45</v>
      </c>
    </row>
    <row r="29" spans="1:12" x14ac:dyDescent="0.25">
      <c r="A29" s="1" t="s">
        <v>36</v>
      </c>
      <c r="B29" s="1" t="str">
        <f>VLOOKUP(A29,[2]LISTADHERENT!A$5:H$49,2)</f>
        <v>TIEYAM ERNEST</v>
      </c>
      <c r="C29" s="8">
        <f t="shared" si="0"/>
        <v>100000</v>
      </c>
      <c r="D29" s="8">
        <f t="shared" si="1"/>
        <v>0</v>
      </c>
      <c r="E29" s="7" t="s">
        <v>39</v>
      </c>
      <c r="F29" s="8">
        <v>100000</v>
      </c>
      <c r="G29" s="8">
        <v>10000</v>
      </c>
      <c r="H29" s="8">
        <f>[1]TONTJUIN!F29+[1]TONTJUIN!G29</f>
        <v>207000</v>
      </c>
      <c r="I29" t="s">
        <v>50</v>
      </c>
      <c r="J29" s="8">
        <v>270000</v>
      </c>
      <c r="K29" s="11">
        <v>42568</v>
      </c>
    </row>
    <row r="30" spans="1:12" x14ac:dyDescent="0.25">
      <c r="A30" s="1" t="s">
        <v>36</v>
      </c>
      <c r="B30" s="1" t="str">
        <f>VLOOKUP(A30,[2]LISTADHERENT!A$5:H$49,2)</f>
        <v>TIEYAM ERNEST</v>
      </c>
      <c r="C30" s="8">
        <f t="shared" si="0"/>
        <v>100000</v>
      </c>
      <c r="D30" s="8">
        <f t="shared" si="1"/>
        <v>0</v>
      </c>
      <c r="E30" s="7" t="s">
        <v>39</v>
      </c>
      <c r="F30" s="8"/>
      <c r="G30" s="8"/>
      <c r="H30" s="8">
        <f>[1]TONTJUIN!F30+[1]TONTJUIN!G30</f>
        <v>0</v>
      </c>
      <c r="J30" s="8">
        <v>170000</v>
      </c>
      <c r="K30" s="11">
        <v>42785</v>
      </c>
      <c r="L30" t="s">
        <v>41</v>
      </c>
    </row>
    <row r="31" spans="1:12" x14ac:dyDescent="0.25">
      <c r="A31" s="1" t="s">
        <v>37</v>
      </c>
      <c r="B31" s="1" t="str">
        <f>VLOOKUP(A31,[2]LISTADHERENT!A$5:H$49,2)</f>
        <v>YOUMBI EMMANUEL</v>
      </c>
      <c r="C31" s="8">
        <f t="shared" si="0"/>
        <v>100000</v>
      </c>
      <c r="D31" s="8">
        <f t="shared" si="1"/>
        <v>0</v>
      </c>
      <c r="E31" s="7" t="s">
        <v>19</v>
      </c>
      <c r="F31" s="8"/>
      <c r="G31" s="8"/>
      <c r="H31" s="8">
        <f>[1]TONTJUIN!F31+[1]TONTJUIN!G31</f>
        <v>0</v>
      </c>
      <c r="J31" s="8">
        <v>100000</v>
      </c>
      <c r="K31" s="11">
        <v>42932</v>
      </c>
    </row>
    <row r="33" spans="1:9" ht="18" x14ac:dyDescent="0.25">
      <c r="A33" s="9" t="s">
        <v>38</v>
      </c>
      <c r="B33" s="9"/>
      <c r="C33" s="10">
        <f>SUM(C6:C32)</f>
        <v>2600000</v>
      </c>
      <c r="D33" s="10">
        <f>SUM(D6:D32)</f>
        <v>0</v>
      </c>
      <c r="E33" s="10"/>
      <c r="F33" s="10">
        <f>SUM(F6:F32)</f>
        <v>279500</v>
      </c>
      <c r="G33" s="10">
        <f>SUM(G6:G32)</f>
        <v>24000</v>
      </c>
      <c r="H33" s="10">
        <f>SUM(H6:H32)</f>
        <v>442500</v>
      </c>
      <c r="I33" s="10">
        <f>SUM(I6:I32)</f>
        <v>0</v>
      </c>
    </row>
    <row r="34" spans="1:9" x14ac:dyDescent="0.25">
      <c r="C34" s="2" t="s">
        <v>43</v>
      </c>
    </row>
    <row r="36" spans="1:9" ht="18" x14ac:dyDescent="0.25">
      <c r="B36" s="10" t="s">
        <v>39</v>
      </c>
      <c r="C36" s="10">
        <f>SUMIFS(C6:C31,E6:E31,"ESPECES")</f>
        <v>900000</v>
      </c>
      <c r="E36" s="10">
        <v>375000</v>
      </c>
      <c r="F36" s="10">
        <f>C36+E36</f>
        <v>1275000</v>
      </c>
      <c r="G36" s="10"/>
    </row>
    <row r="37" spans="1:9" ht="18" x14ac:dyDescent="0.25">
      <c r="B37" s="10" t="s">
        <v>19</v>
      </c>
      <c r="C37" s="10">
        <f>SUMIFS(C6:C31,E6:E31,"BANQUE")</f>
        <v>1700000</v>
      </c>
      <c r="E37" s="10">
        <v>205000</v>
      </c>
      <c r="F37" s="10">
        <f>C37+E37</f>
        <v>1905000</v>
      </c>
      <c r="G37" s="10"/>
    </row>
    <row r="38" spans="1:9" ht="18" x14ac:dyDescent="0.25">
      <c r="B38" s="10" t="s">
        <v>12</v>
      </c>
      <c r="C38" s="10">
        <f>H33</f>
        <v>442500</v>
      </c>
    </row>
  </sheetData>
  <autoFilter ref="A5:L31"/>
  <mergeCells count="1">
    <mergeCell ref="C4:H4"/>
  </mergeCells>
  <dataValidations disablePrompts="1"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tabSelected="1" workbookViewId="0">
      <pane xSplit="2" ySplit="5" topLeftCell="E25" activePane="bottomRight" state="frozen"/>
      <selection activeCell="I3" sqref="I3"/>
      <selection pane="topRight" activeCell="I3" sqref="I3"/>
      <selection pane="bottomLeft" activeCell="I3" sqref="I3"/>
      <selection pane="bottomRight" activeCell="B6" sqref="B6:B31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8.140625" bestFit="1" customWidth="1"/>
    <col min="9" max="9" width="21.28515625" bestFit="1" customWidth="1"/>
    <col min="10" max="10" width="19" bestFit="1" customWidth="1"/>
    <col min="13" max="13" width="24.5703125" style="12" bestFit="1" customWidth="1"/>
  </cols>
  <sheetData>
    <row r="1" spans="1:14" x14ac:dyDescent="0.25">
      <c r="A1" s="1" t="s">
        <v>0</v>
      </c>
      <c r="B1" s="1" t="s">
        <v>1</v>
      </c>
    </row>
    <row r="2" spans="1:14" x14ac:dyDescent="0.25">
      <c r="A2" s="1" t="s">
        <v>2</v>
      </c>
      <c r="B2" s="1" t="s">
        <v>3</v>
      </c>
    </row>
    <row r="3" spans="1:14" x14ac:dyDescent="0.25">
      <c r="A3" s="1" t="s">
        <v>4</v>
      </c>
      <c r="B3" s="4">
        <v>100000</v>
      </c>
    </row>
    <row r="4" spans="1:14" ht="18" x14ac:dyDescent="0.25">
      <c r="B4" s="5"/>
      <c r="C4" s="18">
        <v>42967</v>
      </c>
      <c r="D4" s="19"/>
      <c r="E4" s="19"/>
      <c r="F4" s="19"/>
      <c r="G4" s="19"/>
      <c r="H4" s="19"/>
      <c r="N4">
        <v>26</v>
      </c>
    </row>
    <row r="5" spans="1:14" ht="29.2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9</v>
      </c>
      <c r="F5" s="4" t="s">
        <v>10</v>
      </c>
      <c r="G5" s="6" t="s">
        <v>11</v>
      </c>
      <c r="H5" s="6" t="s">
        <v>12</v>
      </c>
      <c r="I5" s="6" t="s">
        <v>13</v>
      </c>
      <c r="J5" s="4" t="s">
        <v>14</v>
      </c>
      <c r="K5" s="1" t="s">
        <v>15</v>
      </c>
      <c r="L5" s="6" t="s">
        <v>40</v>
      </c>
      <c r="M5" s="13" t="s">
        <v>51</v>
      </c>
      <c r="N5" s="6" t="s">
        <v>52</v>
      </c>
    </row>
    <row r="6" spans="1:14" x14ac:dyDescent="0.25">
      <c r="A6" s="1" t="s">
        <v>17</v>
      </c>
      <c r="B6" s="1" t="str">
        <f>VLOOKUP(A6,[2]LISTADHERENT!A$5:H$49,2)</f>
        <v>BOUTCHOUANG WILLIAM</v>
      </c>
      <c r="C6" s="8">
        <f t="shared" ref="C6:C31" si="0">IF(E6="ECHEC",0,100000)</f>
        <v>100000</v>
      </c>
      <c r="D6" s="8">
        <f t="shared" ref="D6:D31" si="1">IF(E6="ESPECES",0,0)</f>
        <v>0</v>
      </c>
      <c r="E6" s="7" t="s">
        <v>39</v>
      </c>
      <c r="F6" s="8"/>
      <c r="G6" s="8"/>
      <c r="H6" s="8">
        <f>[1]TONTJUIL!F6+[1]TONTJUIL!G6</f>
        <v>0</v>
      </c>
      <c r="J6" s="8">
        <v>200000</v>
      </c>
      <c r="K6" s="11">
        <v>42694</v>
      </c>
      <c r="M6" s="12">
        <f t="shared" ref="M6:M31" si="2">$C$42/$N$4</f>
        <v>57826.923076923078</v>
      </c>
      <c r="N6">
        <f>M6-57000</f>
        <v>826.92307692307804</v>
      </c>
    </row>
    <row r="7" spans="1:14" x14ac:dyDescent="0.25">
      <c r="A7" s="1" t="s">
        <v>18</v>
      </c>
      <c r="B7" s="1" t="str">
        <f>VLOOKUP(A7,[2]LISTADHERENT!A$5:H$49,2)</f>
        <v>DJOUNKEP SAMUEL</v>
      </c>
      <c r="C7" s="8">
        <f t="shared" si="0"/>
        <v>100000</v>
      </c>
      <c r="D7" s="8">
        <f t="shared" si="1"/>
        <v>0</v>
      </c>
      <c r="E7" s="7" t="s">
        <v>19</v>
      </c>
      <c r="F7" s="8"/>
      <c r="G7" s="8"/>
      <c r="H7" s="8">
        <f>[1]TONTJUIL!F7+[1]TONTJUIL!G7</f>
        <v>0</v>
      </c>
      <c r="J7" s="8">
        <v>100000</v>
      </c>
      <c r="K7" s="11">
        <v>42967</v>
      </c>
      <c r="M7" s="12">
        <f t="shared" si="2"/>
        <v>57826.923076923078</v>
      </c>
      <c r="N7">
        <f t="shared" ref="N7:N31" si="3">M7-57000</f>
        <v>826.92307692307804</v>
      </c>
    </row>
    <row r="8" spans="1:14" x14ac:dyDescent="0.25">
      <c r="A8" s="1" t="s">
        <v>20</v>
      </c>
      <c r="B8" s="1" t="str">
        <f>VLOOKUP(A8,[2]LISTADHERENT!A$5:H$49,2)</f>
        <v>DJUOMBESSY ANTOINE</v>
      </c>
      <c r="C8" s="8">
        <f t="shared" si="0"/>
        <v>100000</v>
      </c>
      <c r="D8" s="8">
        <f t="shared" si="1"/>
        <v>0</v>
      </c>
      <c r="E8" s="7" t="s">
        <v>19</v>
      </c>
      <c r="F8" s="8"/>
      <c r="G8" s="8"/>
      <c r="H8" s="8">
        <f>[1]TONTJUIL!F8+[1]TONTJUIL!G8</f>
        <v>0</v>
      </c>
      <c r="J8" s="8">
        <v>155000</v>
      </c>
      <c r="K8" s="11">
        <v>42723</v>
      </c>
      <c r="M8" s="12">
        <f t="shared" si="2"/>
        <v>57826.923076923078</v>
      </c>
      <c r="N8">
        <f t="shared" si="3"/>
        <v>826.92307692307804</v>
      </c>
    </row>
    <row r="9" spans="1:14" x14ac:dyDescent="0.25">
      <c r="A9" s="1" t="s">
        <v>21</v>
      </c>
      <c r="B9" s="1" t="str">
        <f>VLOOKUP(A9,[2]LISTADHERENT!A$5:H$49,2)</f>
        <v>FOTSO THOMAS</v>
      </c>
      <c r="C9" s="8">
        <f t="shared" si="0"/>
        <v>100000</v>
      </c>
      <c r="D9" s="8">
        <f t="shared" si="1"/>
        <v>0</v>
      </c>
      <c r="E9" s="7" t="s">
        <v>39</v>
      </c>
      <c r="F9" s="8"/>
      <c r="G9" s="8"/>
      <c r="H9" s="8">
        <f>[1]TONTJUIL!F9+[1]TONTJUIL!G9</f>
        <v>0</v>
      </c>
      <c r="J9" s="8">
        <v>191000</v>
      </c>
      <c r="K9" s="11">
        <v>42603</v>
      </c>
      <c r="M9" s="12">
        <f t="shared" si="2"/>
        <v>57826.923076923078</v>
      </c>
      <c r="N9">
        <f t="shared" si="3"/>
        <v>826.92307692307804</v>
      </c>
    </row>
    <row r="10" spans="1:14" x14ac:dyDescent="0.25">
      <c r="A10" s="1" t="s">
        <v>22</v>
      </c>
      <c r="B10" s="1" t="str">
        <f>VLOOKUP(A10,[2]LISTADHERENT!A$5:H$49,2)</f>
        <v>HOTCHO BENJAMIN</v>
      </c>
      <c r="C10" s="8">
        <f t="shared" si="0"/>
        <v>100000</v>
      </c>
      <c r="D10" s="8">
        <f t="shared" si="1"/>
        <v>0</v>
      </c>
      <c r="E10" s="7" t="s">
        <v>19</v>
      </c>
      <c r="F10" s="8"/>
      <c r="G10" s="8"/>
      <c r="H10" s="8">
        <f>[1]TONTJUIL!F10+[1]TONTJUIL!G10</f>
        <v>0</v>
      </c>
      <c r="J10" s="8">
        <v>195000</v>
      </c>
      <c r="K10" s="11">
        <v>42694</v>
      </c>
      <c r="M10" s="12">
        <f t="shared" si="2"/>
        <v>57826.923076923078</v>
      </c>
      <c r="N10">
        <f t="shared" si="3"/>
        <v>826.92307692307804</v>
      </c>
    </row>
    <row r="11" spans="1:14" x14ac:dyDescent="0.25">
      <c r="A11" s="1" t="s">
        <v>22</v>
      </c>
      <c r="B11" s="1" t="str">
        <f>VLOOKUP(A11,[2]LISTADHERENT!A$5:H$49,2)</f>
        <v>HOTCHO BENJAMIN</v>
      </c>
      <c r="C11" s="8">
        <f t="shared" si="0"/>
        <v>100000</v>
      </c>
      <c r="D11" s="8">
        <f t="shared" si="1"/>
        <v>0</v>
      </c>
      <c r="E11" s="7" t="s">
        <v>19</v>
      </c>
      <c r="F11" s="8"/>
      <c r="G11" s="8"/>
      <c r="H11" s="8">
        <f>[1]TONTJUIL!F11+[1]TONTJUIL!G11</f>
        <v>0</v>
      </c>
      <c r="J11" s="8">
        <v>110000</v>
      </c>
      <c r="K11" s="11">
        <v>42476</v>
      </c>
      <c r="M11" s="12">
        <f t="shared" si="2"/>
        <v>57826.923076923078</v>
      </c>
      <c r="N11">
        <f t="shared" si="3"/>
        <v>826.92307692307804</v>
      </c>
    </row>
    <row r="12" spans="1:14" x14ac:dyDescent="0.25">
      <c r="A12" s="1" t="s">
        <v>23</v>
      </c>
      <c r="B12" s="1" t="str">
        <f>VLOOKUP(A12,[2]LISTADHERENT!A$5:H$49,2)</f>
        <v>KEPSEU FRANCIS</v>
      </c>
      <c r="C12" s="8">
        <f t="shared" si="0"/>
        <v>100000</v>
      </c>
      <c r="D12" s="8">
        <f t="shared" si="1"/>
        <v>0</v>
      </c>
      <c r="E12" s="7" t="s">
        <v>19</v>
      </c>
      <c r="F12" s="8"/>
      <c r="G12" s="8"/>
      <c r="H12" s="8">
        <f>[1]TONTJUIL!F12+[1]TONTJUIL!G12</f>
        <v>0</v>
      </c>
      <c r="J12" s="8">
        <v>126000</v>
      </c>
      <c r="K12" s="11">
        <v>42904</v>
      </c>
      <c r="L12" t="s">
        <v>48</v>
      </c>
      <c r="M12" s="12">
        <f t="shared" si="2"/>
        <v>57826.923076923078</v>
      </c>
      <c r="N12">
        <f t="shared" si="3"/>
        <v>826.92307692307804</v>
      </c>
    </row>
    <row r="13" spans="1:14" x14ac:dyDescent="0.25">
      <c r="A13" s="1" t="s">
        <v>24</v>
      </c>
      <c r="B13" s="1" t="str">
        <f>VLOOKUP(A13,[2]LISTADHERENT!A$5:H$49,2)</f>
        <v>KOUAMOU MOISE</v>
      </c>
      <c r="C13" s="8">
        <f t="shared" si="0"/>
        <v>100000</v>
      </c>
      <c r="D13" s="8">
        <f t="shared" si="1"/>
        <v>0</v>
      </c>
      <c r="E13" s="7" t="s">
        <v>19</v>
      </c>
      <c r="F13" s="8"/>
      <c r="G13" s="8"/>
      <c r="H13" s="8">
        <f>[1]TONTJUIL!F13+[1]TONTJUIL!G13</f>
        <v>84500</v>
      </c>
      <c r="I13" t="s">
        <v>44</v>
      </c>
      <c r="J13" s="8">
        <v>110000</v>
      </c>
      <c r="K13" s="11">
        <v>42448</v>
      </c>
      <c r="M13" s="12">
        <f t="shared" si="2"/>
        <v>57826.923076923078</v>
      </c>
      <c r="N13">
        <f t="shared" si="3"/>
        <v>826.92307692307804</v>
      </c>
    </row>
    <row r="14" spans="1:14" x14ac:dyDescent="0.25">
      <c r="A14" s="1" t="s">
        <v>25</v>
      </c>
      <c r="B14" s="1" t="str">
        <f>VLOOKUP(A14,[2]LISTADHERENT!A$5:H$49,2)</f>
        <v>KOUAMOU VICTOR PEGUY</v>
      </c>
      <c r="C14" s="8">
        <f t="shared" si="0"/>
        <v>100000</v>
      </c>
      <c r="D14" s="8">
        <f t="shared" si="1"/>
        <v>0</v>
      </c>
      <c r="E14" s="7" t="s">
        <v>39</v>
      </c>
      <c r="F14" s="8"/>
      <c r="G14" s="8"/>
      <c r="H14" s="8">
        <f>[1]TONTJUIL!F14+[1]TONTJUIL!G14</f>
        <v>0</v>
      </c>
      <c r="J14" s="8">
        <v>136000</v>
      </c>
      <c r="K14" s="11">
        <v>42659</v>
      </c>
      <c r="M14" s="12">
        <f t="shared" si="2"/>
        <v>57826.923076923078</v>
      </c>
      <c r="N14">
        <f t="shared" si="3"/>
        <v>826.92307692307804</v>
      </c>
    </row>
    <row r="15" spans="1:14" x14ac:dyDescent="0.25">
      <c r="A15" s="1" t="s">
        <v>26</v>
      </c>
      <c r="B15" s="1" t="str">
        <f>VLOOKUP(A15,[2]LISTADHERENT!A$5:H$49,2)</f>
        <v>KOUATCHO MESSACK</v>
      </c>
      <c r="C15" s="8">
        <f t="shared" si="0"/>
        <v>100000</v>
      </c>
      <c r="D15" s="8">
        <f t="shared" si="1"/>
        <v>0</v>
      </c>
      <c r="E15" s="7" t="s">
        <v>39</v>
      </c>
      <c r="F15" s="8"/>
      <c r="G15" s="8"/>
      <c r="H15" s="8">
        <f>[1]TONTJUIL!F15+[1]TONTJUIL!G15</f>
        <v>0</v>
      </c>
      <c r="J15" s="8">
        <v>136000</v>
      </c>
      <c r="K15" s="11">
        <v>42659</v>
      </c>
      <c r="M15" s="12">
        <f t="shared" si="2"/>
        <v>57826.923076923078</v>
      </c>
      <c r="N15">
        <f t="shared" si="3"/>
        <v>826.92307692307804</v>
      </c>
    </row>
    <row r="16" spans="1:14" x14ac:dyDescent="0.25">
      <c r="A16" s="1" t="s">
        <v>27</v>
      </c>
      <c r="B16" s="1" t="str">
        <f>VLOOKUP(A16,[2]LISTADHERENT!A$5:H$49,2)</f>
        <v>NANKAM APPOLINAIRE</v>
      </c>
      <c r="C16" s="8">
        <f t="shared" si="0"/>
        <v>100000</v>
      </c>
      <c r="D16" s="8">
        <f t="shared" si="1"/>
        <v>0</v>
      </c>
      <c r="E16" s="7" t="s">
        <v>19</v>
      </c>
      <c r="F16" s="8"/>
      <c r="G16" s="8"/>
      <c r="H16" s="8">
        <f>[1]TONTJUIL!F16+[1]TONTJUIL!G16</f>
        <v>0</v>
      </c>
      <c r="J16" s="8">
        <v>157000</v>
      </c>
      <c r="K16" s="11">
        <v>42632</v>
      </c>
      <c r="M16" s="12">
        <f t="shared" si="2"/>
        <v>57826.923076923078</v>
      </c>
      <c r="N16">
        <f t="shared" si="3"/>
        <v>826.92307692307804</v>
      </c>
    </row>
    <row r="17" spans="1:14" x14ac:dyDescent="0.25">
      <c r="A17" s="1" t="s">
        <v>28</v>
      </c>
      <c r="B17" s="1" t="str">
        <f>VLOOKUP(A17,[2]LISTADHERENT!A$5:H$49,2)</f>
        <v>NDJOMO ETIENNE</v>
      </c>
      <c r="C17" s="8">
        <f t="shared" si="0"/>
        <v>100000</v>
      </c>
      <c r="D17" s="8">
        <f t="shared" si="1"/>
        <v>0</v>
      </c>
      <c r="E17" s="7" t="s">
        <v>19</v>
      </c>
      <c r="F17" s="8"/>
      <c r="G17" s="8"/>
      <c r="H17" s="8">
        <f>[1]TONTJUIL!F17+[1]TONTJUIL!G17</f>
        <v>0</v>
      </c>
      <c r="J17" s="8">
        <v>101000</v>
      </c>
      <c r="K17" s="11">
        <v>42932</v>
      </c>
      <c r="M17" s="12">
        <f t="shared" si="2"/>
        <v>57826.923076923078</v>
      </c>
      <c r="N17">
        <f t="shared" si="3"/>
        <v>826.92307692307804</v>
      </c>
    </row>
    <row r="18" spans="1:14" x14ac:dyDescent="0.25">
      <c r="A18" s="1" t="s">
        <v>29</v>
      </c>
      <c r="B18" s="1" t="str">
        <f>VLOOKUP(A18,[2]LISTADHERENT!A$5:H$49,2)</f>
        <v>NGONDIEP CLAUDE</v>
      </c>
      <c r="C18" s="8">
        <f t="shared" si="0"/>
        <v>100000</v>
      </c>
      <c r="D18" s="8">
        <f t="shared" si="1"/>
        <v>0</v>
      </c>
      <c r="E18" s="7" t="s">
        <v>19</v>
      </c>
      <c r="F18" s="8"/>
      <c r="G18" s="8"/>
      <c r="H18" s="8">
        <f>[1]TONTJUIL!F18+[1]TONTJUIL!G18</f>
        <v>0</v>
      </c>
      <c r="J18" s="8">
        <v>125000</v>
      </c>
      <c r="K18" s="11">
        <v>42904</v>
      </c>
      <c r="L18" t="s">
        <v>49</v>
      </c>
      <c r="M18" s="12">
        <f t="shared" si="2"/>
        <v>57826.923076923078</v>
      </c>
      <c r="N18">
        <f t="shared" si="3"/>
        <v>826.92307692307804</v>
      </c>
    </row>
    <row r="19" spans="1:14" x14ac:dyDescent="0.25">
      <c r="A19" s="1" t="s">
        <v>30</v>
      </c>
      <c r="B19" s="1" t="str">
        <f>VLOOKUP(A19,[2]LISTADHERENT!A$5:H$49,2)</f>
        <v>NKAMGANG JUSTIN DEJOLIE</v>
      </c>
      <c r="C19" s="8">
        <f t="shared" si="0"/>
        <v>100000</v>
      </c>
      <c r="D19" s="8">
        <f t="shared" si="1"/>
        <v>0</v>
      </c>
      <c r="E19" s="7" t="s">
        <v>39</v>
      </c>
      <c r="F19" s="8"/>
      <c r="G19" s="8"/>
      <c r="H19" s="8">
        <f>[1]TONTJUIL!F19+[1]TONTJUIL!G19</f>
        <v>109000</v>
      </c>
      <c r="I19" t="s">
        <v>44</v>
      </c>
      <c r="J19" s="8">
        <v>200000</v>
      </c>
      <c r="K19" s="11">
        <v>42603</v>
      </c>
      <c r="M19" s="12">
        <f t="shared" si="2"/>
        <v>57826.923076923078</v>
      </c>
      <c r="N19">
        <f t="shared" si="3"/>
        <v>826.92307692307804</v>
      </c>
    </row>
    <row r="20" spans="1:14" x14ac:dyDescent="0.25">
      <c r="A20" s="1" t="s">
        <v>30</v>
      </c>
      <c r="B20" s="1" t="str">
        <f>VLOOKUP(A20,[2]LISTADHERENT!A$5:H$49,2)</f>
        <v>NKAMGANG JUSTIN DEJOLIE</v>
      </c>
      <c r="C20" s="8">
        <f t="shared" si="0"/>
        <v>100000</v>
      </c>
      <c r="D20" s="8">
        <f t="shared" si="1"/>
        <v>0</v>
      </c>
      <c r="E20" s="7" t="s">
        <v>39</v>
      </c>
      <c r="F20" s="8"/>
      <c r="G20" s="8"/>
      <c r="H20" s="8">
        <f>[1]TONTJUIL!F20+[1]TONTJUIL!G20</f>
        <v>0</v>
      </c>
      <c r="J20" s="8">
        <v>127000</v>
      </c>
      <c r="K20" s="11">
        <v>42750</v>
      </c>
      <c r="M20" s="12">
        <f t="shared" si="2"/>
        <v>57826.923076923078</v>
      </c>
      <c r="N20">
        <f t="shared" si="3"/>
        <v>826.92307692307804</v>
      </c>
    </row>
    <row r="21" spans="1:14" x14ac:dyDescent="0.25">
      <c r="A21" s="1" t="s">
        <v>30</v>
      </c>
      <c r="B21" s="1" t="str">
        <f>VLOOKUP(A21,[2]LISTADHERENT!A$5:H$49,2)</f>
        <v>NKAMGANG JUSTIN DEJOLIE</v>
      </c>
      <c r="C21" s="8">
        <f t="shared" si="0"/>
        <v>100000</v>
      </c>
      <c r="D21" s="8">
        <f t="shared" si="1"/>
        <v>0</v>
      </c>
      <c r="E21" s="7" t="s">
        <v>39</v>
      </c>
      <c r="F21" s="8"/>
      <c r="G21" s="8"/>
      <c r="H21" s="8">
        <f>[1]TONTJUIL!F21+[1]TONTJUIL!G21</f>
        <v>0</v>
      </c>
      <c r="J21" s="8">
        <v>110000</v>
      </c>
      <c r="K21" s="11">
        <v>42841</v>
      </c>
      <c r="M21" s="12">
        <f t="shared" si="2"/>
        <v>57826.923076923078</v>
      </c>
      <c r="N21">
        <f t="shared" si="3"/>
        <v>826.92307692307804</v>
      </c>
    </row>
    <row r="22" spans="1:14" x14ac:dyDescent="0.25">
      <c r="A22" s="1" t="s">
        <v>31</v>
      </c>
      <c r="B22" s="1" t="str">
        <f>VLOOKUP(A22,[2]LISTADHERENT!A$5:H$49,2)</f>
        <v>NKEPSEU DIEUDONNE</v>
      </c>
      <c r="C22" s="8">
        <f t="shared" si="0"/>
        <v>100000</v>
      </c>
      <c r="D22" s="8">
        <f t="shared" si="1"/>
        <v>0</v>
      </c>
      <c r="E22" s="7" t="s">
        <v>39</v>
      </c>
      <c r="F22" s="8"/>
      <c r="G22" s="8"/>
      <c r="H22" s="8">
        <f>[1]TONTJUIL!F22+[1]TONTJUIL!G22</f>
        <v>0</v>
      </c>
      <c r="J22" s="8">
        <v>127000</v>
      </c>
      <c r="K22" s="11">
        <v>42750</v>
      </c>
      <c r="M22" s="12">
        <f t="shared" si="2"/>
        <v>57826.923076923078</v>
      </c>
      <c r="N22">
        <f t="shared" si="3"/>
        <v>826.92307692307804</v>
      </c>
    </row>
    <row r="23" spans="1:14" x14ac:dyDescent="0.25">
      <c r="A23" s="1" t="s">
        <v>32</v>
      </c>
      <c r="B23" s="1" t="str">
        <f>VLOOKUP(A23,[2]LISTADHERENT!A$5:H$49,2)</f>
        <v>SEUNOU RICHELOT</v>
      </c>
      <c r="C23" s="8">
        <f t="shared" si="0"/>
        <v>100000</v>
      </c>
      <c r="D23" s="8">
        <f t="shared" si="1"/>
        <v>0</v>
      </c>
      <c r="E23" s="7" t="s">
        <v>39</v>
      </c>
      <c r="F23" s="8"/>
      <c r="G23" s="8"/>
      <c r="H23" s="8">
        <f>[1]TONTJUIL!F23+[1]TONTJUIL!G23</f>
        <v>0</v>
      </c>
      <c r="J23" s="8">
        <v>265000</v>
      </c>
      <c r="K23" s="11">
        <v>42568</v>
      </c>
      <c r="M23" s="12">
        <f t="shared" si="2"/>
        <v>57826.923076923078</v>
      </c>
      <c r="N23">
        <f t="shared" si="3"/>
        <v>826.92307692307804</v>
      </c>
    </row>
    <row r="24" spans="1:14" x14ac:dyDescent="0.25">
      <c r="A24" s="1" t="s">
        <v>32</v>
      </c>
      <c r="B24" s="1" t="str">
        <f>VLOOKUP(A24,[2]LISTADHERENT!A$5:H$49,2)</f>
        <v>SEUNOU RICHELOT</v>
      </c>
      <c r="C24" s="8">
        <f t="shared" si="0"/>
        <v>100000</v>
      </c>
      <c r="D24" s="8">
        <f t="shared" si="1"/>
        <v>0</v>
      </c>
      <c r="E24" s="7" t="s">
        <v>39</v>
      </c>
      <c r="F24" s="8"/>
      <c r="G24" s="8"/>
      <c r="H24" s="8">
        <f>[1]TONTJUIL!F24+[1]TONTJUIL!G24</f>
        <v>0</v>
      </c>
      <c r="J24" s="8">
        <v>111000</v>
      </c>
      <c r="K24" s="11">
        <v>42813</v>
      </c>
      <c r="M24" s="12">
        <f t="shared" si="2"/>
        <v>57826.923076923078</v>
      </c>
      <c r="N24">
        <f t="shared" si="3"/>
        <v>826.92307692307804</v>
      </c>
    </row>
    <row r="25" spans="1:14" x14ac:dyDescent="0.25">
      <c r="A25" s="1" t="s">
        <v>33</v>
      </c>
      <c r="B25" s="1" t="str">
        <f>VLOOKUP(A25,[2]LISTADHERENT!A$5:H$49,2)</f>
        <v>SIME FONGANG ERIC</v>
      </c>
      <c r="C25" s="8">
        <f t="shared" si="0"/>
        <v>100000</v>
      </c>
      <c r="D25" s="8">
        <f t="shared" si="1"/>
        <v>0</v>
      </c>
      <c r="E25" s="7" t="s">
        <v>19</v>
      </c>
      <c r="F25" s="8"/>
      <c r="G25" s="8"/>
      <c r="H25" s="8">
        <f>[1]TONTJUIL!F25+[1]TONTJUIL!G25</f>
        <v>0</v>
      </c>
      <c r="J25" s="8">
        <v>100000</v>
      </c>
      <c r="K25" s="11">
        <v>42876</v>
      </c>
      <c r="L25" t="s">
        <v>46</v>
      </c>
      <c r="M25" s="12">
        <f t="shared" si="2"/>
        <v>57826.923076923078</v>
      </c>
      <c r="N25">
        <f t="shared" si="3"/>
        <v>826.92307692307804</v>
      </c>
    </row>
    <row r="26" spans="1:14" x14ac:dyDescent="0.25">
      <c r="A26" s="1" t="s">
        <v>34</v>
      </c>
      <c r="B26" s="1" t="str">
        <f>VLOOKUP(A26,[2]LISTADHERENT!A$5:H$49,2)</f>
        <v>SIME MATHIEU</v>
      </c>
      <c r="C26" s="8">
        <f t="shared" si="0"/>
        <v>100000</v>
      </c>
      <c r="D26" s="8">
        <f t="shared" si="1"/>
        <v>0</v>
      </c>
      <c r="E26" s="7" t="s">
        <v>19</v>
      </c>
      <c r="F26" s="8"/>
      <c r="G26" s="8"/>
      <c r="H26" s="8">
        <f>[1]TONTJUIL!F26+[1]TONTJUIL!G26</f>
        <v>0</v>
      </c>
      <c r="J26" s="8">
        <v>147000</v>
      </c>
      <c r="K26" s="11">
        <v>42632</v>
      </c>
      <c r="M26" s="12">
        <f t="shared" si="2"/>
        <v>57826.923076923078</v>
      </c>
      <c r="N26">
        <f t="shared" si="3"/>
        <v>826.92307692307804</v>
      </c>
    </row>
    <row r="27" spans="1:14" x14ac:dyDescent="0.25">
      <c r="A27" s="1" t="s">
        <v>34</v>
      </c>
      <c r="B27" s="1" t="str">
        <f>VLOOKUP(A27,[2]LISTADHERENT!A$5:H$49,2)</f>
        <v>SIME MATHIEU</v>
      </c>
      <c r="C27" s="8">
        <f t="shared" si="0"/>
        <v>100000</v>
      </c>
      <c r="D27" s="8">
        <f t="shared" si="1"/>
        <v>0</v>
      </c>
      <c r="E27" s="7" t="s">
        <v>19</v>
      </c>
      <c r="F27" s="8"/>
      <c r="G27" s="8"/>
      <c r="H27" s="8">
        <f>[1]TONTJUIL!F27+[1]TONTJUIL!G27</f>
        <v>0</v>
      </c>
      <c r="J27" s="8">
        <v>155000</v>
      </c>
      <c r="K27" s="11">
        <v>42785</v>
      </c>
      <c r="L27" t="s">
        <v>42</v>
      </c>
      <c r="M27" s="12">
        <f t="shared" si="2"/>
        <v>57826.923076923078</v>
      </c>
      <c r="N27">
        <f t="shared" si="3"/>
        <v>826.92307692307804</v>
      </c>
    </row>
    <row r="28" spans="1:14" x14ac:dyDescent="0.25">
      <c r="A28" s="1" t="s">
        <v>35</v>
      </c>
      <c r="B28" s="1" t="str">
        <f>VLOOKUP(A28,[2]LISTADHERENT!A$5:H$49,2)</f>
        <v>TCHOUAMOU MATHIEU</v>
      </c>
      <c r="C28" s="8">
        <f t="shared" si="0"/>
        <v>100000</v>
      </c>
      <c r="D28" s="8">
        <f t="shared" si="1"/>
        <v>0</v>
      </c>
      <c r="E28" s="7" t="s">
        <v>19</v>
      </c>
      <c r="F28" s="8"/>
      <c r="G28" s="8"/>
      <c r="H28" s="8">
        <f>[1]TONTJUIL!F28+[1]TONTJUIL!G28</f>
        <v>0</v>
      </c>
      <c r="J28" s="8">
        <v>100000</v>
      </c>
      <c r="K28" s="11">
        <v>42876</v>
      </c>
      <c r="L28" t="s">
        <v>45</v>
      </c>
      <c r="M28" s="12">
        <f t="shared" si="2"/>
        <v>57826.923076923078</v>
      </c>
      <c r="N28">
        <f t="shared" si="3"/>
        <v>826.92307692307804</v>
      </c>
    </row>
    <row r="29" spans="1:14" x14ac:dyDescent="0.25">
      <c r="A29" s="1" t="s">
        <v>36</v>
      </c>
      <c r="B29" s="1" t="str">
        <f>VLOOKUP(A29,[2]LISTADHERENT!A$5:H$49,2)</f>
        <v>TIEYAM ERNEST</v>
      </c>
      <c r="C29" s="8">
        <f t="shared" si="0"/>
        <v>100000</v>
      </c>
      <c r="D29" s="8">
        <f t="shared" si="1"/>
        <v>0</v>
      </c>
      <c r="E29" s="7" t="s">
        <v>39</v>
      </c>
      <c r="F29" s="8"/>
      <c r="G29" s="8"/>
      <c r="H29" s="8">
        <f>[1]TONTJUIL!F29+[1]TONTJUIL!G29</f>
        <v>110000</v>
      </c>
      <c r="I29" t="s">
        <v>44</v>
      </c>
      <c r="J29" s="8">
        <v>270000</v>
      </c>
      <c r="K29" s="11">
        <v>42568</v>
      </c>
      <c r="M29" s="12">
        <f t="shared" si="2"/>
        <v>57826.923076923078</v>
      </c>
      <c r="N29">
        <f t="shared" si="3"/>
        <v>826.92307692307804</v>
      </c>
    </row>
    <row r="30" spans="1:14" x14ac:dyDescent="0.25">
      <c r="A30" s="1" t="s">
        <v>36</v>
      </c>
      <c r="B30" s="1" t="str">
        <f>VLOOKUP(A30,[2]LISTADHERENT!A$5:H$49,2)</f>
        <v>TIEYAM ERNEST</v>
      </c>
      <c r="C30" s="8">
        <f t="shared" si="0"/>
        <v>100000</v>
      </c>
      <c r="D30" s="8">
        <f t="shared" si="1"/>
        <v>0</v>
      </c>
      <c r="E30" s="7" t="s">
        <v>39</v>
      </c>
      <c r="F30" s="8"/>
      <c r="G30" s="8"/>
      <c r="H30" s="8">
        <f>[1]TONTJUIL!F30+[1]TONTJUIL!G30</f>
        <v>0</v>
      </c>
      <c r="J30" s="8">
        <v>170000</v>
      </c>
      <c r="K30" s="11">
        <v>42785</v>
      </c>
      <c r="L30" t="s">
        <v>41</v>
      </c>
      <c r="M30" s="12">
        <f t="shared" si="2"/>
        <v>57826.923076923078</v>
      </c>
      <c r="N30">
        <f t="shared" si="3"/>
        <v>826.92307692307804</v>
      </c>
    </row>
    <row r="31" spans="1:14" x14ac:dyDescent="0.25">
      <c r="A31" s="1" t="s">
        <v>37</v>
      </c>
      <c r="B31" s="1" t="str">
        <f>VLOOKUP(A31,[2]LISTADHERENT!A$5:H$49,2)</f>
        <v>YOUMBI EMMANUEL</v>
      </c>
      <c r="C31" s="8">
        <f t="shared" si="0"/>
        <v>100000</v>
      </c>
      <c r="D31" s="8">
        <f t="shared" si="1"/>
        <v>0</v>
      </c>
      <c r="E31" s="7" t="s">
        <v>19</v>
      </c>
      <c r="F31" s="8"/>
      <c r="G31" s="8"/>
      <c r="H31" s="8">
        <f>[1]TONTJUIL!F31+[1]TONTJUIL!G31</f>
        <v>0</v>
      </c>
      <c r="J31" s="8">
        <v>100000</v>
      </c>
      <c r="K31" s="11">
        <v>42932</v>
      </c>
      <c r="M31" s="12">
        <f t="shared" si="2"/>
        <v>57826.923076923078</v>
      </c>
      <c r="N31">
        <f t="shared" si="3"/>
        <v>826.92307692307804</v>
      </c>
    </row>
    <row r="33" spans="1:14" ht="18" x14ac:dyDescent="0.25">
      <c r="A33" s="9" t="s">
        <v>38</v>
      </c>
      <c r="B33" s="9"/>
      <c r="C33" s="10">
        <f>SUM(C6:C32)</f>
        <v>2600000</v>
      </c>
      <c r="D33" s="10">
        <f>SUM(D6:D32)</f>
        <v>0</v>
      </c>
      <c r="E33" s="10"/>
      <c r="F33" s="10">
        <f>SUM(F6:F32)</f>
        <v>0</v>
      </c>
      <c r="G33" s="10">
        <f>SUM(G6:G32)</f>
        <v>0</v>
      </c>
      <c r="H33" s="10">
        <f>SUM(H6:H32)</f>
        <v>303500</v>
      </c>
      <c r="I33" s="10">
        <f>SUM(I6:I32)</f>
        <v>0</v>
      </c>
      <c r="J33" s="10">
        <f>SUM(J6:J32)</f>
        <v>3824000</v>
      </c>
      <c r="M33" s="10">
        <f t="shared" ref="M33:N33" si="4">SUM(M6:M32)</f>
        <v>1503499.9999999998</v>
      </c>
      <c r="N33" s="10">
        <f t="shared" si="4"/>
        <v>21500.000000000029</v>
      </c>
    </row>
    <row r="34" spans="1:14" x14ac:dyDescent="0.25">
      <c r="C34" s="2" t="s">
        <v>43</v>
      </c>
    </row>
    <row r="35" spans="1:14" ht="18" x14ac:dyDescent="0.25">
      <c r="H35" s="10" t="s">
        <v>53</v>
      </c>
    </row>
    <row r="36" spans="1:14" ht="18" x14ac:dyDescent="0.25">
      <c r="H36" s="10"/>
    </row>
    <row r="37" spans="1:14" ht="18" x14ac:dyDescent="0.25">
      <c r="B37" s="10" t="s">
        <v>39</v>
      </c>
      <c r="C37" s="10">
        <f>SUMIFS(C6:C31,E6:E31,"ESPECES")</f>
        <v>1200000</v>
      </c>
      <c r="E37" s="10"/>
      <c r="F37" s="10">
        <f>C37+E37</f>
        <v>1200000</v>
      </c>
      <c r="G37" s="10"/>
      <c r="H37" s="10">
        <f>1500000-J7</f>
        <v>1400000</v>
      </c>
    </row>
    <row r="38" spans="1:14" ht="18" x14ac:dyDescent="0.25">
      <c r="B38" s="10" t="s">
        <v>19</v>
      </c>
      <c r="C38" s="10">
        <f>SUMIFS(C6:C31,E6:E31,"BANQUE")</f>
        <v>1400000</v>
      </c>
      <c r="E38" s="10"/>
      <c r="F38" s="10">
        <f>C38+E38</f>
        <v>1400000</v>
      </c>
      <c r="G38" s="10"/>
    </row>
    <row r="39" spans="1:14" ht="18" x14ac:dyDescent="0.25">
      <c r="B39" s="10" t="s">
        <v>12</v>
      </c>
      <c r="C39" s="10">
        <f>SUMIFS(H6:H31,I6:I31,"OK")</f>
        <v>303500</v>
      </c>
    </row>
    <row r="40" spans="1:14" ht="18" x14ac:dyDescent="0.25">
      <c r="B40" s="10" t="s">
        <v>54</v>
      </c>
      <c r="C40" s="10">
        <f>F33</f>
        <v>0</v>
      </c>
    </row>
    <row r="42" spans="1:14" x14ac:dyDescent="0.25">
      <c r="C42" s="2">
        <f>SUM(C37:C39)-1400000</f>
        <v>1503500</v>
      </c>
    </row>
  </sheetData>
  <autoFilter ref="A5:L31"/>
  <mergeCells count="1">
    <mergeCell ref="C4:H4"/>
  </mergeCells>
  <dataValidations count="1">
    <dataValidation type="list" allowBlank="1" showInputMessage="1" showErrorMessage="1" sqref="E6:E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"/>
  <sheetViews>
    <sheetView workbookViewId="0">
      <pane xSplit="2" ySplit="5" topLeftCell="C6" activePane="bottomRight" state="frozen"/>
      <selection activeCell="I3" sqref="I3"/>
      <selection pane="topRight" activeCell="I3" sqref="I3"/>
      <selection pane="bottomLeft" activeCell="I3" sqref="I3"/>
      <selection pane="bottomRight" activeCell="H44" sqref="H44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5" style="2" bestFit="1" customWidth="1"/>
    <col min="4" max="4" width="12.5703125" bestFit="1" customWidth="1"/>
    <col min="5" max="5" width="17.5703125" style="3" bestFit="1" customWidth="1"/>
    <col min="6" max="6" width="18.28515625" customWidth="1"/>
    <col min="7" max="7" width="16.7109375" customWidth="1"/>
    <col min="8" max="8" width="17.5703125" style="3" bestFit="1" customWidth="1"/>
    <col min="9" max="9" width="18.140625" bestFit="1" customWidth="1"/>
    <col min="10" max="10" width="17.5703125" style="3" bestFit="1" customWidth="1"/>
    <col min="11" max="12" width="17.5703125" style="3" customWidth="1"/>
    <col min="13" max="14" width="19" bestFit="1" customWidth="1"/>
  </cols>
  <sheetData>
    <row r="1" spans="1:16" x14ac:dyDescent="0.25">
      <c r="A1" s="1" t="s">
        <v>0</v>
      </c>
      <c r="B1" s="1" t="s">
        <v>1</v>
      </c>
    </row>
    <row r="2" spans="1:16" x14ac:dyDescent="0.25">
      <c r="A2" s="1" t="s">
        <v>2</v>
      </c>
      <c r="B2" s="1" t="s">
        <v>3</v>
      </c>
    </row>
    <row r="3" spans="1:16" x14ac:dyDescent="0.25">
      <c r="A3" s="1" t="s">
        <v>4</v>
      </c>
      <c r="B3" s="4">
        <v>100000</v>
      </c>
    </row>
    <row r="4" spans="1:16" ht="18" x14ac:dyDescent="0.25">
      <c r="B4" s="5"/>
      <c r="C4" s="18">
        <v>42995</v>
      </c>
      <c r="D4" s="19"/>
      <c r="E4" s="19"/>
      <c r="F4" s="19"/>
      <c r="G4" s="19"/>
      <c r="H4" s="19"/>
      <c r="I4" s="19"/>
      <c r="J4" s="14"/>
      <c r="K4" s="15"/>
      <c r="L4" s="15"/>
    </row>
    <row r="5" spans="1:16" ht="57.75" x14ac:dyDescent="0.25">
      <c r="A5" s="1" t="s">
        <v>5</v>
      </c>
      <c r="B5" s="1" t="s">
        <v>6</v>
      </c>
      <c r="C5" s="6" t="s">
        <v>7</v>
      </c>
      <c r="D5" s="1" t="s">
        <v>8</v>
      </c>
      <c r="E5" s="7" t="s">
        <v>58</v>
      </c>
      <c r="F5" s="4" t="s">
        <v>64</v>
      </c>
      <c r="G5" s="6" t="s">
        <v>56</v>
      </c>
      <c r="H5" s="7" t="s">
        <v>65</v>
      </c>
      <c r="I5" s="6" t="s">
        <v>12</v>
      </c>
      <c r="J5" s="7" t="s">
        <v>57</v>
      </c>
      <c r="K5" s="6" t="s">
        <v>59</v>
      </c>
      <c r="L5" s="6" t="s">
        <v>61</v>
      </c>
      <c r="M5" s="4" t="s">
        <v>62</v>
      </c>
      <c r="N5" s="6" t="s">
        <v>63</v>
      </c>
      <c r="O5" s="6" t="s">
        <v>66</v>
      </c>
      <c r="P5" s="6" t="s">
        <v>40</v>
      </c>
    </row>
    <row r="6" spans="1:16" x14ac:dyDescent="0.25">
      <c r="A6" s="1" t="s">
        <v>17</v>
      </c>
      <c r="B6" s="1" t="str">
        <f>VLOOKUP(A6,[2]LISTADHERENT!A$5:H$49,2)</f>
        <v>BOUTCHOUANG WILLIAM</v>
      </c>
      <c r="C6" s="8">
        <f t="shared" ref="C6:C31" si="0">IF(E6="ECHEC",0,100000)</f>
        <v>0</v>
      </c>
      <c r="D6" s="8">
        <f t="shared" ref="D6:D31" si="1">IF(E6="ESPECES",0,0)</f>
        <v>0</v>
      </c>
      <c r="E6" s="7" t="s">
        <v>16</v>
      </c>
      <c r="F6" s="8"/>
      <c r="G6" s="8"/>
      <c r="H6" s="7" t="s">
        <v>16</v>
      </c>
      <c r="I6" s="8"/>
      <c r="J6" s="7" t="s">
        <v>16</v>
      </c>
      <c r="K6" s="7" t="s">
        <v>16</v>
      </c>
      <c r="L6" s="8">
        <f>IF(N6=0,0,(#REF!-M6))</f>
        <v>0</v>
      </c>
      <c r="M6" s="8"/>
      <c r="N6" s="8"/>
      <c r="O6" s="11"/>
    </row>
    <row r="7" spans="1:16" x14ac:dyDescent="0.25">
      <c r="A7" s="1" t="s">
        <v>18</v>
      </c>
      <c r="B7" s="1" t="str">
        <f>VLOOKUP(A7,[2]LISTADHERENT!A$5:H$49,2)</f>
        <v>DJOUNKEP SAMUEL</v>
      </c>
      <c r="C7" s="8">
        <f t="shared" si="0"/>
        <v>0</v>
      </c>
      <c r="D7" s="8">
        <f t="shared" si="1"/>
        <v>0</v>
      </c>
      <c r="E7" s="7" t="s">
        <v>16</v>
      </c>
      <c r="F7" s="8"/>
      <c r="G7" s="8"/>
      <c r="H7" s="7" t="s">
        <v>16</v>
      </c>
      <c r="I7" s="8"/>
      <c r="J7" s="7" t="s">
        <v>16</v>
      </c>
      <c r="K7" s="7" t="s">
        <v>16</v>
      </c>
      <c r="L7" s="8">
        <f>IF(N7=0,0,(#REF!-M7))</f>
        <v>0</v>
      </c>
      <c r="M7" s="8"/>
      <c r="N7" s="8"/>
      <c r="O7" s="11"/>
    </row>
    <row r="8" spans="1:16" x14ac:dyDescent="0.25">
      <c r="A8" s="1" t="s">
        <v>20</v>
      </c>
      <c r="B8" s="1" t="str">
        <f>VLOOKUP(A8,[2]LISTADHERENT!A$5:H$49,2)</f>
        <v>DJUOMBESSY ANTOINE</v>
      </c>
      <c r="C8" s="8">
        <f t="shared" si="0"/>
        <v>0</v>
      </c>
      <c r="D8" s="8">
        <f t="shared" si="1"/>
        <v>0</v>
      </c>
      <c r="E8" s="7" t="s">
        <v>16</v>
      </c>
      <c r="F8" s="8"/>
      <c r="G8" s="8"/>
      <c r="H8" s="7" t="s">
        <v>16</v>
      </c>
      <c r="I8" s="8"/>
      <c r="J8" s="7" t="s">
        <v>16</v>
      </c>
      <c r="K8" s="7" t="s">
        <v>16</v>
      </c>
      <c r="L8" s="8">
        <f>IF(N8=0,0,(#REF!-M8))</f>
        <v>0</v>
      </c>
      <c r="M8" s="8"/>
      <c r="N8" s="8"/>
      <c r="O8" s="11"/>
    </row>
    <row r="9" spans="1:16" x14ac:dyDescent="0.25">
      <c r="A9" s="1" t="s">
        <v>21</v>
      </c>
      <c r="B9" s="1" t="str">
        <f>VLOOKUP(A9,[2]LISTADHERENT!A$5:H$49,2)</f>
        <v>FOTSO THOMAS</v>
      </c>
      <c r="C9" s="8">
        <f t="shared" si="0"/>
        <v>0</v>
      </c>
      <c r="D9" s="8">
        <f t="shared" si="1"/>
        <v>0</v>
      </c>
      <c r="E9" s="7" t="s">
        <v>16</v>
      </c>
      <c r="F9" s="8"/>
      <c r="G9" s="8"/>
      <c r="H9" s="7" t="s">
        <v>16</v>
      </c>
      <c r="I9" s="8"/>
      <c r="J9" s="7" t="s">
        <v>16</v>
      </c>
      <c r="K9" s="7" t="s">
        <v>16</v>
      </c>
      <c r="L9" s="8">
        <f>IF(N9=0,0,(#REF!-M9))</f>
        <v>0</v>
      </c>
      <c r="M9" s="8"/>
      <c r="N9" s="8"/>
      <c r="O9" s="11"/>
    </row>
    <row r="10" spans="1:16" x14ac:dyDescent="0.25">
      <c r="A10" s="1" t="s">
        <v>22</v>
      </c>
      <c r="B10" s="1" t="str">
        <f>VLOOKUP(A10,[2]LISTADHERENT!A$5:H$49,2)</f>
        <v>HOTCHO BENJAMIN</v>
      </c>
      <c r="C10" s="8">
        <f t="shared" si="0"/>
        <v>0</v>
      </c>
      <c r="D10" s="8">
        <f t="shared" si="1"/>
        <v>0</v>
      </c>
      <c r="E10" s="7" t="s">
        <v>16</v>
      </c>
      <c r="F10" s="8"/>
      <c r="G10" s="8"/>
      <c r="H10" s="7" t="s">
        <v>16</v>
      </c>
      <c r="I10" s="8"/>
      <c r="J10" s="7" t="s">
        <v>16</v>
      </c>
      <c r="K10" s="7" t="s">
        <v>16</v>
      </c>
      <c r="L10" s="8">
        <f>IF(N10=0,0,(#REF!-M10))</f>
        <v>0</v>
      </c>
      <c r="M10" s="8"/>
      <c r="N10" s="8"/>
      <c r="O10" s="11"/>
    </row>
    <row r="11" spans="1:16" x14ac:dyDescent="0.25">
      <c r="A11" s="1" t="s">
        <v>22</v>
      </c>
      <c r="B11" s="1" t="str">
        <f>VLOOKUP(A11,[2]LISTADHERENT!A$5:H$49,2)</f>
        <v>HOTCHO BENJAMIN</v>
      </c>
      <c r="C11" s="8">
        <f t="shared" si="0"/>
        <v>0</v>
      </c>
      <c r="D11" s="8">
        <f t="shared" si="1"/>
        <v>0</v>
      </c>
      <c r="E11" s="7" t="s">
        <v>16</v>
      </c>
      <c r="F11" s="8"/>
      <c r="G11" s="8"/>
      <c r="H11" s="7" t="s">
        <v>16</v>
      </c>
      <c r="I11" s="8"/>
      <c r="J11" s="7" t="s">
        <v>16</v>
      </c>
      <c r="K11" s="7" t="s">
        <v>16</v>
      </c>
      <c r="L11" s="8">
        <f>IF(N11=0,0,(#REF!-M11))</f>
        <v>0</v>
      </c>
      <c r="M11" s="8"/>
      <c r="N11" s="8"/>
      <c r="O11" s="11"/>
    </row>
    <row r="12" spans="1:16" x14ac:dyDescent="0.25">
      <c r="A12" s="1" t="s">
        <v>23</v>
      </c>
      <c r="B12" s="1" t="str">
        <f>VLOOKUP(A12,[2]LISTADHERENT!A$5:H$49,2)</f>
        <v>KEPSEU FRANCIS</v>
      </c>
      <c r="C12" s="8">
        <f t="shared" si="0"/>
        <v>0</v>
      </c>
      <c r="D12" s="8">
        <f t="shared" si="1"/>
        <v>0</v>
      </c>
      <c r="E12" s="7" t="s">
        <v>16</v>
      </c>
      <c r="F12" s="8"/>
      <c r="G12" s="8"/>
      <c r="H12" s="7" t="s">
        <v>16</v>
      </c>
      <c r="I12" s="8"/>
      <c r="J12" s="7" t="s">
        <v>16</v>
      </c>
      <c r="K12" s="7" t="s">
        <v>16</v>
      </c>
      <c r="L12" s="8">
        <f>IF(N12=0,0,(#REF!-M12))</f>
        <v>0</v>
      </c>
      <c r="M12" s="8"/>
      <c r="N12" s="8"/>
      <c r="O12" s="11"/>
    </row>
    <row r="13" spans="1:16" x14ac:dyDescent="0.25">
      <c r="A13" s="1" t="s">
        <v>24</v>
      </c>
      <c r="B13" s="1" t="str">
        <f>VLOOKUP(A13,[2]LISTADHERENT!A$5:H$49,2)</f>
        <v>KOUAMOU MOISE</v>
      </c>
      <c r="C13" s="8">
        <f t="shared" si="0"/>
        <v>0</v>
      </c>
      <c r="D13" s="8">
        <f t="shared" si="1"/>
        <v>0</v>
      </c>
      <c r="E13" s="7" t="s">
        <v>16</v>
      </c>
      <c r="F13" s="8"/>
      <c r="G13" s="8"/>
      <c r="H13" s="7" t="s">
        <v>16</v>
      </c>
      <c r="I13" s="8"/>
      <c r="J13" s="7" t="s">
        <v>16</v>
      </c>
      <c r="K13" s="7" t="s">
        <v>16</v>
      </c>
      <c r="L13" s="8">
        <f>IF(N13=0,0,(#REF!-M13))</f>
        <v>0</v>
      </c>
      <c r="M13" s="8"/>
      <c r="N13" s="8"/>
      <c r="O13" s="11"/>
    </row>
    <row r="14" spans="1:16" x14ac:dyDescent="0.25">
      <c r="A14" s="1" t="s">
        <v>25</v>
      </c>
      <c r="B14" s="1" t="str">
        <f>VLOOKUP(A14,[2]LISTADHERENT!A$5:H$49,2)</f>
        <v>KOUAMOU VICTOR PEGUY</v>
      </c>
      <c r="C14" s="8">
        <f t="shared" si="0"/>
        <v>0</v>
      </c>
      <c r="D14" s="8">
        <f t="shared" si="1"/>
        <v>0</v>
      </c>
      <c r="E14" s="7" t="s">
        <v>16</v>
      </c>
      <c r="F14" s="8"/>
      <c r="G14" s="8"/>
      <c r="H14" s="7" t="s">
        <v>16</v>
      </c>
      <c r="I14" s="8"/>
      <c r="J14" s="7" t="s">
        <v>16</v>
      </c>
      <c r="K14" s="7" t="s">
        <v>16</v>
      </c>
      <c r="L14" s="8">
        <f>IF(N14=0,0,(#REF!-M14))</f>
        <v>0</v>
      </c>
      <c r="M14" s="8"/>
      <c r="N14" s="8"/>
      <c r="O14" s="11"/>
    </row>
    <row r="15" spans="1:16" x14ac:dyDescent="0.25">
      <c r="A15" s="1" t="s">
        <v>26</v>
      </c>
      <c r="B15" s="1" t="str">
        <f>VLOOKUP(A15,[2]LISTADHERENT!A$5:H$49,2)</f>
        <v>KOUATCHO MESSACK</v>
      </c>
      <c r="C15" s="8">
        <f t="shared" si="0"/>
        <v>0</v>
      </c>
      <c r="D15" s="8">
        <f t="shared" si="1"/>
        <v>0</v>
      </c>
      <c r="E15" s="7" t="s">
        <v>16</v>
      </c>
      <c r="F15" s="8"/>
      <c r="G15" s="8"/>
      <c r="H15" s="7" t="s">
        <v>16</v>
      </c>
      <c r="I15" s="8"/>
      <c r="J15" s="7" t="s">
        <v>16</v>
      </c>
      <c r="K15" s="7" t="s">
        <v>16</v>
      </c>
      <c r="L15" s="8">
        <f>IF(N15=0,0,(#REF!-M15))</f>
        <v>0</v>
      </c>
      <c r="M15" s="8"/>
      <c r="N15" s="8"/>
      <c r="O15" s="11"/>
    </row>
    <row r="16" spans="1:16" x14ac:dyDescent="0.25">
      <c r="A16" s="1" t="s">
        <v>27</v>
      </c>
      <c r="B16" s="1" t="str">
        <f>VLOOKUP(A16,[2]LISTADHERENT!A$5:H$49,2)</f>
        <v>NANKAM APPOLINAIRE</v>
      </c>
      <c r="C16" s="8">
        <f t="shared" si="0"/>
        <v>0</v>
      </c>
      <c r="D16" s="8">
        <f t="shared" si="1"/>
        <v>0</v>
      </c>
      <c r="E16" s="7" t="s">
        <v>16</v>
      </c>
      <c r="F16" s="8"/>
      <c r="G16" s="8"/>
      <c r="H16" s="7" t="s">
        <v>16</v>
      </c>
      <c r="I16" s="8"/>
      <c r="J16" s="7" t="s">
        <v>16</v>
      </c>
      <c r="K16" s="7" t="s">
        <v>16</v>
      </c>
      <c r="L16" s="8">
        <f>IF(N16=0,0,(#REF!-M16))</f>
        <v>0</v>
      </c>
      <c r="M16" s="8"/>
      <c r="N16" s="8"/>
      <c r="O16" s="11"/>
    </row>
    <row r="17" spans="1:15" x14ac:dyDescent="0.25">
      <c r="A17" s="1" t="s">
        <v>28</v>
      </c>
      <c r="B17" s="1" t="str">
        <f>VLOOKUP(A17,[2]LISTADHERENT!A$5:H$49,2)</f>
        <v>NDJOMO ETIENNE</v>
      </c>
      <c r="C17" s="8">
        <f t="shared" si="0"/>
        <v>0</v>
      </c>
      <c r="D17" s="8">
        <f t="shared" si="1"/>
        <v>0</v>
      </c>
      <c r="E17" s="7" t="s">
        <v>16</v>
      </c>
      <c r="F17" s="8"/>
      <c r="G17" s="8"/>
      <c r="H17" s="7" t="s">
        <v>16</v>
      </c>
      <c r="I17" s="8"/>
      <c r="J17" s="7" t="s">
        <v>16</v>
      </c>
      <c r="K17" s="7" t="s">
        <v>16</v>
      </c>
      <c r="L17" s="8">
        <f>IF(N17=0,0,(#REF!-M17))</f>
        <v>0</v>
      </c>
      <c r="M17" s="8"/>
      <c r="N17" s="8"/>
      <c r="O17" s="11"/>
    </row>
    <row r="18" spans="1:15" x14ac:dyDescent="0.25">
      <c r="A18" s="1" t="s">
        <v>29</v>
      </c>
      <c r="B18" s="1" t="str">
        <f>VLOOKUP(A18,[2]LISTADHERENT!A$5:H$49,2)</f>
        <v>NGONDIEP CLAUDE</v>
      </c>
      <c r="C18" s="8">
        <f t="shared" si="0"/>
        <v>0</v>
      </c>
      <c r="D18" s="8">
        <f t="shared" si="1"/>
        <v>0</v>
      </c>
      <c r="E18" s="7" t="s">
        <v>16</v>
      </c>
      <c r="F18" s="8"/>
      <c r="G18" s="8"/>
      <c r="H18" s="7" t="s">
        <v>16</v>
      </c>
      <c r="I18" s="8"/>
      <c r="J18" s="7" t="s">
        <v>16</v>
      </c>
      <c r="K18" s="7" t="s">
        <v>16</v>
      </c>
      <c r="L18" s="8">
        <f>IF(N18=0,0,(#REF!-M18))</f>
        <v>0</v>
      </c>
      <c r="M18" s="8"/>
      <c r="N18" s="8"/>
      <c r="O18" s="11"/>
    </row>
    <row r="19" spans="1:15" x14ac:dyDescent="0.25">
      <c r="A19" s="1" t="s">
        <v>30</v>
      </c>
      <c r="B19" s="1" t="str">
        <f>VLOOKUP(A19,[2]LISTADHERENT!A$5:H$49,2)</f>
        <v>NKAMGANG JUSTIN DEJOLIE</v>
      </c>
      <c r="C19" s="8">
        <f t="shared" si="0"/>
        <v>0</v>
      </c>
      <c r="D19" s="8">
        <f t="shared" si="1"/>
        <v>0</v>
      </c>
      <c r="E19" s="7" t="s">
        <v>16</v>
      </c>
      <c r="F19" s="8"/>
      <c r="G19" s="8"/>
      <c r="H19" s="7" t="s">
        <v>16</v>
      </c>
      <c r="I19" s="8"/>
      <c r="J19" s="7" t="s">
        <v>16</v>
      </c>
      <c r="K19" s="7" t="s">
        <v>16</v>
      </c>
      <c r="L19" s="8">
        <f>IF(N19=0,0,(#REF!-M19))</f>
        <v>0</v>
      </c>
      <c r="M19" s="8"/>
      <c r="N19" s="8"/>
      <c r="O19" s="11"/>
    </row>
    <row r="20" spans="1:15" x14ac:dyDescent="0.25">
      <c r="A20" s="1" t="s">
        <v>30</v>
      </c>
      <c r="B20" s="1" t="str">
        <f>VLOOKUP(A20,[2]LISTADHERENT!A$5:H$49,2)</f>
        <v>NKAMGANG JUSTIN DEJOLIE</v>
      </c>
      <c r="C20" s="8">
        <f t="shared" si="0"/>
        <v>0</v>
      </c>
      <c r="D20" s="8">
        <f t="shared" si="1"/>
        <v>0</v>
      </c>
      <c r="E20" s="7" t="s">
        <v>16</v>
      </c>
      <c r="F20" s="8"/>
      <c r="G20" s="8"/>
      <c r="H20" s="7" t="s">
        <v>16</v>
      </c>
      <c r="I20" s="8"/>
      <c r="J20" s="7" t="s">
        <v>16</v>
      </c>
      <c r="K20" s="7" t="s">
        <v>16</v>
      </c>
      <c r="L20" s="8">
        <f>IF(N20=0,0,(#REF!-M20))</f>
        <v>0</v>
      </c>
      <c r="M20" s="8"/>
      <c r="N20" s="8"/>
      <c r="O20" s="11"/>
    </row>
    <row r="21" spans="1:15" x14ac:dyDescent="0.25">
      <c r="A21" s="1" t="s">
        <v>30</v>
      </c>
      <c r="B21" s="1" t="str">
        <f>VLOOKUP(A21,[2]LISTADHERENT!A$5:H$49,2)</f>
        <v>NKAMGANG JUSTIN DEJOLIE</v>
      </c>
      <c r="C21" s="8">
        <f t="shared" si="0"/>
        <v>0</v>
      </c>
      <c r="D21" s="8">
        <f t="shared" si="1"/>
        <v>0</v>
      </c>
      <c r="E21" s="7" t="s">
        <v>16</v>
      </c>
      <c r="F21" s="8"/>
      <c r="G21" s="8"/>
      <c r="H21" s="7" t="s">
        <v>16</v>
      </c>
      <c r="I21" s="8"/>
      <c r="J21" s="7" t="s">
        <v>16</v>
      </c>
      <c r="K21" s="7" t="s">
        <v>16</v>
      </c>
      <c r="L21" s="8">
        <f>IF(N21=0,0,(#REF!-M21))</f>
        <v>0</v>
      </c>
      <c r="M21" s="8"/>
      <c r="N21" s="8"/>
      <c r="O21" s="11"/>
    </row>
    <row r="22" spans="1:15" x14ac:dyDescent="0.25">
      <c r="A22" s="1" t="s">
        <v>31</v>
      </c>
      <c r="B22" s="1" t="str">
        <f>VLOOKUP(A22,[2]LISTADHERENT!A$5:H$49,2)</f>
        <v>NKEPSEU DIEUDONNE</v>
      </c>
      <c r="C22" s="8">
        <f t="shared" si="0"/>
        <v>0</v>
      </c>
      <c r="D22" s="8">
        <f t="shared" si="1"/>
        <v>0</v>
      </c>
      <c r="E22" s="7" t="s">
        <v>16</v>
      </c>
      <c r="F22" s="8"/>
      <c r="G22" s="8"/>
      <c r="H22" s="7" t="s">
        <v>16</v>
      </c>
      <c r="I22" s="8"/>
      <c r="J22" s="7" t="s">
        <v>16</v>
      </c>
      <c r="K22" s="7" t="s">
        <v>16</v>
      </c>
      <c r="L22" s="8">
        <f>IF(N22=0,0,(#REF!-M22))</f>
        <v>0</v>
      </c>
      <c r="M22" s="8"/>
      <c r="N22" s="8"/>
      <c r="O22" s="11"/>
    </row>
    <row r="23" spans="1:15" x14ac:dyDescent="0.25">
      <c r="A23" s="1" t="s">
        <v>32</v>
      </c>
      <c r="B23" s="1" t="str">
        <f>VLOOKUP(A23,[2]LISTADHERENT!A$5:H$49,2)</f>
        <v>SEUNOU RICHELOT</v>
      </c>
      <c r="C23" s="8">
        <f t="shared" si="0"/>
        <v>0</v>
      </c>
      <c r="D23" s="8">
        <f t="shared" si="1"/>
        <v>0</v>
      </c>
      <c r="E23" s="7" t="s">
        <v>16</v>
      </c>
      <c r="F23" s="8"/>
      <c r="G23" s="8"/>
      <c r="H23" s="7" t="s">
        <v>16</v>
      </c>
      <c r="I23" s="8"/>
      <c r="J23" s="7" t="s">
        <v>16</v>
      </c>
      <c r="K23" s="7" t="s">
        <v>16</v>
      </c>
      <c r="L23" s="8">
        <f>IF(N23=0,0,(#REF!-M23))</f>
        <v>0</v>
      </c>
      <c r="M23" s="8"/>
      <c r="N23" s="8"/>
      <c r="O23" s="11"/>
    </row>
    <row r="24" spans="1:15" x14ac:dyDescent="0.25">
      <c r="A24" s="1" t="s">
        <v>32</v>
      </c>
      <c r="B24" s="1" t="str">
        <f>VLOOKUP(A24,[2]LISTADHERENT!A$5:H$49,2)</f>
        <v>SEUNOU RICHELOT</v>
      </c>
      <c r="C24" s="8">
        <f t="shared" si="0"/>
        <v>0</v>
      </c>
      <c r="D24" s="8">
        <f t="shared" si="1"/>
        <v>0</v>
      </c>
      <c r="E24" s="7" t="s">
        <v>16</v>
      </c>
      <c r="F24" s="8"/>
      <c r="G24" s="8"/>
      <c r="H24" s="7" t="s">
        <v>16</v>
      </c>
      <c r="I24" s="8"/>
      <c r="J24" s="7" t="s">
        <v>16</v>
      </c>
      <c r="K24" s="7" t="s">
        <v>16</v>
      </c>
      <c r="L24" s="8">
        <f>IF(N24=0,0,(#REF!-M24))</f>
        <v>0</v>
      </c>
      <c r="M24" s="8"/>
      <c r="N24" s="8"/>
      <c r="O24" s="11"/>
    </row>
    <row r="25" spans="1:15" x14ac:dyDescent="0.25">
      <c r="A25" s="1" t="s">
        <v>33</v>
      </c>
      <c r="B25" s="1" t="str">
        <f>VLOOKUP(A25,[2]LISTADHERENT!A$5:H$49,2)</f>
        <v>SIME FONGANG ERIC</v>
      </c>
      <c r="C25" s="8">
        <f t="shared" si="0"/>
        <v>0</v>
      </c>
      <c r="D25" s="8">
        <f t="shared" si="1"/>
        <v>0</v>
      </c>
      <c r="E25" s="7" t="s">
        <v>16</v>
      </c>
      <c r="F25" s="8"/>
      <c r="G25" s="8"/>
      <c r="H25" s="7" t="s">
        <v>16</v>
      </c>
      <c r="I25" s="8"/>
      <c r="J25" s="7" t="s">
        <v>16</v>
      </c>
      <c r="K25" s="7" t="s">
        <v>16</v>
      </c>
      <c r="L25" s="8">
        <f>IF(N25=0,0,(#REF!-M25))</f>
        <v>0</v>
      </c>
      <c r="M25" s="8"/>
      <c r="N25" s="8"/>
      <c r="O25" s="11"/>
    </row>
    <row r="26" spans="1:15" x14ac:dyDescent="0.25">
      <c r="A26" s="1" t="s">
        <v>34</v>
      </c>
      <c r="B26" s="1" t="str">
        <f>VLOOKUP(A26,[2]LISTADHERENT!A$5:H$49,2)</f>
        <v>SIME MATHIEU</v>
      </c>
      <c r="C26" s="8">
        <f t="shared" si="0"/>
        <v>0</v>
      </c>
      <c r="D26" s="8">
        <f t="shared" si="1"/>
        <v>0</v>
      </c>
      <c r="E26" s="7" t="s">
        <v>16</v>
      </c>
      <c r="F26" s="8"/>
      <c r="G26" s="8"/>
      <c r="H26" s="7" t="s">
        <v>16</v>
      </c>
      <c r="I26" s="8"/>
      <c r="J26" s="7" t="s">
        <v>16</v>
      </c>
      <c r="K26" s="7" t="s">
        <v>16</v>
      </c>
      <c r="L26" s="8">
        <f>IF(N26=0,0,(#REF!-M26))</f>
        <v>0</v>
      </c>
      <c r="M26" s="8"/>
      <c r="N26" s="8"/>
      <c r="O26" s="11"/>
    </row>
    <row r="27" spans="1:15" x14ac:dyDescent="0.25">
      <c r="A27" s="1" t="s">
        <v>34</v>
      </c>
      <c r="B27" s="1" t="str">
        <f>VLOOKUP(A27,[2]LISTADHERENT!A$5:H$49,2)</f>
        <v>SIME MATHIEU</v>
      </c>
      <c r="C27" s="8">
        <f t="shared" si="0"/>
        <v>0</v>
      </c>
      <c r="D27" s="8">
        <f t="shared" si="1"/>
        <v>0</v>
      </c>
      <c r="E27" s="7" t="s">
        <v>16</v>
      </c>
      <c r="F27" s="8"/>
      <c r="G27" s="8"/>
      <c r="H27" s="7" t="s">
        <v>16</v>
      </c>
      <c r="I27" s="8"/>
      <c r="J27" s="7" t="s">
        <v>16</v>
      </c>
      <c r="K27" s="7" t="s">
        <v>16</v>
      </c>
      <c r="L27" s="8">
        <f>IF(N27=0,0,(#REF!-M27))</f>
        <v>0</v>
      </c>
      <c r="M27" s="8"/>
      <c r="N27" s="8"/>
      <c r="O27" s="11"/>
    </row>
    <row r="28" spans="1:15" x14ac:dyDescent="0.25">
      <c r="A28" s="1" t="s">
        <v>35</v>
      </c>
      <c r="B28" s="1" t="str">
        <f>VLOOKUP(A28,[2]LISTADHERENT!A$5:H$49,2)</f>
        <v>TCHOUAMOU MATHIEU</v>
      </c>
      <c r="C28" s="8">
        <f t="shared" si="0"/>
        <v>0</v>
      </c>
      <c r="D28" s="8">
        <f t="shared" si="1"/>
        <v>0</v>
      </c>
      <c r="E28" s="7" t="s">
        <v>16</v>
      </c>
      <c r="F28" s="8"/>
      <c r="G28" s="8"/>
      <c r="H28" s="7" t="s">
        <v>16</v>
      </c>
      <c r="I28" s="8"/>
      <c r="J28" s="7" t="s">
        <v>16</v>
      </c>
      <c r="K28" s="7" t="s">
        <v>16</v>
      </c>
      <c r="L28" s="8">
        <f>IF(N28=0,0,(#REF!-M28))</f>
        <v>0</v>
      </c>
      <c r="M28" s="8"/>
      <c r="N28" s="8"/>
      <c r="O28" s="11"/>
    </row>
    <row r="29" spans="1:15" x14ac:dyDescent="0.25">
      <c r="A29" s="1" t="s">
        <v>36</v>
      </c>
      <c r="B29" s="1" t="str">
        <f>VLOOKUP(A29,[2]LISTADHERENT!A$5:H$49,2)</f>
        <v>TIEYAM ERNEST</v>
      </c>
      <c r="C29" s="8">
        <f t="shared" si="0"/>
        <v>0</v>
      </c>
      <c r="D29" s="8">
        <f t="shared" si="1"/>
        <v>0</v>
      </c>
      <c r="E29" s="7" t="s">
        <v>16</v>
      </c>
      <c r="F29" s="8"/>
      <c r="G29" s="8"/>
      <c r="H29" s="7" t="s">
        <v>16</v>
      </c>
      <c r="I29" s="8"/>
      <c r="J29" s="7" t="s">
        <v>16</v>
      </c>
      <c r="K29" s="7" t="s">
        <v>16</v>
      </c>
      <c r="L29" s="8">
        <f>IF(N29=0,0,(#REF!-M29))</f>
        <v>0</v>
      </c>
      <c r="M29" s="8"/>
      <c r="N29" s="8"/>
      <c r="O29" s="11"/>
    </row>
    <row r="30" spans="1:15" x14ac:dyDescent="0.25">
      <c r="A30" s="1" t="s">
        <v>36</v>
      </c>
      <c r="B30" s="1" t="str">
        <f>VLOOKUP(A30,[2]LISTADHERENT!A$5:H$49,2)</f>
        <v>TIEYAM ERNEST</v>
      </c>
      <c r="C30" s="8">
        <f t="shared" si="0"/>
        <v>0</v>
      </c>
      <c r="D30" s="8">
        <f t="shared" si="1"/>
        <v>0</v>
      </c>
      <c r="E30" s="7" t="s">
        <v>16</v>
      </c>
      <c r="F30" s="8"/>
      <c r="G30" s="8"/>
      <c r="H30" s="7" t="s">
        <v>16</v>
      </c>
      <c r="I30" s="8"/>
      <c r="J30" s="7" t="s">
        <v>16</v>
      </c>
      <c r="K30" s="7" t="s">
        <v>16</v>
      </c>
      <c r="L30" s="8">
        <f>IF(N30=0,0,(#REF!-M30))</f>
        <v>0</v>
      </c>
      <c r="M30" s="8"/>
      <c r="N30" s="8"/>
      <c r="O30" s="11"/>
    </row>
    <row r="31" spans="1:15" x14ac:dyDescent="0.25">
      <c r="A31" s="1" t="s">
        <v>37</v>
      </c>
      <c r="B31" s="1" t="str">
        <f>VLOOKUP(A31,[2]LISTADHERENT!A$5:H$49,2)</f>
        <v>YOUMBI EMMANUEL</v>
      </c>
      <c r="C31" s="8">
        <f t="shared" si="0"/>
        <v>0</v>
      </c>
      <c r="D31" s="8">
        <f t="shared" si="1"/>
        <v>0</v>
      </c>
      <c r="E31" s="7" t="s">
        <v>16</v>
      </c>
      <c r="F31" s="8"/>
      <c r="G31" s="8"/>
      <c r="H31" s="7" t="s">
        <v>16</v>
      </c>
      <c r="I31" s="8"/>
      <c r="J31" s="7" t="s">
        <v>16</v>
      </c>
      <c r="K31" s="7" t="s">
        <v>16</v>
      </c>
      <c r="L31" s="8">
        <f>IF(N31=0,0,(#REF!-M31))</f>
        <v>0</v>
      </c>
      <c r="M31" s="8"/>
      <c r="N31" s="8"/>
      <c r="O31" s="11"/>
    </row>
    <row r="33" spans="1:14" ht="18" x14ac:dyDescent="0.25">
      <c r="A33" s="9" t="s">
        <v>38</v>
      </c>
      <c r="B33" s="9"/>
      <c r="C33" s="10">
        <f>SUM(C6:C32)</f>
        <v>0</v>
      </c>
      <c r="D33" s="10">
        <f>SUM(D6:D32)</f>
        <v>0</v>
      </c>
      <c r="E33" s="10"/>
      <c r="F33" s="10">
        <f>SUM(F6:F32)</f>
        <v>0</v>
      </c>
      <c r="G33" s="10">
        <f>SUM(G6:G32)</f>
        <v>0</v>
      </c>
      <c r="H33" s="10"/>
      <c r="I33" s="10">
        <f>SUM(I6:I32)</f>
        <v>0</v>
      </c>
      <c r="J33" s="10"/>
      <c r="K33" s="10"/>
      <c r="L33" s="10">
        <f>SUM(L6:L32)</f>
        <v>0</v>
      </c>
      <c r="M33" s="10">
        <f>SUM(M6:M32)</f>
        <v>0</v>
      </c>
      <c r="N33" s="10">
        <f>SUM(N6:N32)</f>
        <v>0</v>
      </c>
    </row>
    <row r="34" spans="1:14" x14ac:dyDescent="0.25">
      <c r="C34" s="2" t="s">
        <v>43</v>
      </c>
    </row>
    <row r="35" spans="1:14" ht="43.5" x14ac:dyDescent="0.25">
      <c r="C35" s="6" t="s">
        <v>55</v>
      </c>
      <c r="D35" s="6" t="s">
        <v>60</v>
      </c>
      <c r="E35" s="6" t="s">
        <v>64</v>
      </c>
      <c r="F35" s="6" t="s">
        <v>67</v>
      </c>
      <c r="G35" s="6" t="s">
        <v>68</v>
      </c>
      <c r="I35" s="10"/>
    </row>
    <row r="36" spans="1:14" ht="18" x14ac:dyDescent="0.25">
      <c r="I36" s="10"/>
    </row>
    <row r="37" spans="1:14" ht="18" x14ac:dyDescent="0.25">
      <c r="B37" s="10" t="s">
        <v>39</v>
      </c>
      <c r="C37" s="10">
        <f>SUMIFS(C6:C31,E6:E31,"ESPECES")</f>
        <v>0</v>
      </c>
      <c r="D37" s="10">
        <f>SUMIFS(I6:I31,J6:J31,"ESPECES")</f>
        <v>0</v>
      </c>
      <c r="E37" s="10">
        <f>SUMIFS(F6:F31,H6:H31,"ESPECES")</f>
        <v>0</v>
      </c>
      <c r="F37" s="10">
        <f>SUMIFS(L6:L31,K6:K31,"ESPECES")</f>
        <v>0</v>
      </c>
      <c r="G37" s="10">
        <f>C37+D37-E37-F37</f>
        <v>0</v>
      </c>
      <c r="J37" s="10"/>
      <c r="K37" s="10"/>
      <c r="L37" s="10"/>
    </row>
    <row r="38" spans="1:14" ht="18" x14ac:dyDescent="0.25">
      <c r="B38" s="10" t="s">
        <v>19</v>
      </c>
      <c r="C38" s="10">
        <f>SUMIFS(C6:C31,E6:E31,"BANQUE")</f>
        <v>0</v>
      </c>
      <c r="D38" s="10">
        <f>SUMIFS(I6:I31,J6:J31,"BANQUE")</f>
        <v>0</v>
      </c>
      <c r="E38" s="10">
        <f>SUMIFS(F6:F31,H6:H31,"BANQUE")</f>
        <v>0</v>
      </c>
      <c r="F38" s="10">
        <f>SUMIFS(L6:L31,K6:K31,"BANQUE")</f>
        <v>0</v>
      </c>
      <c r="G38" s="10">
        <f t="shared" ref="G38:G40" si="2">C38+D38-E38-F38</f>
        <v>0</v>
      </c>
      <c r="J38" s="10"/>
      <c r="K38" s="10"/>
      <c r="L38" s="10"/>
    </row>
    <row r="39" spans="1:14" ht="18" x14ac:dyDescent="0.25">
      <c r="B39" s="10"/>
      <c r="C39" s="10"/>
      <c r="E39"/>
      <c r="F39" s="10"/>
      <c r="G39" s="10"/>
      <c r="J39" s="10"/>
      <c r="K39" s="10"/>
      <c r="L39" s="10"/>
    </row>
    <row r="40" spans="1:14" ht="18" x14ac:dyDescent="0.25">
      <c r="B40" s="10" t="s">
        <v>38</v>
      </c>
      <c r="C40" s="10">
        <f>C37+C38</f>
        <v>0</v>
      </c>
      <c r="D40" s="10">
        <f>E37+E38</f>
        <v>0</v>
      </c>
      <c r="E40" s="10">
        <f>F37+F38</f>
        <v>0</v>
      </c>
      <c r="F40" s="10">
        <f>G37+G38</f>
        <v>0</v>
      </c>
      <c r="G40" s="10">
        <f t="shared" si="2"/>
        <v>0</v>
      </c>
    </row>
    <row r="41" spans="1:14" ht="18" x14ac:dyDescent="0.25">
      <c r="B41" s="10"/>
      <c r="C41" s="10"/>
      <c r="D41" s="10"/>
    </row>
    <row r="42" spans="1:14" ht="18" x14ac:dyDescent="0.25">
      <c r="B42" s="10"/>
      <c r="C42" s="10"/>
      <c r="D42" s="10"/>
    </row>
    <row r="43" spans="1:14" ht="18" x14ac:dyDescent="0.25">
      <c r="B43" s="10" t="s">
        <v>62</v>
      </c>
      <c r="C43" s="10">
        <f>M33</f>
        <v>0</v>
      </c>
    </row>
    <row r="44" spans="1:14" ht="18" x14ac:dyDescent="0.25">
      <c r="B44" s="10" t="s">
        <v>56</v>
      </c>
      <c r="C44" s="10">
        <f>+G33</f>
        <v>0</v>
      </c>
    </row>
    <row r="46" spans="1:14" ht="18" x14ac:dyDescent="0.25">
      <c r="B46" s="6" t="s">
        <v>7</v>
      </c>
      <c r="C46" s="10">
        <v>1300000</v>
      </c>
    </row>
    <row r="47" spans="1:14" ht="29.25" x14ac:dyDescent="0.25">
      <c r="B47" s="16" t="s">
        <v>69</v>
      </c>
      <c r="C47" s="17">
        <f>C33+I33+M33</f>
        <v>0</v>
      </c>
    </row>
  </sheetData>
  <autoFilter ref="A5:P31"/>
  <mergeCells count="1">
    <mergeCell ref="C4:I4"/>
  </mergeCells>
  <dataValidations count="1">
    <dataValidation type="list" allowBlank="1" showInputMessage="1" showErrorMessage="1" sqref="H6:H31 E6:E31 J6:K31">
      <formula1>VALMODEPAID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2</vt:i4>
      </vt:variant>
    </vt:vector>
  </HeadingPairs>
  <TitlesOfParts>
    <vt:vector size="7" baseType="lpstr">
      <vt:lpstr>MODEPAID</vt:lpstr>
      <vt:lpstr>TONTJUIN</vt:lpstr>
      <vt:lpstr>TONTJUIL</vt:lpstr>
      <vt:lpstr>TONTAOUT</vt:lpstr>
      <vt:lpstr>TONTSEPT</vt:lpstr>
      <vt:lpstr>MODEPAID!MODEPAID</vt:lpstr>
      <vt:lpstr>VALMODEPAID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Antoine Djuombessy</cp:lastModifiedBy>
  <dcterms:created xsi:type="dcterms:W3CDTF">2016-12-19T08:36:25Z</dcterms:created>
  <dcterms:modified xsi:type="dcterms:W3CDTF">2017-11-14T15:29:48Z</dcterms:modified>
</cp:coreProperties>
</file>