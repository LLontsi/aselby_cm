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6810" firstSheet="5" activeTab="10"/>
  </bookViews>
  <sheets>
    <sheet name="LISTADHERENT" sheetId="5" r:id="rId1"/>
    <sheet name="MODEPAID" sheetId="3" r:id="rId2"/>
    <sheet name="TONTJANV" sheetId="4" r:id="rId3"/>
    <sheet name="TONTFEV" sheetId="6" r:id="rId4"/>
    <sheet name="TONTMARS" sheetId="7" r:id="rId5"/>
    <sheet name="TONTAVRIL" sheetId="8" r:id="rId6"/>
    <sheet name="TONTMAI" sheetId="9" r:id="rId7"/>
    <sheet name="TONTJUIN" sheetId="10" r:id="rId8"/>
    <sheet name="TONTJUIL" sheetId="11" r:id="rId9"/>
    <sheet name="TONTAOUT" sheetId="12" r:id="rId10"/>
    <sheet name="TONTSEPT" sheetId="13" r:id="rId11"/>
  </sheets>
  <externalReferences>
    <externalReference r:id="rId12"/>
  </externalReferences>
  <definedNames>
    <definedName name="_xlnm._FilterDatabase" localSheetId="0" hidden="1">LISTADHERENT!$A$4:$H$51</definedName>
    <definedName name="_xlnm._FilterDatabase" localSheetId="9" hidden="1">TONTAOUT!$A$5:$L$30</definedName>
    <definedName name="_xlnm._FilterDatabase" localSheetId="5" hidden="1">TONTAVRIL!$A$5:$L$30</definedName>
    <definedName name="_xlnm._FilterDatabase" localSheetId="3" hidden="1">TONTFEV!$A$5:$J$17</definedName>
    <definedName name="_xlnm._FilterDatabase" localSheetId="2" hidden="1">TONTJANV!$A$5:$J$17</definedName>
    <definedName name="_xlnm._FilterDatabase" localSheetId="8" hidden="1">TONTJUIL!$A$5:$L$30</definedName>
    <definedName name="_xlnm._FilterDatabase" localSheetId="7" hidden="1">TONTJUIN!$A$5:$L$30</definedName>
    <definedName name="_xlnm._FilterDatabase" localSheetId="6" hidden="1">TONTMAI!$A$5:$L$30</definedName>
    <definedName name="_xlnm._FilterDatabase" localSheetId="4" hidden="1">TONTMARS!$A$5:$J$30</definedName>
    <definedName name="_xlnm._FilterDatabase" localSheetId="10" hidden="1">TONTSEPT!$A$5:$P$30</definedName>
    <definedName name="_xlnm.Print_Titles" localSheetId="0">LISTADHERENT!$1:$4</definedName>
    <definedName name="MODEPAID" localSheetId="0">[1]Feuil2!$A$1:$A$3</definedName>
    <definedName name="MODEPAID" localSheetId="1">MODEPAID!$A$1:$A$3</definedName>
    <definedName name="MODEPAID" localSheetId="9">#REF!</definedName>
    <definedName name="MODEPAID" localSheetId="5">#REF!</definedName>
    <definedName name="MODEPAID" localSheetId="3">#REF!</definedName>
    <definedName name="MODEPAID" localSheetId="2">#REF!</definedName>
    <definedName name="MODEPAID" localSheetId="8">#REF!</definedName>
    <definedName name="MODEPAID" localSheetId="7">#REF!</definedName>
    <definedName name="MODEPAID" localSheetId="6">#REF!</definedName>
    <definedName name="MODEPAID" localSheetId="4">#REF!</definedName>
    <definedName name="MODEPAID" localSheetId="10">#REF!</definedName>
    <definedName name="MODEPAID">#REF!</definedName>
    <definedName name="VALMODEPAID">MODEPAID!$A$1:$A$3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13" l="1"/>
  <c r="L7" i="13" l="1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6" i="13"/>
  <c r="M32" i="13" l="1"/>
  <c r="C42" i="13" s="1"/>
  <c r="F37" i="13"/>
  <c r="F36" i="13"/>
  <c r="L32" i="13"/>
  <c r="E37" i="13"/>
  <c r="E36" i="13"/>
  <c r="E39" i="13" l="1"/>
  <c r="F39" i="13"/>
  <c r="D37" i="13" l="1"/>
  <c r="D3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6" i="13"/>
  <c r="N32" i="13"/>
  <c r="G32" i="13"/>
  <c r="C43" i="13" s="1"/>
  <c r="F32" i="13"/>
  <c r="D30" i="13"/>
  <c r="C30" i="13"/>
  <c r="D29" i="13"/>
  <c r="C29" i="13"/>
  <c r="D28" i="13"/>
  <c r="C28" i="13"/>
  <c r="D27" i="13"/>
  <c r="C27" i="13"/>
  <c r="D26" i="13"/>
  <c r="C26" i="13"/>
  <c r="D25" i="13"/>
  <c r="C25" i="13"/>
  <c r="D24" i="13"/>
  <c r="C24" i="13"/>
  <c r="D23" i="13"/>
  <c r="C23" i="13"/>
  <c r="D22" i="13"/>
  <c r="C22" i="13"/>
  <c r="D21" i="13"/>
  <c r="C21" i="13"/>
  <c r="D20" i="13"/>
  <c r="C20" i="13"/>
  <c r="D19" i="13"/>
  <c r="C19" i="13"/>
  <c r="D18" i="13"/>
  <c r="C18" i="13"/>
  <c r="D17" i="13"/>
  <c r="C17" i="13"/>
  <c r="D16" i="13"/>
  <c r="C16" i="13"/>
  <c r="D15" i="13"/>
  <c r="C15" i="13"/>
  <c r="D14" i="13"/>
  <c r="C14" i="13"/>
  <c r="D13" i="13"/>
  <c r="C13" i="13"/>
  <c r="D12" i="13"/>
  <c r="C12" i="13"/>
  <c r="D11" i="13"/>
  <c r="C11" i="13"/>
  <c r="D10" i="13"/>
  <c r="C10" i="13"/>
  <c r="C37" i="13" s="1"/>
  <c r="D9" i="13"/>
  <c r="C9" i="13"/>
  <c r="D8" i="13"/>
  <c r="C8" i="13"/>
  <c r="D7" i="13"/>
  <c r="C7" i="13"/>
  <c r="D6" i="13"/>
  <c r="C6" i="13"/>
  <c r="G37" i="13" l="1"/>
  <c r="D39" i="13"/>
  <c r="C32" i="13"/>
  <c r="D32" i="13"/>
  <c r="I32" i="13"/>
  <c r="C36" i="13"/>
  <c r="C39" i="13" s="1"/>
  <c r="C39" i="12"/>
  <c r="G36" i="13" l="1"/>
  <c r="G39" i="13"/>
  <c r="H36" i="12"/>
  <c r="H8" i="11" l="1"/>
  <c r="C38" i="12" l="1"/>
  <c r="H32" i="12" l="1"/>
  <c r="F38" i="12" s="1"/>
  <c r="H8" i="12"/>
  <c r="H9" i="12"/>
  <c r="H10" i="12"/>
  <c r="H11" i="12"/>
  <c r="H12" i="12"/>
  <c r="H13" i="12"/>
  <c r="H14" i="12"/>
  <c r="H15" i="12"/>
  <c r="H16" i="12"/>
  <c r="H17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6" i="12"/>
  <c r="J32" i="12"/>
  <c r="I32" i="12"/>
  <c r="G32" i="12"/>
  <c r="D30" i="12"/>
  <c r="C30" i="12"/>
  <c r="D29" i="12"/>
  <c r="C29" i="12"/>
  <c r="D28" i="12"/>
  <c r="C28" i="12"/>
  <c r="D27" i="12"/>
  <c r="C27" i="12"/>
  <c r="F32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C36" i="12" l="1"/>
  <c r="F36" i="12" s="1"/>
  <c r="C37" i="12"/>
  <c r="D32" i="12"/>
  <c r="C32" i="12"/>
  <c r="F26" i="11"/>
  <c r="H7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6" i="11"/>
  <c r="F37" i="12" l="1"/>
  <c r="H32" i="11"/>
  <c r="C38" i="11" s="1"/>
  <c r="J32" i="11"/>
  <c r="I32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F32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G32" i="11"/>
  <c r="D9" i="11"/>
  <c r="C9" i="11"/>
  <c r="D8" i="11"/>
  <c r="C8" i="11"/>
  <c r="D7" i="11"/>
  <c r="C7" i="11"/>
  <c r="D6" i="11"/>
  <c r="C6" i="11"/>
  <c r="C36" i="11" l="1"/>
  <c r="C37" i="11"/>
  <c r="D32" i="11"/>
  <c r="C32" i="11"/>
  <c r="F36" i="10"/>
  <c r="F37" i="10"/>
  <c r="G9" i="10"/>
  <c r="F9" i="10"/>
  <c r="G18" i="10"/>
  <c r="F18" i="10"/>
  <c r="G19" i="10"/>
  <c r="F19" i="10"/>
  <c r="G16" i="10"/>
  <c r="F16" i="10"/>
  <c r="G23" i="10"/>
  <c r="F23" i="10"/>
  <c r="G26" i="10"/>
  <c r="F26" i="10"/>
  <c r="H6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9" i="10"/>
  <c r="H7" i="10"/>
  <c r="H7" i="9"/>
  <c r="F37" i="11" l="1"/>
  <c r="F36" i="11"/>
  <c r="H8" i="10"/>
  <c r="J32" i="10"/>
  <c r="I32" i="10"/>
  <c r="F32" i="10"/>
  <c r="D30" i="10"/>
  <c r="C30" i="10"/>
  <c r="D29" i="10"/>
  <c r="C29" i="10"/>
  <c r="D28" i="10"/>
  <c r="C28" i="10"/>
  <c r="D27" i="10"/>
  <c r="C27" i="10"/>
  <c r="G32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C36" i="10" s="1"/>
  <c r="C37" i="10" l="1"/>
  <c r="D32" i="10"/>
  <c r="H32" i="10"/>
  <c r="C38" i="10" s="1"/>
  <c r="C32" i="10"/>
  <c r="D30" i="9" l="1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G26" i="9" l="1"/>
  <c r="F26" i="9"/>
  <c r="H8" i="9" l="1"/>
  <c r="H32" i="9" s="1"/>
  <c r="C38" i="9" s="1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6" i="9"/>
  <c r="J32" i="9"/>
  <c r="I32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G32" i="9"/>
  <c r="C12" i="9"/>
  <c r="C11" i="9"/>
  <c r="C10" i="9"/>
  <c r="C9" i="9"/>
  <c r="C8" i="9"/>
  <c r="F32" i="9"/>
  <c r="C7" i="9"/>
  <c r="C6" i="9"/>
  <c r="C36" i="9" l="1"/>
  <c r="C37" i="9"/>
  <c r="C32" i="9"/>
  <c r="D32" i="9"/>
  <c r="G26" i="8"/>
  <c r="F26" i="8"/>
  <c r="G7" i="8"/>
  <c r="F7" i="8"/>
  <c r="G12" i="8"/>
  <c r="F12" i="8"/>
  <c r="C37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6" i="8"/>
  <c r="H32" i="8"/>
  <c r="C38" i="8" s="1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6" i="8"/>
  <c r="J32" i="8"/>
  <c r="I32" i="8"/>
  <c r="G32" i="8"/>
  <c r="F32" i="8"/>
  <c r="C36" i="8" l="1"/>
  <c r="C32" i="8"/>
  <c r="D32" i="8"/>
  <c r="F12" i="7" l="1"/>
  <c r="H12" i="7"/>
  <c r="C36" i="7"/>
  <c r="J32" i="7" l="1"/>
  <c r="I32" i="7"/>
  <c r="C32" i="7"/>
  <c r="H30" i="7"/>
  <c r="H29" i="7"/>
  <c r="H28" i="7"/>
  <c r="H27" i="7"/>
  <c r="H26" i="7"/>
  <c r="G32" i="7"/>
  <c r="F32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1" i="7"/>
  <c r="H10" i="7"/>
  <c r="H9" i="7"/>
  <c r="H8" i="7"/>
  <c r="H7" i="7"/>
  <c r="H6" i="7"/>
  <c r="H32" i="7" s="1"/>
  <c r="C38" i="7" s="1"/>
  <c r="D32" i="7" l="1"/>
  <c r="G26" i="6"/>
  <c r="F26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7" i="6"/>
  <c r="H28" i="6"/>
  <c r="H29" i="6"/>
  <c r="H30" i="6"/>
  <c r="H6" i="6"/>
  <c r="H7" i="4"/>
  <c r="H8" i="4"/>
  <c r="H9" i="4"/>
  <c r="H10" i="4"/>
  <c r="H11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6" i="4"/>
  <c r="C37" i="6"/>
  <c r="J32" i="6"/>
  <c r="I32" i="6"/>
  <c r="G32" i="6"/>
  <c r="F32" i="6"/>
  <c r="C32" i="6"/>
  <c r="D30" i="6"/>
  <c r="D29" i="6"/>
  <c r="D28" i="6"/>
  <c r="D26" i="6"/>
  <c r="D25" i="6"/>
  <c r="D24" i="6"/>
  <c r="D23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H32" i="6" l="1"/>
  <c r="C38" i="6" s="1"/>
  <c r="D32" i="6"/>
  <c r="J32" i="4"/>
  <c r="I32" i="4" l="1"/>
  <c r="H32" i="4"/>
  <c r="G32" i="4"/>
  <c r="F32" i="4"/>
  <c r="C32" i="4"/>
  <c r="D32" i="4" l="1"/>
</calcChain>
</file>

<file path=xl/sharedStrings.xml><?xml version="1.0" encoding="utf-8"?>
<sst xmlns="http://schemas.openxmlformats.org/spreadsheetml/2006/main" count="1217" uniqueCount="210">
  <si>
    <t>ASSOCIATION</t>
  </si>
  <si>
    <t>ASELBY</t>
  </si>
  <si>
    <t>ANNEE</t>
  </si>
  <si>
    <t>2016/2017</t>
  </si>
  <si>
    <t xml:space="preserve">TONTINE </t>
  </si>
  <si>
    <t>MATRICULE</t>
  </si>
  <si>
    <t>NOM ET PRENOM</t>
  </si>
  <si>
    <t>MONTANT TONTINE</t>
  </si>
  <si>
    <t>PENALITE</t>
  </si>
  <si>
    <t>MODE VERSEMENT</t>
  </si>
  <si>
    <t>PRÊT</t>
  </si>
  <si>
    <t>INTERET PRÊT</t>
  </si>
  <si>
    <t>REMBOURSEMENT</t>
  </si>
  <si>
    <t>STATUT PRÊT</t>
  </si>
  <si>
    <t>INTERET ACHAT</t>
  </si>
  <si>
    <t>DATE ACHAT</t>
  </si>
  <si>
    <t>ECHEC</t>
  </si>
  <si>
    <t>AS201602</t>
  </si>
  <si>
    <t>AS201606</t>
  </si>
  <si>
    <t>BANQUE</t>
  </si>
  <si>
    <t>AS201607</t>
  </si>
  <si>
    <t>AS201609</t>
  </si>
  <si>
    <t>AS201612</t>
  </si>
  <si>
    <t>AS201614</t>
  </si>
  <si>
    <t>AS201617</t>
  </si>
  <si>
    <t>AS201618</t>
  </si>
  <si>
    <t>AS201619</t>
  </si>
  <si>
    <t>AS201621</t>
  </si>
  <si>
    <t>AS201622</t>
  </si>
  <si>
    <t>AS201624</t>
  </si>
  <si>
    <t>AS201628</t>
  </si>
  <si>
    <t>AS201629</t>
  </si>
  <si>
    <t>AS201633</t>
  </si>
  <si>
    <t>AS201635</t>
  </si>
  <si>
    <t>AS201636</t>
  </si>
  <si>
    <t>AS201639</t>
  </si>
  <si>
    <t>AS201642</t>
  </si>
  <si>
    <t>AS201645</t>
  </si>
  <si>
    <t>TOTAL</t>
  </si>
  <si>
    <t>ESPECES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</si>
  <si>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</si>
  <si>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</si>
  <si>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</si>
  <si>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</si>
  <si>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</si>
  <si>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</si>
  <si>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</si>
  <si>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</si>
  <si>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</si>
  <si>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AS201601</t>
  </si>
  <si>
    <t>BAKOP ACHILLE</t>
  </si>
  <si>
    <t>FONCTIONNAIRE DE POLICE</t>
  </si>
  <si>
    <t>NKOLBISSON</t>
  </si>
  <si>
    <t>BOUTCHOUANG WILLIAM</t>
  </si>
  <si>
    <t>OPERATEUR ECONOMIQUE</t>
  </si>
  <si>
    <t>EMANA</t>
  </si>
  <si>
    <t>AS201603</t>
  </si>
  <si>
    <t>CHINGUE FABRICE</t>
  </si>
  <si>
    <t>SANTA BARBARA</t>
  </si>
  <si>
    <t>AS201604</t>
  </si>
  <si>
    <t xml:space="preserve">DJOMO JEAN PAUL </t>
  </si>
  <si>
    <t>RETRAITE</t>
  </si>
  <si>
    <t>RUE MANGUIERS</t>
  </si>
  <si>
    <t>AS201605</t>
  </si>
  <si>
    <t>DJOUKWE GUY</t>
  </si>
  <si>
    <t>PROFESSEUR DES LYCEES TECHNIQUE</t>
  </si>
  <si>
    <t>DJOSSEU JOSUE</t>
  </si>
  <si>
    <t>DJOUNKEP SAMUEL</t>
  </si>
  <si>
    <t>COMPTABLE RETRAITE</t>
  </si>
  <si>
    <t>BIYEM ASSI LYCEE</t>
  </si>
  <si>
    <t>AS201608</t>
  </si>
  <si>
    <t>DJUOMBESSY ANTOINE</t>
  </si>
  <si>
    <t>ANALYSTE CONCEPTEUR SI</t>
  </si>
  <si>
    <t>MESSASSI</t>
  </si>
  <si>
    <t>DONHOU DAVID</t>
  </si>
  <si>
    <t>MAGISTRAT</t>
  </si>
  <si>
    <t>TONGOLO</t>
  </si>
  <si>
    <t>AS201610</t>
  </si>
  <si>
    <t>FOTSO THOMAS</t>
  </si>
  <si>
    <t>CADRE BANQUE</t>
  </si>
  <si>
    <t>OYOMABANG</t>
  </si>
  <si>
    <t>AS201611</t>
  </si>
  <si>
    <t>HENGUE PAUL OMER</t>
  </si>
  <si>
    <t>SOCIOLOGUE</t>
  </si>
  <si>
    <t>HODIEP JULES</t>
  </si>
  <si>
    <t>CADRE CNPS</t>
  </si>
  <si>
    <t>NYOM 2</t>
  </si>
  <si>
    <t>AS201613</t>
  </si>
  <si>
    <t>HOTCHO BENJAMIN</t>
  </si>
  <si>
    <t>COMPTABLE</t>
  </si>
  <si>
    <t>DAMAS</t>
  </si>
  <si>
    <t>KEPHE DAVID</t>
  </si>
  <si>
    <t>AS201615</t>
  </si>
  <si>
    <t>KEPSEU FRANCIS</t>
  </si>
  <si>
    <t>OFFICIER DE POLICE RETRAITE</t>
  </si>
  <si>
    <t>SIMBOCK</t>
  </si>
  <si>
    <t>AS201616</t>
  </si>
  <si>
    <t>KOUAMOU EMMANUEL</t>
  </si>
  <si>
    <t>MONTEE JOUVENCE</t>
  </si>
  <si>
    <t>KOUAMOU MOISE</t>
  </si>
  <si>
    <t>INGENIEUR E-F</t>
  </si>
  <si>
    <t>KOUAMOU VICTOR PEGUY</t>
  </si>
  <si>
    <t>S/OFFICIER SUPERIEUR</t>
  </si>
  <si>
    <t>KOUATCHO MESSACK</t>
  </si>
  <si>
    <t>INSPECTEUR DE TRAVAIL</t>
  </si>
  <si>
    <t>AS201620</t>
  </si>
  <si>
    <t>LOWE JEAN</t>
  </si>
  <si>
    <t>PROFESSEUR DE LYCEE</t>
  </si>
  <si>
    <t>NANKAM APPOLINAIRE</t>
  </si>
  <si>
    <t>ENSEIGNANT</t>
  </si>
  <si>
    <t>NDJOMO ETIENNE</t>
  </si>
  <si>
    <t>AS201623</t>
  </si>
  <si>
    <t>NDOMBOU JEAN CLAUDE</t>
  </si>
  <si>
    <t>ING AGRONOME RETRAITE</t>
  </si>
  <si>
    <t>ETOUG EBE</t>
  </si>
  <si>
    <t>NGONDIEP CLAUDE</t>
  </si>
  <si>
    <t>DAS(DIRECTEUR ADMINISTRATEUR SOCIETE)</t>
  </si>
  <si>
    <t>CITE VERTE</t>
  </si>
  <si>
    <t>AS201625</t>
  </si>
  <si>
    <t>NGONGANG JEAN THEODORE</t>
  </si>
  <si>
    <t>CHEF ENTREPRISE</t>
  </si>
  <si>
    <t>AS201626</t>
  </si>
  <si>
    <t>NGUIEMEGNI MATHIEU BLAISE</t>
  </si>
  <si>
    <t>CADRE CADASTRE</t>
  </si>
  <si>
    <t>MONATELE</t>
  </si>
  <si>
    <t>AS201627</t>
  </si>
  <si>
    <t>NJEPDJIO MBOUKAM DELUXE</t>
  </si>
  <si>
    <t>MENDONG</t>
  </si>
  <si>
    <t>NKAMGANG JUSTIN DEJOLIE</t>
  </si>
  <si>
    <t>DELEGUE COMMERCIAL</t>
  </si>
  <si>
    <t>NKEPSEU DIEUDONNE</t>
  </si>
  <si>
    <t>ESSOS</t>
  </si>
  <si>
    <t>AS201630</t>
  </si>
  <si>
    <t>NKEPSEU HENANG RENE</t>
  </si>
  <si>
    <t>CADRE SONEL RETRAITE</t>
  </si>
  <si>
    <t>AS201631</t>
  </si>
  <si>
    <t>NTEPDIE TUEMAC MZ</t>
  </si>
  <si>
    <t>AS201632</t>
  </si>
  <si>
    <t>NTOMBOU ADOLPHE</t>
  </si>
  <si>
    <t xml:space="preserve">INGENIEUR </t>
  </si>
  <si>
    <t>PATEGO NJOSSU GUSTAVE</t>
  </si>
  <si>
    <t>INGENIEUR T-P</t>
  </si>
  <si>
    <t>EBOGO 1(SOA)</t>
  </si>
  <si>
    <t>AS201634</t>
  </si>
  <si>
    <t>SEUNOU RICHELOT</t>
  </si>
  <si>
    <t>SIME ABEL</t>
  </si>
  <si>
    <t>ELEVEUR</t>
  </si>
  <si>
    <t>SIME FONGANG ERIC</t>
  </si>
  <si>
    <t>AS201637</t>
  </si>
  <si>
    <t>SIME MATHIEU</t>
  </si>
  <si>
    <t>PARC NATIONAL</t>
  </si>
  <si>
    <t>AS201638</t>
  </si>
  <si>
    <t>SIME PIERRE</t>
  </si>
  <si>
    <t>TECHNICIEN DE SANTE RETRAITE</t>
  </si>
  <si>
    <t>TAGNE NANGUEN MARTIN</t>
  </si>
  <si>
    <t>SECRETAIRE D'ADMINISTRATION</t>
  </si>
  <si>
    <t>AS201640</t>
  </si>
  <si>
    <t>TCHOUAMOU JEAN PAUL</t>
  </si>
  <si>
    <t>AS201641</t>
  </si>
  <si>
    <t>TCHOUAMOU MATHIEU</t>
  </si>
  <si>
    <t>OFFICIER SUPERIEUR</t>
  </si>
  <si>
    <t>TCHOUANTE FRANCOIS</t>
  </si>
  <si>
    <t>AS201643</t>
  </si>
  <si>
    <t>TCHOUTOU NANA CLAUDE</t>
  </si>
  <si>
    <t>NKOL FOULOU</t>
  </si>
  <si>
    <t>AS201644</t>
  </si>
  <si>
    <t>TIEYAM ERNEST</t>
  </si>
  <si>
    <t>INGENIEUR ELECTRONICIEN</t>
  </si>
  <si>
    <t>BASTOS</t>
  </si>
  <si>
    <t>TUGMA PIERRE LOTI</t>
  </si>
  <si>
    <t>PROFESSEUR DES LYCEES RETRAITE</t>
  </si>
  <si>
    <t>AS201646</t>
  </si>
  <si>
    <t>YEPMOU JEAN JACQUES</t>
  </si>
  <si>
    <t>ADMINISTRATEUR CIVIL</t>
  </si>
  <si>
    <t>MENDONG (NKOLZIE)</t>
  </si>
  <si>
    <t>AS201647</t>
  </si>
  <si>
    <t>YOUMBI EMMANUEL</t>
  </si>
  <si>
    <t>PROFESSEUR DES UNIVERSITES</t>
  </si>
  <si>
    <t>MENDONG (GUINNESS)</t>
  </si>
  <si>
    <t>AS201648</t>
  </si>
  <si>
    <t>ASSOCIATION DES ELITES BANGOU DE YAOUNDE</t>
  </si>
  <si>
    <t>AVALISTE</t>
  </si>
  <si>
    <t>EN CAISSE</t>
  </si>
  <si>
    <t>OK</t>
  </si>
  <si>
    <t>KOUAMO VICTOR PEGUY</t>
  </si>
  <si>
    <t>NOK</t>
  </si>
  <si>
    <t>OKESPECES</t>
  </si>
  <si>
    <t>OK61500ESPECES61500BANQUE</t>
  </si>
  <si>
    <t>NKAMGANG DEJOLIE</t>
  </si>
  <si>
    <t>KOUAMO PEGUY</t>
  </si>
  <si>
    <t>CHINGUE</t>
  </si>
  <si>
    <t>TYAM ERNEST</t>
  </si>
  <si>
    <t>NKOUACTHO</t>
  </si>
  <si>
    <t>ok</t>
  </si>
  <si>
    <t>ACHAT LOT PRINCIPAL</t>
  </si>
  <si>
    <t>ACHAT PETIT LOT</t>
  </si>
  <si>
    <t>TONTINE</t>
  </si>
  <si>
    <t>INTERET PETIT LOT</t>
  </si>
  <si>
    <t>MODE VERSEMENT TONTINE</t>
  </si>
  <si>
    <t>MODE VERSEMENT REMBOURSEMENT</t>
  </si>
  <si>
    <t>MODE VERSEMENT TONTINE PRINCIPAL</t>
  </si>
  <si>
    <t>INTERET LOT PRINCIPAL</t>
  </si>
  <si>
    <t>MONTANT TONTINE LOT PRINCIPAL</t>
  </si>
  <si>
    <t>VENTE PETIT LOT</t>
  </si>
  <si>
    <t>MODE VERSEMENT VENTE PETIT LOT</t>
  </si>
  <si>
    <t>INTERET LOT PRINCIPAL CUMULE</t>
  </si>
  <si>
    <t>DATE VENTE</t>
  </si>
  <si>
    <t>VENTE LOT PRINCIPAL</t>
  </si>
  <si>
    <t>SOLDE EN CAISSE</t>
  </si>
  <si>
    <t>MONTANT PETIT LOT A VENDRE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</si>
</sst>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b/>
      <sz val="14"/>
      <color theme="1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Britannic Bold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17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" fontId="0" fillId="0" borderId="6" xfId="0" applyNumberFormat="1" applyBorder="1"/>
    <xf numFmtId="0" fontId="0" fillId="0" borderId="7" xfId="0" applyBorder="1"/>
    <xf numFmtId="0" fontId="0" fillId="0" borderId="8" xfId="0" applyBorder="1"/>
    <xf numFmtId="17" fontId="0" fillId="0" borderId="9" xfId="0" applyNumberFormat="1" applyBorder="1"/>
    <xf numFmtId="0" fontId="0" fillId="0" borderId="10" xfId="0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164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5" fillId="0" borderId="0" xfId="0" applyNumberFormat="1" applyFont="1" applyAlignment="1">
      <alignment wrapText="1"/>
    </xf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7" workbookViewId="0">
      <selection activeCell="A8" sqref="A8:B8"/>
    </sheetView>
  </sheetViews>
  <sheetFormatPr baseColWidth="10" defaultRowHeight="15" x14ac:dyDescent="0.25"/>
  <cols>
    <col min="2" max="2" width="27.140625" bestFit="1" customWidth="1"/>
    <col min="3" max="3" width="29.5703125" bestFit="1" customWidth="1"/>
    <col min="4" max="4" width="15.28515625" bestFit="1" customWidth="1"/>
    <col min="5" max="5" width="14.140625" customWidth="1"/>
    <col min="6" max="6" width="10.85546875" bestFit="1" customWidth="1"/>
    <col min="7" max="7" width="21.7109375" bestFit="1" customWidth="1"/>
    <col min="8" max="8" width="15.85546875" bestFit="1" customWidth="1"/>
  </cols>
  <sheetData>
    <row r="1" spans="1:8" ht="18.75" x14ac:dyDescent="0.3">
      <c r="A1" s="11" t="s">
        <v>1</v>
      </c>
    </row>
    <row r="2" spans="1:8" ht="18.75" x14ac:dyDescent="0.3">
      <c r="A2" s="11" t="s">
        <v>40</v>
      </c>
    </row>
    <row r="3" spans="1:8" ht="19.5" thickBot="1" x14ac:dyDescent="0.35">
      <c r="A3" s="11"/>
    </row>
    <row r="4" spans="1:8" ht="16.5" thickTop="1" thickBot="1" x14ac:dyDescent="0.3">
      <c r="A4" s="12" t="s">
        <v>41</v>
      </c>
      <c r="B4" s="13" t="s">
        <v>42</v>
      </c>
      <c r="C4" s="13" t="s">
        <v>43</v>
      </c>
      <c r="D4" s="13" t="s">
        <v>44</v>
      </c>
      <c r="E4" s="13" t="s">
        <v>45</v>
      </c>
      <c r="F4" s="13" t="s">
        <v>46</v>
      </c>
      <c r="G4" s="13" t="s">
        <v>47</v>
      </c>
      <c r="H4" s="14" t="s">
        <v>48</v>
      </c>
    </row>
    <row r="5" spans="1:8" ht="15.75" thickTop="1" x14ac:dyDescent="0.25">
      <c r="A5" s="15" t="s">
        <v>49</v>
      </c>
      <c r="B5" s="16" t="s">
        <v>50</v>
      </c>
      <c r="C5" s="16" t="s">
        <v>51</v>
      </c>
      <c r="D5" s="16"/>
      <c r="E5" s="16">
        <v>677841881</v>
      </c>
      <c r="F5" s="16"/>
      <c r="G5" s="16" t="s">
        <v>52</v>
      </c>
      <c r="H5" s="17">
        <v>42887</v>
      </c>
    </row>
    <row r="6" spans="1:8" x14ac:dyDescent="0.25">
      <c r="A6" s="18" t="s">
        <v>17</v>
      </c>
      <c r="B6" s="19" t="s">
        <v>53</v>
      </c>
      <c r="C6" s="19" t="s">
        <v>54</v>
      </c>
      <c r="D6" s="19"/>
      <c r="E6" s="19">
        <v>677704694</v>
      </c>
      <c r="F6" s="19"/>
      <c r="G6" s="19" t="s">
        <v>55</v>
      </c>
      <c r="H6" s="20">
        <v>43191</v>
      </c>
    </row>
    <row r="7" spans="1:8" x14ac:dyDescent="0.25">
      <c r="A7" s="18" t="s">
        <v>56</v>
      </c>
      <c r="B7" s="19" t="s">
        <v>57</v>
      </c>
      <c r="C7" s="19" t="s">
        <v>54</v>
      </c>
      <c r="D7" s="19"/>
      <c r="E7" s="19">
        <v>677881912</v>
      </c>
      <c r="F7" s="19"/>
      <c r="G7" s="19" t="s">
        <v>58</v>
      </c>
      <c r="H7" s="20">
        <v>43466</v>
      </c>
    </row>
    <row r="8" spans="1:8" x14ac:dyDescent="0.25">
      <c r="A8" s="18" t="s">
        <v>59</v>
      </c>
      <c r="B8" s="19" t="s">
        <v>60</v>
      </c>
      <c r="C8" s="19" t="s">
        <v>61</v>
      </c>
      <c r="D8" s="19"/>
      <c r="E8" s="19">
        <v>677986676</v>
      </c>
      <c r="F8" s="19"/>
      <c r="G8" s="19" t="s">
        <v>62</v>
      </c>
      <c r="H8" s="20">
        <v>43132</v>
      </c>
    </row>
    <row r="9" spans="1:8" x14ac:dyDescent="0.25">
      <c r="A9" s="18" t="s">
        <v>63</v>
      </c>
      <c r="B9" s="19" t="s">
        <v>64</v>
      </c>
      <c r="C9" s="19" t="s">
        <v>65</v>
      </c>
      <c r="D9" s="19"/>
      <c r="E9" s="19">
        <v>675250451</v>
      </c>
      <c r="F9" s="19"/>
      <c r="G9" s="19" t="s">
        <v>62</v>
      </c>
      <c r="H9" s="20">
        <v>43313</v>
      </c>
    </row>
    <row r="10" spans="1:8" x14ac:dyDescent="0.25">
      <c r="A10" s="18" t="s">
        <v>18</v>
      </c>
      <c r="B10" s="19" t="s">
        <v>66</v>
      </c>
      <c r="C10" s="19" t="s">
        <v>65</v>
      </c>
      <c r="D10" s="19"/>
      <c r="E10" s="19">
        <v>675250451</v>
      </c>
      <c r="F10" s="19"/>
      <c r="G10" s="19" t="s">
        <v>62</v>
      </c>
      <c r="H10" s="20">
        <v>43313</v>
      </c>
    </row>
    <row r="11" spans="1:8" x14ac:dyDescent="0.25">
      <c r="A11" s="18" t="s">
        <v>20</v>
      </c>
      <c r="B11" s="19" t="s">
        <v>67</v>
      </c>
      <c r="C11" s="19" t="s">
        <v>68</v>
      </c>
      <c r="D11" s="19"/>
      <c r="E11" s="19">
        <v>697103557</v>
      </c>
      <c r="F11" s="19"/>
      <c r="G11" s="19" t="s">
        <v>69</v>
      </c>
      <c r="H11" s="20">
        <v>42401</v>
      </c>
    </row>
    <row r="12" spans="1:8" x14ac:dyDescent="0.25">
      <c r="A12" s="18" t="s">
        <v>70</v>
      </c>
      <c r="B12" s="19" t="s">
        <v>71</v>
      </c>
      <c r="C12" s="19" t="s">
        <v>72</v>
      </c>
      <c r="D12" s="19"/>
      <c r="E12" s="19">
        <v>677501239</v>
      </c>
      <c r="F12" s="19">
        <v>699324095</v>
      </c>
      <c r="G12" s="19" t="s">
        <v>73</v>
      </c>
      <c r="H12" s="20">
        <v>43647</v>
      </c>
    </row>
    <row r="13" spans="1:8" x14ac:dyDescent="0.25">
      <c r="A13" s="18" t="s">
        <v>21</v>
      </c>
      <c r="B13" s="19" t="s">
        <v>74</v>
      </c>
      <c r="C13" s="19" t="s">
        <v>75</v>
      </c>
      <c r="D13" s="19"/>
      <c r="E13" s="19">
        <v>699908065</v>
      </c>
      <c r="F13" s="19"/>
      <c r="G13" s="19" t="s">
        <v>76</v>
      </c>
      <c r="H13" s="20">
        <v>42979</v>
      </c>
    </row>
    <row r="14" spans="1:8" x14ac:dyDescent="0.25">
      <c r="A14" s="18" t="s">
        <v>77</v>
      </c>
      <c r="B14" s="19" t="s">
        <v>78</v>
      </c>
      <c r="C14" s="19" t="s">
        <v>79</v>
      </c>
      <c r="D14" s="19"/>
      <c r="E14" s="19">
        <v>677910278</v>
      </c>
      <c r="F14" s="19"/>
      <c r="G14" s="19" t="s">
        <v>80</v>
      </c>
      <c r="H14" s="20">
        <v>43344</v>
      </c>
    </row>
    <row r="15" spans="1:8" x14ac:dyDescent="0.25">
      <c r="A15" s="18" t="s">
        <v>81</v>
      </c>
      <c r="B15" s="19" t="s">
        <v>82</v>
      </c>
      <c r="C15" s="19" t="s">
        <v>83</v>
      </c>
      <c r="D15" s="19"/>
      <c r="E15" s="19">
        <v>694468080</v>
      </c>
      <c r="F15" s="19"/>
      <c r="G15" s="19" t="s">
        <v>73</v>
      </c>
      <c r="H15" s="20">
        <v>42583</v>
      </c>
    </row>
    <row r="16" spans="1:8" x14ac:dyDescent="0.25">
      <c r="A16" s="18" t="s">
        <v>22</v>
      </c>
      <c r="B16" s="19" t="s">
        <v>84</v>
      </c>
      <c r="C16" s="19" t="s">
        <v>85</v>
      </c>
      <c r="D16" s="19"/>
      <c r="E16" s="19">
        <v>675291170</v>
      </c>
      <c r="F16" s="19"/>
      <c r="G16" s="19" t="s">
        <v>86</v>
      </c>
      <c r="H16" s="20">
        <v>43009</v>
      </c>
    </row>
    <row r="17" spans="1:8" x14ac:dyDescent="0.25">
      <c r="A17" s="18" t="s">
        <v>87</v>
      </c>
      <c r="B17" s="19" t="s">
        <v>88</v>
      </c>
      <c r="C17" s="19" t="s">
        <v>89</v>
      </c>
      <c r="D17" s="19"/>
      <c r="E17" s="19">
        <v>699956355</v>
      </c>
      <c r="F17" s="19"/>
      <c r="G17" s="19" t="s">
        <v>90</v>
      </c>
      <c r="H17" s="20">
        <v>42614</v>
      </c>
    </row>
    <row r="18" spans="1:8" x14ac:dyDescent="0.25">
      <c r="A18" s="18" t="s">
        <v>23</v>
      </c>
      <c r="B18" s="19" t="s">
        <v>91</v>
      </c>
      <c r="C18" s="19" t="s">
        <v>54</v>
      </c>
      <c r="D18" s="19"/>
      <c r="E18" s="19">
        <v>677053815</v>
      </c>
      <c r="F18" s="19"/>
      <c r="G18" s="19" t="s">
        <v>73</v>
      </c>
      <c r="H18" s="20">
        <v>43374</v>
      </c>
    </row>
    <row r="19" spans="1:8" x14ac:dyDescent="0.25">
      <c r="A19" s="18" t="s">
        <v>92</v>
      </c>
      <c r="B19" s="19" t="s">
        <v>93</v>
      </c>
      <c r="C19" s="19" t="s">
        <v>94</v>
      </c>
      <c r="D19" s="19"/>
      <c r="E19" s="19">
        <v>699528700</v>
      </c>
      <c r="F19" s="19"/>
      <c r="G19" s="19" t="s">
        <v>95</v>
      </c>
      <c r="H19" s="20">
        <v>43405</v>
      </c>
    </row>
    <row r="20" spans="1:8" x14ac:dyDescent="0.25">
      <c r="A20" s="18" t="s">
        <v>96</v>
      </c>
      <c r="B20" s="19" t="s">
        <v>97</v>
      </c>
      <c r="C20" s="19" t="s">
        <v>54</v>
      </c>
      <c r="D20" s="19"/>
      <c r="E20" s="19">
        <v>699335584</v>
      </c>
      <c r="F20" s="19"/>
      <c r="G20" s="19" t="s">
        <v>98</v>
      </c>
      <c r="H20" s="20">
        <v>42795</v>
      </c>
    </row>
    <row r="21" spans="1:8" x14ac:dyDescent="0.25">
      <c r="A21" s="18" t="s">
        <v>24</v>
      </c>
      <c r="B21" s="19" t="s">
        <v>99</v>
      </c>
      <c r="C21" s="19" t="s">
        <v>100</v>
      </c>
      <c r="D21" s="19"/>
      <c r="E21" s="19">
        <v>675836725</v>
      </c>
      <c r="F21" s="19"/>
      <c r="G21" s="19" t="s">
        <v>90</v>
      </c>
      <c r="H21" s="20">
        <v>42370</v>
      </c>
    </row>
    <row r="22" spans="1:8" x14ac:dyDescent="0.25">
      <c r="A22" s="18" t="s">
        <v>25</v>
      </c>
      <c r="B22" s="19" t="s">
        <v>101</v>
      </c>
      <c r="C22" s="19" t="s">
        <v>102</v>
      </c>
      <c r="D22" s="19"/>
      <c r="E22" s="19">
        <v>696564847</v>
      </c>
      <c r="F22" s="19"/>
      <c r="G22" s="19" t="s">
        <v>73</v>
      </c>
      <c r="H22" s="20">
        <v>43617</v>
      </c>
    </row>
    <row r="23" spans="1:8" x14ac:dyDescent="0.25">
      <c r="A23" s="18" t="s">
        <v>26</v>
      </c>
      <c r="B23" s="19" t="s">
        <v>103</v>
      </c>
      <c r="C23" s="19" t="s">
        <v>104</v>
      </c>
      <c r="D23" s="19"/>
      <c r="E23" s="19">
        <v>677735778</v>
      </c>
      <c r="F23" s="19"/>
      <c r="G23" s="19" t="s">
        <v>58</v>
      </c>
      <c r="H23" s="20">
        <v>42644</v>
      </c>
    </row>
    <row r="24" spans="1:8" x14ac:dyDescent="0.25">
      <c r="A24" s="18" t="s">
        <v>105</v>
      </c>
      <c r="B24" s="19" t="s">
        <v>106</v>
      </c>
      <c r="C24" s="19" t="s">
        <v>107</v>
      </c>
      <c r="D24" s="19"/>
      <c r="E24" s="19"/>
      <c r="F24" s="19"/>
      <c r="G24" s="19"/>
      <c r="H24" s="20"/>
    </row>
    <row r="25" spans="1:8" x14ac:dyDescent="0.25">
      <c r="A25" s="18" t="s">
        <v>27</v>
      </c>
      <c r="B25" s="19" t="s">
        <v>108</v>
      </c>
      <c r="C25" s="19" t="s">
        <v>109</v>
      </c>
      <c r="D25" s="19"/>
      <c r="E25" s="19">
        <v>693055118</v>
      </c>
      <c r="F25" s="19"/>
      <c r="G25" s="19" t="s">
        <v>90</v>
      </c>
      <c r="H25" s="20">
        <v>43678</v>
      </c>
    </row>
    <row r="26" spans="1:8" x14ac:dyDescent="0.25">
      <c r="A26" s="18" t="s">
        <v>28</v>
      </c>
      <c r="B26" s="19" t="s">
        <v>110</v>
      </c>
      <c r="C26" s="19" t="s">
        <v>89</v>
      </c>
      <c r="D26" s="19"/>
      <c r="E26" s="19">
        <v>677553702</v>
      </c>
      <c r="F26" s="19"/>
      <c r="G26" s="19" t="s">
        <v>98</v>
      </c>
      <c r="H26" s="20">
        <v>42705</v>
      </c>
    </row>
    <row r="27" spans="1:8" x14ac:dyDescent="0.25">
      <c r="A27" s="18" t="s">
        <v>111</v>
      </c>
      <c r="B27" s="19" t="s">
        <v>112</v>
      </c>
      <c r="C27" s="19" t="s">
        <v>113</v>
      </c>
      <c r="D27" s="19"/>
      <c r="E27" s="19">
        <v>699358350</v>
      </c>
      <c r="F27" s="19"/>
      <c r="G27" s="19" t="s">
        <v>114</v>
      </c>
      <c r="H27" s="20">
        <v>42767</v>
      </c>
    </row>
    <row r="28" spans="1:8" x14ac:dyDescent="0.25">
      <c r="A28" s="18" t="s">
        <v>29</v>
      </c>
      <c r="B28" s="19" t="s">
        <v>115</v>
      </c>
      <c r="C28" s="19" t="s">
        <v>116</v>
      </c>
      <c r="D28" s="19"/>
      <c r="E28" s="19">
        <v>675249207</v>
      </c>
      <c r="F28" s="19"/>
      <c r="G28" s="19" t="s">
        <v>117</v>
      </c>
      <c r="H28" s="20">
        <v>43070</v>
      </c>
    </row>
    <row r="29" spans="1:8" x14ac:dyDescent="0.25">
      <c r="A29" s="18" t="s">
        <v>118</v>
      </c>
      <c r="B29" s="19" t="s">
        <v>119</v>
      </c>
      <c r="C29" s="19" t="s">
        <v>120</v>
      </c>
      <c r="D29" s="19"/>
      <c r="E29" s="19">
        <v>677766503</v>
      </c>
      <c r="F29" s="19"/>
      <c r="G29" s="19" t="s">
        <v>62</v>
      </c>
      <c r="H29" s="20">
        <v>42491</v>
      </c>
    </row>
    <row r="30" spans="1:8" x14ac:dyDescent="0.25">
      <c r="A30" s="18" t="s">
        <v>121</v>
      </c>
      <c r="B30" s="19" t="s">
        <v>122</v>
      </c>
      <c r="C30" s="19" t="s">
        <v>123</v>
      </c>
      <c r="D30" s="19"/>
      <c r="E30" s="19">
        <v>677068360</v>
      </c>
      <c r="F30" s="19"/>
      <c r="G30" s="19" t="s">
        <v>124</v>
      </c>
      <c r="H30" s="20">
        <v>43101</v>
      </c>
    </row>
    <row r="31" spans="1:8" x14ac:dyDescent="0.25">
      <c r="A31" s="18" t="s">
        <v>125</v>
      </c>
      <c r="B31" s="19" t="s">
        <v>126</v>
      </c>
      <c r="C31" s="19" t="s">
        <v>54</v>
      </c>
      <c r="D31" s="19"/>
      <c r="E31" s="19">
        <v>670909070</v>
      </c>
      <c r="F31" s="19"/>
      <c r="G31" s="19" t="s">
        <v>127</v>
      </c>
      <c r="H31" s="20">
        <v>43586</v>
      </c>
    </row>
    <row r="32" spans="1:8" x14ac:dyDescent="0.25">
      <c r="A32" s="18" t="s">
        <v>30</v>
      </c>
      <c r="B32" s="19" t="s">
        <v>128</v>
      </c>
      <c r="C32" s="19" t="s">
        <v>129</v>
      </c>
      <c r="D32" s="19"/>
      <c r="E32" s="19">
        <v>676659191</v>
      </c>
      <c r="F32" s="19"/>
      <c r="G32" s="19" t="s">
        <v>127</v>
      </c>
      <c r="H32" s="20">
        <v>43497</v>
      </c>
    </row>
    <row r="33" spans="1:8" x14ac:dyDescent="0.25">
      <c r="A33" s="18" t="s">
        <v>31</v>
      </c>
      <c r="B33" s="19" t="s">
        <v>130</v>
      </c>
      <c r="C33" s="19" t="s">
        <v>54</v>
      </c>
      <c r="D33" s="19"/>
      <c r="E33" s="19">
        <v>677575366</v>
      </c>
      <c r="F33" s="19"/>
      <c r="G33" s="19" t="s">
        <v>131</v>
      </c>
      <c r="H33" s="20">
        <v>42917</v>
      </c>
    </row>
    <row r="34" spans="1:8" x14ac:dyDescent="0.25">
      <c r="A34" s="18" t="s">
        <v>132</v>
      </c>
      <c r="B34" s="19" t="s">
        <v>133</v>
      </c>
      <c r="C34" s="19" t="s">
        <v>134</v>
      </c>
      <c r="D34" s="19"/>
      <c r="E34" s="19">
        <v>699843118</v>
      </c>
      <c r="F34" s="19"/>
      <c r="G34" s="19" t="s">
        <v>69</v>
      </c>
      <c r="H34" s="20">
        <v>42522</v>
      </c>
    </row>
    <row r="35" spans="1:8" x14ac:dyDescent="0.25">
      <c r="A35" s="18" t="s">
        <v>135</v>
      </c>
      <c r="B35" s="19" t="s">
        <v>136</v>
      </c>
      <c r="C35" s="19" t="s">
        <v>54</v>
      </c>
      <c r="D35" s="19"/>
      <c r="E35" s="19">
        <v>677377251</v>
      </c>
      <c r="F35" s="19"/>
      <c r="G35" s="19" t="s">
        <v>98</v>
      </c>
      <c r="H35" s="20">
        <v>43282</v>
      </c>
    </row>
    <row r="36" spans="1:8" x14ac:dyDescent="0.25">
      <c r="A36" s="18" t="s">
        <v>137</v>
      </c>
      <c r="B36" s="19" t="s">
        <v>138</v>
      </c>
      <c r="C36" s="19" t="s">
        <v>139</v>
      </c>
      <c r="D36" s="19"/>
      <c r="E36" s="19">
        <v>677867173</v>
      </c>
      <c r="F36" s="19"/>
      <c r="G36" s="19" t="s">
        <v>69</v>
      </c>
      <c r="H36" s="20">
        <v>42461</v>
      </c>
    </row>
    <row r="37" spans="1:8" x14ac:dyDescent="0.25">
      <c r="A37" s="18" t="s">
        <v>32</v>
      </c>
      <c r="B37" s="19" t="s">
        <v>140</v>
      </c>
      <c r="C37" s="19" t="s">
        <v>141</v>
      </c>
      <c r="D37" s="19"/>
      <c r="E37" s="19">
        <v>699995086</v>
      </c>
      <c r="F37" s="19"/>
      <c r="G37" s="19" t="s">
        <v>142</v>
      </c>
      <c r="H37" s="20">
        <v>43525</v>
      </c>
    </row>
    <row r="38" spans="1:8" x14ac:dyDescent="0.25">
      <c r="A38" s="18" t="s">
        <v>143</v>
      </c>
      <c r="B38" s="19" t="s">
        <v>144</v>
      </c>
      <c r="C38" s="19" t="s">
        <v>54</v>
      </c>
      <c r="D38" s="19"/>
      <c r="E38" s="19">
        <v>677054646</v>
      </c>
      <c r="F38" s="19"/>
      <c r="G38" s="19" t="s">
        <v>55</v>
      </c>
      <c r="H38" s="20">
        <v>43160</v>
      </c>
    </row>
    <row r="39" spans="1:8" x14ac:dyDescent="0.25">
      <c r="A39" s="18" t="s">
        <v>33</v>
      </c>
      <c r="B39" s="19" t="s">
        <v>145</v>
      </c>
      <c r="C39" s="19" t="s">
        <v>54</v>
      </c>
      <c r="D39" s="19"/>
      <c r="E39" s="19">
        <v>699549665</v>
      </c>
      <c r="F39" s="19"/>
      <c r="G39" s="19" t="s">
        <v>146</v>
      </c>
      <c r="H39" s="20">
        <v>43556</v>
      </c>
    </row>
    <row r="40" spans="1:8" x14ac:dyDescent="0.25">
      <c r="A40" s="18" t="s">
        <v>34</v>
      </c>
      <c r="B40" s="19" t="s">
        <v>147</v>
      </c>
      <c r="C40" s="19" t="s">
        <v>79</v>
      </c>
      <c r="D40" s="19"/>
      <c r="E40" s="19">
        <v>699350133</v>
      </c>
      <c r="F40" s="19"/>
      <c r="G40" s="19" t="s">
        <v>90</v>
      </c>
      <c r="H40" s="20">
        <v>43435</v>
      </c>
    </row>
    <row r="41" spans="1:8" x14ac:dyDescent="0.25">
      <c r="A41" s="18" t="s">
        <v>148</v>
      </c>
      <c r="B41" s="19" t="s">
        <v>149</v>
      </c>
      <c r="C41" s="19" t="s">
        <v>120</v>
      </c>
      <c r="D41" s="19"/>
      <c r="E41" s="19">
        <v>677477649</v>
      </c>
      <c r="F41" s="19"/>
      <c r="G41" s="19" t="s">
        <v>150</v>
      </c>
      <c r="H41" s="20">
        <v>42948</v>
      </c>
    </row>
    <row r="42" spans="1:8" x14ac:dyDescent="0.25">
      <c r="A42" s="18" t="s">
        <v>151</v>
      </c>
      <c r="B42" s="19" t="s">
        <v>152</v>
      </c>
      <c r="C42" s="19" t="s">
        <v>153</v>
      </c>
      <c r="D42" s="19"/>
      <c r="E42" s="19">
        <v>677546060</v>
      </c>
      <c r="F42" s="19"/>
      <c r="G42" s="19" t="s">
        <v>80</v>
      </c>
      <c r="H42" s="20">
        <v>42736</v>
      </c>
    </row>
    <row r="43" spans="1:8" x14ac:dyDescent="0.25">
      <c r="A43" s="18" t="s">
        <v>35</v>
      </c>
      <c r="B43" s="19" t="s">
        <v>154</v>
      </c>
      <c r="C43" s="19" t="s">
        <v>155</v>
      </c>
      <c r="D43" s="19"/>
      <c r="E43" s="19">
        <v>677648306</v>
      </c>
      <c r="F43" s="19"/>
      <c r="G43" s="19" t="s">
        <v>62</v>
      </c>
      <c r="H43" s="20">
        <v>43040</v>
      </c>
    </row>
    <row r="44" spans="1:8" x14ac:dyDescent="0.25">
      <c r="A44" s="18" t="s">
        <v>156</v>
      </c>
      <c r="B44" s="19" t="s">
        <v>157</v>
      </c>
      <c r="C44" s="19" t="s">
        <v>85</v>
      </c>
      <c r="D44" s="19"/>
      <c r="E44" s="19">
        <v>677780149</v>
      </c>
      <c r="F44" s="19"/>
      <c r="G44" s="19" t="s">
        <v>73</v>
      </c>
      <c r="H44" s="20">
        <v>42552</v>
      </c>
    </row>
    <row r="45" spans="1:8" x14ac:dyDescent="0.25">
      <c r="A45" s="18" t="s">
        <v>158</v>
      </c>
      <c r="B45" s="19" t="s">
        <v>159</v>
      </c>
      <c r="C45" s="19" t="s">
        <v>160</v>
      </c>
      <c r="D45" s="19"/>
      <c r="E45" s="19">
        <v>699778906</v>
      </c>
      <c r="F45" s="19"/>
      <c r="G45" s="19" t="s">
        <v>127</v>
      </c>
      <c r="H45" s="20">
        <v>43709</v>
      </c>
    </row>
    <row r="46" spans="1:8" x14ac:dyDescent="0.25">
      <c r="A46" s="18" t="s">
        <v>36</v>
      </c>
      <c r="B46" s="19" t="s">
        <v>161</v>
      </c>
      <c r="C46" s="19" t="s">
        <v>109</v>
      </c>
      <c r="D46" s="19"/>
      <c r="E46" s="19">
        <v>678639806</v>
      </c>
      <c r="F46" s="19"/>
      <c r="G46" s="19" t="s">
        <v>127</v>
      </c>
      <c r="H46" s="20">
        <v>43252</v>
      </c>
    </row>
    <row r="47" spans="1:8" x14ac:dyDescent="0.25">
      <c r="A47" s="18" t="s">
        <v>162</v>
      </c>
      <c r="B47" s="19" t="s">
        <v>163</v>
      </c>
      <c r="C47" s="19" t="s">
        <v>54</v>
      </c>
      <c r="D47" s="19"/>
      <c r="E47" s="19">
        <v>677775940</v>
      </c>
      <c r="F47" s="19"/>
      <c r="G47" s="19" t="s">
        <v>164</v>
      </c>
      <c r="H47" s="20">
        <v>43221</v>
      </c>
    </row>
    <row r="48" spans="1:8" x14ac:dyDescent="0.25">
      <c r="A48" s="18" t="s">
        <v>165</v>
      </c>
      <c r="B48" s="19" t="s">
        <v>166</v>
      </c>
      <c r="C48" s="19" t="s">
        <v>167</v>
      </c>
      <c r="D48" s="19"/>
      <c r="E48" s="19">
        <v>677508603</v>
      </c>
      <c r="F48" s="19"/>
      <c r="G48" s="19" t="s">
        <v>168</v>
      </c>
      <c r="H48" s="20">
        <v>42856</v>
      </c>
    </row>
    <row r="49" spans="1:8" x14ac:dyDescent="0.25">
      <c r="A49" s="18" t="s">
        <v>37</v>
      </c>
      <c r="B49" s="19" t="s">
        <v>169</v>
      </c>
      <c r="C49" s="19" t="s">
        <v>170</v>
      </c>
      <c r="D49" s="19"/>
      <c r="E49" s="19">
        <v>677726329</v>
      </c>
      <c r="F49" s="19"/>
      <c r="G49" s="19" t="s">
        <v>69</v>
      </c>
      <c r="H49" s="20">
        <v>42430</v>
      </c>
    </row>
    <row r="50" spans="1:8" x14ac:dyDescent="0.25">
      <c r="A50" s="18" t="s">
        <v>171</v>
      </c>
      <c r="B50" s="19" t="s">
        <v>172</v>
      </c>
      <c r="C50" s="19" t="s">
        <v>173</v>
      </c>
      <c r="D50" s="19"/>
      <c r="E50" s="19">
        <v>699663416</v>
      </c>
      <c r="F50" s="19"/>
      <c r="G50" s="19" t="s">
        <v>174</v>
      </c>
      <c r="H50" s="20">
        <v>42826</v>
      </c>
    </row>
    <row r="51" spans="1:8" x14ac:dyDescent="0.25">
      <c r="A51" s="18" t="s">
        <v>175</v>
      </c>
      <c r="B51" s="19" t="s">
        <v>176</v>
      </c>
      <c r="C51" s="19" t="s">
        <v>177</v>
      </c>
      <c r="D51" s="19"/>
      <c r="E51" s="19">
        <v>677547311</v>
      </c>
      <c r="F51" s="19"/>
      <c r="G51" s="19" t="s">
        <v>178</v>
      </c>
      <c r="H51" s="20">
        <v>42675</v>
      </c>
    </row>
    <row r="52" spans="1:8" ht="15.75" thickBot="1" x14ac:dyDescent="0.3">
      <c r="A52" s="21" t="s">
        <v>179</v>
      </c>
      <c r="B52" s="22" t="s">
        <v>1</v>
      </c>
      <c r="C52" s="22" t="s">
        <v>180</v>
      </c>
      <c r="D52" s="23"/>
      <c r="E52" s="23"/>
      <c r="F52" s="23"/>
      <c r="G52" s="23"/>
      <c r="H52" s="24"/>
    </row>
    <row r="53" spans="1:8" ht="15.75" thickTop="1" x14ac:dyDescent="0.25"/>
  </sheetData>
  <autoFilter ref="A4:H51">
    <sortState ref="A5:H50">
      <sortCondition ref="B4:B50"/>
    </sortState>
  </autoFilter>
  <pageMargins left="0.31496062992125984" right="0.31496062992125984" top="0.35433070866141736" bottom="0.35433070866141736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11" sqref="B11"/>
    </sheetView>
  </sheetViews>
  <sheetFormatPr baseColWidth="10" defaultRowHeight="15" x14ac:dyDescent="0.25"/>
  <sheetData>
    <row r="1" spans="1:1" x14ac:dyDescent="0.25">
      <c r="A1" t="s">
        <v>19</v>
      </c>
    </row>
    <row r="2" spans="1:1" x14ac:dyDescent="0.25">
      <c r="A2" t="s">
        <v>39</v>
      </c>
    </row>
    <row r="3" spans="1:1" x14ac:dyDescent="0.25">
      <c r="A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xSplit="2" ySplit="5" topLeftCell="D6" activePane="bottomRight" state="frozen"/>
      <selection activeCell="I3" sqref="I3"/>
      <selection pane="topRight" activeCell="I3" sqref="I3"/>
      <selection pane="bottomLeft" activeCell="I3" sqref="I3"/>
      <selection pane="bottomRight" activeCell="D6" sqref="D6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60000</v>
      </c>
    </row>
    <row r="4" spans="1:12" ht="18" x14ac:dyDescent="0.25">
      <c r="B4" s="5"/>
      <c r="C4" s="31">
        <v>42750</v>
      </c>
      <c r="D4" s="32"/>
      <c r="E4" s="32"/>
      <c r="F4" s="32"/>
      <c r="G4" s="32"/>
      <c r="H4" s="32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  <c r="L5" s="6" t="s">
        <v>181</v>
      </c>
    </row>
    <row r="6" spans="1:12" x14ac:dyDescent="0.25">
      <c r="A6" s="1" t="s">
        <v>17</v>
      </c>
      <c r="B6" s="1" t="s">
        <v>53</v>
      </c>
      <c r="C6" s="8">
        <v>60000</v>
      </c>
      <c r="D6" s="8">
        <f>IF(E6="ESPECES",0,0)</f>
        <v>0</v>
      </c>
      <c r="E6" s="7" t="s">
        <v>39</v>
      </c>
      <c r="F6" s="8"/>
      <c r="G6" s="8"/>
      <c r="H6" s="2">
        <f>F6+G6</f>
        <v>0</v>
      </c>
      <c r="J6" s="8"/>
    </row>
    <row r="7" spans="1:12" x14ac:dyDescent="0.25">
      <c r="A7" s="1" t="s">
        <v>56</v>
      </c>
      <c r="B7" s="1" t="s">
        <v>57</v>
      </c>
      <c r="C7" s="8">
        <v>60000</v>
      </c>
      <c r="D7" s="8">
        <f t="shared" ref="D7:D30" si="0">IF(E7="ESPECES",0,0)</f>
        <v>0</v>
      </c>
      <c r="E7" s="7" t="s">
        <v>39</v>
      </c>
      <c r="F7" s="8"/>
      <c r="G7" s="8"/>
      <c r="H7" s="2">
        <f t="shared" ref="H7:H29" si="1">F7+G7</f>
        <v>0</v>
      </c>
      <c r="J7" s="8"/>
    </row>
    <row r="8" spans="1:12" x14ac:dyDescent="0.25">
      <c r="A8" s="1" t="s">
        <v>56</v>
      </c>
      <c r="B8" s="1" t="s">
        <v>57</v>
      </c>
      <c r="C8" s="8">
        <v>60000</v>
      </c>
      <c r="D8" s="8">
        <f t="shared" si="0"/>
        <v>0</v>
      </c>
      <c r="E8" s="7" t="s">
        <v>39</v>
      </c>
      <c r="F8" s="8"/>
      <c r="G8" s="8"/>
      <c r="H8" s="2">
        <f t="shared" si="1"/>
        <v>0</v>
      </c>
      <c r="J8" s="8"/>
    </row>
    <row r="9" spans="1:12" x14ac:dyDescent="0.25">
      <c r="A9" s="1" t="s">
        <v>59</v>
      </c>
      <c r="B9" s="1" t="s">
        <v>60</v>
      </c>
      <c r="C9" s="8">
        <v>60000</v>
      </c>
      <c r="D9" s="8">
        <f t="shared" si="0"/>
        <v>0</v>
      </c>
      <c r="E9" s="7" t="s">
        <v>19</v>
      </c>
      <c r="F9" s="8"/>
      <c r="G9" s="8"/>
      <c r="H9" s="2">
        <f t="shared" si="1"/>
        <v>0</v>
      </c>
      <c r="J9" s="8"/>
    </row>
    <row r="10" spans="1:12" x14ac:dyDescent="0.25">
      <c r="A10" s="1" t="s">
        <v>59</v>
      </c>
      <c r="B10" s="1" t="s">
        <v>60</v>
      </c>
      <c r="C10" s="8">
        <v>60000</v>
      </c>
      <c r="D10" s="8">
        <f t="shared" si="0"/>
        <v>0</v>
      </c>
      <c r="E10" s="7" t="s">
        <v>19</v>
      </c>
      <c r="F10" s="8"/>
      <c r="G10" s="8"/>
      <c r="H10" s="2">
        <f t="shared" si="1"/>
        <v>0</v>
      </c>
      <c r="J10" s="8"/>
    </row>
    <row r="11" spans="1:12" x14ac:dyDescent="0.25">
      <c r="A11" s="1" t="s">
        <v>59</v>
      </c>
      <c r="B11" s="1" t="s">
        <v>60</v>
      </c>
      <c r="C11" s="8">
        <v>60000</v>
      </c>
      <c r="D11" s="8">
        <f t="shared" si="0"/>
        <v>0</v>
      </c>
      <c r="E11" s="7" t="s">
        <v>19</v>
      </c>
      <c r="F11" s="8"/>
      <c r="G11" s="8"/>
      <c r="H11" s="2">
        <f t="shared" si="1"/>
        <v>0</v>
      </c>
      <c r="J11" s="8"/>
    </row>
    <row r="12" spans="1:12" x14ac:dyDescent="0.25">
      <c r="A12" s="1" t="s">
        <v>77</v>
      </c>
      <c r="B12" s="1" t="s">
        <v>78</v>
      </c>
      <c r="C12" s="8">
        <v>60000</v>
      </c>
      <c r="D12" s="8">
        <f t="shared" si="0"/>
        <v>0</v>
      </c>
      <c r="E12" s="7" t="s">
        <v>39</v>
      </c>
      <c r="F12" s="8">
        <v>41000</v>
      </c>
      <c r="G12" s="8">
        <v>1000</v>
      </c>
      <c r="H12" s="2">
        <v>0</v>
      </c>
      <c r="J12" s="8"/>
    </row>
    <row r="13" spans="1:12" x14ac:dyDescent="0.25">
      <c r="A13" s="1" t="s">
        <v>81</v>
      </c>
      <c r="B13" s="1" t="s">
        <v>82</v>
      </c>
      <c r="C13" s="8">
        <v>60000</v>
      </c>
      <c r="D13" s="8">
        <f t="shared" si="0"/>
        <v>0</v>
      </c>
      <c r="E13" s="7" t="s">
        <v>39</v>
      </c>
      <c r="F13" s="8"/>
      <c r="G13" s="8"/>
      <c r="H13" s="2">
        <f t="shared" si="1"/>
        <v>0</v>
      </c>
      <c r="J13" s="8"/>
    </row>
    <row r="14" spans="1:12" x14ac:dyDescent="0.25">
      <c r="A14" s="1" t="s">
        <v>92</v>
      </c>
      <c r="B14" s="1" t="s">
        <v>93</v>
      </c>
      <c r="C14" s="8">
        <v>60000</v>
      </c>
      <c r="D14" s="8">
        <f t="shared" si="0"/>
        <v>0</v>
      </c>
      <c r="E14" s="7" t="s">
        <v>39</v>
      </c>
      <c r="F14" s="8"/>
      <c r="G14" s="8"/>
      <c r="H14" s="2">
        <f t="shared" si="1"/>
        <v>0</v>
      </c>
      <c r="J14" s="8"/>
    </row>
    <row r="15" spans="1:12" x14ac:dyDescent="0.25">
      <c r="A15" s="1" t="s">
        <v>25</v>
      </c>
      <c r="B15" s="1" t="s">
        <v>101</v>
      </c>
      <c r="C15" s="8">
        <v>60000</v>
      </c>
      <c r="D15" s="8">
        <f t="shared" si="0"/>
        <v>0</v>
      </c>
      <c r="E15" s="7" t="s">
        <v>39</v>
      </c>
      <c r="F15" s="8"/>
      <c r="G15" s="8"/>
      <c r="H15" s="2">
        <f t="shared" si="1"/>
        <v>0</v>
      </c>
      <c r="J15" s="8"/>
    </row>
    <row r="16" spans="1:12" x14ac:dyDescent="0.25">
      <c r="A16" s="1" t="s">
        <v>26</v>
      </c>
      <c r="B16" s="1" t="s">
        <v>103</v>
      </c>
      <c r="C16" s="8">
        <v>60000</v>
      </c>
      <c r="D16" s="8">
        <f t="shared" si="0"/>
        <v>0</v>
      </c>
      <c r="E16" s="7" t="s">
        <v>39</v>
      </c>
      <c r="F16" s="8"/>
      <c r="G16" s="8"/>
      <c r="H16" s="2">
        <f t="shared" si="1"/>
        <v>0</v>
      </c>
      <c r="J16" s="8">
        <v>270000</v>
      </c>
      <c r="K16" s="28">
        <v>42750</v>
      </c>
    </row>
    <row r="17" spans="1:11" x14ac:dyDescent="0.25">
      <c r="A17" s="1" t="s">
        <v>29</v>
      </c>
      <c r="B17" s="1" t="s">
        <v>115</v>
      </c>
      <c r="C17" s="8">
        <v>60000</v>
      </c>
      <c r="D17" s="8">
        <f t="shared" si="0"/>
        <v>0</v>
      </c>
      <c r="E17" s="7" t="s">
        <v>19</v>
      </c>
      <c r="F17" s="8"/>
      <c r="G17" s="8"/>
      <c r="H17" s="2">
        <f t="shared" si="1"/>
        <v>0</v>
      </c>
      <c r="J17" s="8"/>
    </row>
    <row r="18" spans="1:11" x14ac:dyDescent="0.25">
      <c r="A18" s="1" t="s">
        <v>125</v>
      </c>
      <c r="B18" s="1" t="s">
        <v>126</v>
      </c>
      <c r="C18" s="8">
        <v>60000</v>
      </c>
      <c r="D18" s="8">
        <f t="shared" si="0"/>
        <v>0</v>
      </c>
      <c r="E18" s="7" t="s">
        <v>39</v>
      </c>
      <c r="F18" s="8"/>
      <c r="G18" s="8"/>
      <c r="H18" s="2">
        <f t="shared" si="1"/>
        <v>0</v>
      </c>
      <c r="J18" s="8"/>
    </row>
    <row r="19" spans="1:11" x14ac:dyDescent="0.25">
      <c r="A19" s="1" t="s">
        <v>30</v>
      </c>
      <c r="B19" s="1" t="s">
        <v>128</v>
      </c>
      <c r="C19" s="8">
        <v>60000</v>
      </c>
      <c r="D19" s="8">
        <f t="shared" si="0"/>
        <v>0</v>
      </c>
      <c r="E19" s="7" t="s">
        <v>39</v>
      </c>
      <c r="F19" s="8"/>
      <c r="G19" s="8"/>
      <c r="H19" s="2">
        <f t="shared" si="1"/>
        <v>0</v>
      </c>
      <c r="J19" s="8"/>
    </row>
    <row r="20" spans="1:11" x14ac:dyDescent="0.25">
      <c r="A20" s="1" t="s">
        <v>32</v>
      </c>
      <c r="B20" s="1" t="s">
        <v>140</v>
      </c>
      <c r="C20" s="8">
        <v>60000</v>
      </c>
      <c r="D20" s="8">
        <f t="shared" si="0"/>
        <v>0</v>
      </c>
      <c r="E20" s="7" t="s">
        <v>19</v>
      </c>
      <c r="F20" s="8"/>
      <c r="G20" s="8"/>
      <c r="H20" s="2">
        <f t="shared" si="1"/>
        <v>0</v>
      </c>
      <c r="J20" s="8"/>
    </row>
    <row r="21" spans="1:11" x14ac:dyDescent="0.25">
      <c r="A21" s="1" t="s">
        <v>143</v>
      </c>
      <c r="B21" s="1" t="s">
        <v>144</v>
      </c>
      <c r="C21" s="8">
        <v>60000</v>
      </c>
      <c r="D21" s="8">
        <f t="shared" si="0"/>
        <v>0</v>
      </c>
      <c r="E21" s="7" t="s">
        <v>39</v>
      </c>
      <c r="F21" s="8"/>
      <c r="G21" s="8"/>
      <c r="H21" s="2">
        <f t="shared" si="1"/>
        <v>0</v>
      </c>
      <c r="J21" s="8"/>
    </row>
    <row r="22" spans="1:11" x14ac:dyDescent="0.25">
      <c r="A22" s="1" t="s">
        <v>143</v>
      </c>
      <c r="B22" s="1" t="s">
        <v>144</v>
      </c>
      <c r="C22" s="8">
        <v>60000</v>
      </c>
      <c r="D22" s="8">
        <f t="shared" si="0"/>
        <v>0</v>
      </c>
      <c r="E22" s="7" t="s">
        <v>39</v>
      </c>
      <c r="F22" s="8"/>
      <c r="G22" s="8"/>
      <c r="H22" s="2">
        <f t="shared" si="1"/>
        <v>0</v>
      </c>
      <c r="J22" s="8"/>
    </row>
    <row r="23" spans="1:11" x14ac:dyDescent="0.25">
      <c r="A23" s="1" t="s">
        <v>33</v>
      </c>
      <c r="B23" s="1" t="s">
        <v>145</v>
      </c>
      <c r="C23" s="8">
        <v>60000</v>
      </c>
      <c r="D23" s="8">
        <f t="shared" si="0"/>
        <v>0</v>
      </c>
      <c r="E23" s="7" t="s">
        <v>39</v>
      </c>
      <c r="F23" s="8"/>
      <c r="G23" s="8"/>
      <c r="H23" s="2">
        <f t="shared" si="1"/>
        <v>0</v>
      </c>
      <c r="J23" s="8"/>
    </row>
    <row r="24" spans="1:11" x14ac:dyDescent="0.25">
      <c r="A24" s="1" t="s">
        <v>151</v>
      </c>
      <c r="B24" s="1" t="s">
        <v>152</v>
      </c>
      <c r="C24" s="8">
        <v>60000</v>
      </c>
      <c r="D24" s="8">
        <f t="shared" si="0"/>
        <v>0</v>
      </c>
      <c r="E24" s="7" t="s">
        <v>19</v>
      </c>
      <c r="F24" s="8"/>
      <c r="G24" s="8"/>
      <c r="H24" s="2">
        <f t="shared" si="1"/>
        <v>0</v>
      </c>
      <c r="J24" s="8"/>
    </row>
    <row r="25" spans="1:11" x14ac:dyDescent="0.25">
      <c r="A25" s="1" t="s">
        <v>36</v>
      </c>
      <c r="B25" s="1" t="s">
        <v>161</v>
      </c>
      <c r="C25" s="8">
        <v>60000</v>
      </c>
      <c r="D25" s="8">
        <f t="shared" si="0"/>
        <v>0</v>
      </c>
      <c r="E25" s="7" t="s">
        <v>39</v>
      </c>
      <c r="F25" s="8"/>
      <c r="G25" s="8"/>
      <c r="H25" s="2">
        <f t="shared" si="1"/>
        <v>0</v>
      </c>
      <c r="J25" s="8">
        <v>271000</v>
      </c>
      <c r="K25" s="28">
        <v>42750</v>
      </c>
    </row>
    <row r="26" spans="1:11" x14ac:dyDescent="0.25">
      <c r="A26" s="1" t="s">
        <v>165</v>
      </c>
      <c r="B26" s="1" t="s">
        <v>166</v>
      </c>
      <c r="C26" s="8">
        <v>60000</v>
      </c>
      <c r="D26" s="8">
        <f t="shared" si="0"/>
        <v>0</v>
      </c>
      <c r="E26" s="7" t="s">
        <v>39</v>
      </c>
      <c r="F26" s="8"/>
      <c r="G26" s="8"/>
      <c r="H26" s="2">
        <f t="shared" si="1"/>
        <v>0</v>
      </c>
      <c r="J26" s="8"/>
    </row>
    <row r="27" spans="1:11" x14ac:dyDescent="0.25">
      <c r="A27" s="1" t="s">
        <v>165</v>
      </c>
      <c r="B27" s="1" t="s">
        <v>166</v>
      </c>
      <c r="C27" s="8">
        <v>60000</v>
      </c>
      <c r="D27" s="8">
        <f t="shared" si="0"/>
        <v>0</v>
      </c>
      <c r="E27" s="7" t="s">
        <v>39</v>
      </c>
      <c r="F27" s="8"/>
      <c r="G27" s="8"/>
      <c r="H27" s="2">
        <f t="shared" si="1"/>
        <v>0</v>
      </c>
      <c r="J27" s="8"/>
    </row>
    <row r="28" spans="1:11" x14ac:dyDescent="0.25">
      <c r="A28" s="1" t="s">
        <v>171</v>
      </c>
      <c r="B28" s="1" t="s">
        <v>172</v>
      </c>
      <c r="C28" s="8">
        <v>60000</v>
      </c>
      <c r="D28" s="8">
        <f t="shared" si="0"/>
        <v>0</v>
      </c>
      <c r="E28" s="7" t="s">
        <v>39</v>
      </c>
      <c r="F28" s="8"/>
      <c r="G28" s="8"/>
      <c r="H28" s="2">
        <f t="shared" si="1"/>
        <v>0</v>
      </c>
      <c r="J28" s="8"/>
    </row>
    <row r="29" spans="1:11" x14ac:dyDescent="0.25">
      <c r="A29" s="1" t="s">
        <v>175</v>
      </c>
      <c r="B29" s="1" t="s">
        <v>176</v>
      </c>
      <c r="C29" s="8">
        <v>60000</v>
      </c>
      <c r="D29" s="8">
        <f t="shared" si="0"/>
        <v>0</v>
      </c>
      <c r="E29" s="7" t="s">
        <v>19</v>
      </c>
      <c r="F29" s="8"/>
      <c r="G29" s="8"/>
      <c r="H29" s="2">
        <f t="shared" si="1"/>
        <v>0</v>
      </c>
      <c r="J29" s="8"/>
    </row>
    <row r="30" spans="1:11" x14ac:dyDescent="0.25">
      <c r="A30" s="1" t="s">
        <v>175</v>
      </c>
      <c r="B30" s="1" t="s">
        <v>176</v>
      </c>
      <c r="C30" s="8">
        <v>60000</v>
      </c>
      <c r="D30" s="8">
        <f t="shared" si="0"/>
        <v>0</v>
      </c>
      <c r="E30" s="7" t="s">
        <v>19</v>
      </c>
      <c r="F30" s="8"/>
      <c r="G30" s="8"/>
      <c r="J30" s="8"/>
    </row>
    <row r="31" spans="1:11" x14ac:dyDescent="0.25">
      <c r="A31" s="1"/>
      <c r="B31" s="1"/>
      <c r="C31" s="8"/>
      <c r="D31" s="8"/>
      <c r="E31" s="7"/>
      <c r="F31" s="8"/>
      <c r="G31" s="8"/>
      <c r="J31" s="8"/>
    </row>
    <row r="32" spans="1:11" ht="18" x14ac:dyDescent="0.25">
      <c r="A32" s="9" t="s">
        <v>38</v>
      </c>
      <c r="B32" s="9"/>
      <c r="C32" s="10">
        <f>SUM(C6:C31)</f>
        <v>1500000</v>
      </c>
      <c r="D32" s="10">
        <f>SUM(D6:D31)</f>
        <v>0</v>
      </c>
      <c r="E32" s="10"/>
      <c r="F32" s="10">
        <f>SUM(F6:F31)</f>
        <v>41000</v>
      </c>
      <c r="G32" s="10">
        <f>SUM(G6:G31)</f>
        <v>1000</v>
      </c>
      <c r="H32" s="10">
        <f>SUM(H6:H31)</f>
        <v>0</v>
      </c>
      <c r="I32" s="10">
        <f>SUM(I6:I31)</f>
        <v>0</v>
      </c>
      <c r="J32" s="10">
        <f>SUM(J6:J31)</f>
        <v>541000</v>
      </c>
    </row>
  </sheetData>
  <autoFilter ref="A5:J17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C24" activePane="bottomRight" state="frozen"/>
      <selection activeCell="I3" sqref="I3"/>
      <selection pane="topRight" activeCell="I3" sqref="I3"/>
      <selection pane="bottomLeft" activeCell="I3" sqref="I3"/>
      <selection pane="bottomRight" activeCell="H28" sqref="H28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  <col min="11" max="11" width="14.85546875" style="25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60000</v>
      </c>
    </row>
    <row r="4" spans="1:12" ht="18" x14ac:dyDescent="0.25">
      <c r="B4" s="5"/>
      <c r="C4" s="31">
        <v>42785</v>
      </c>
      <c r="D4" s="32"/>
      <c r="E4" s="32"/>
      <c r="F4" s="32"/>
      <c r="G4" s="32"/>
      <c r="H4" s="32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26" t="s">
        <v>15</v>
      </c>
      <c r="L5" s="6" t="s">
        <v>181</v>
      </c>
    </row>
    <row r="6" spans="1:12" x14ac:dyDescent="0.25">
      <c r="A6" s="1" t="s">
        <v>17</v>
      </c>
      <c r="B6" s="1" t="s">
        <v>53</v>
      </c>
      <c r="C6" s="8">
        <v>60000</v>
      </c>
      <c r="D6" s="8">
        <f t="shared" ref="D6:D30" si="0">IF(E6="ESPECES",1000,0)</f>
        <v>0</v>
      </c>
      <c r="E6" s="7" t="s">
        <v>19</v>
      </c>
      <c r="F6" s="8"/>
      <c r="G6" s="8"/>
      <c r="H6" s="8">
        <f>TONTJANV!H6</f>
        <v>0</v>
      </c>
      <c r="I6" s="8"/>
      <c r="J6" s="8"/>
      <c r="K6" s="27"/>
    </row>
    <row r="7" spans="1:12" x14ac:dyDescent="0.25">
      <c r="A7" s="1" t="s">
        <v>56</v>
      </c>
      <c r="B7" s="1" t="s">
        <v>57</v>
      </c>
      <c r="C7" s="8">
        <v>60000</v>
      </c>
      <c r="D7" s="8">
        <f t="shared" si="0"/>
        <v>0</v>
      </c>
      <c r="E7" s="7" t="s">
        <v>19</v>
      </c>
      <c r="F7" s="8">
        <v>23000</v>
      </c>
      <c r="G7" s="8">
        <v>3500</v>
      </c>
      <c r="H7" s="8">
        <v>26500</v>
      </c>
      <c r="I7" s="8"/>
      <c r="J7" s="8">
        <v>260000</v>
      </c>
      <c r="K7" s="27">
        <v>42785</v>
      </c>
    </row>
    <row r="8" spans="1:12" x14ac:dyDescent="0.25">
      <c r="A8" s="1" t="s">
        <v>56</v>
      </c>
      <c r="B8" s="1" t="s">
        <v>57</v>
      </c>
      <c r="C8" s="8">
        <v>60000</v>
      </c>
      <c r="D8" s="8">
        <f t="shared" si="0"/>
        <v>0</v>
      </c>
      <c r="E8" s="7" t="s">
        <v>19</v>
      </c>
      <c r="F8" s="8"/>
      <c r="G8" s="8"/>
      <c r="H8" s="8">
        <f>TONTJANV!H8</f>
        <v>0</v>
      </c>
      <c r="I8" s="8"/>
      <c r="J8" s="8"/>
      <c r="K8" s="27"/>
    </row>
    <row r="9" spans="1:12" x14ac:dyDescent="0.25">
      <c r="A9" s="1" t="s">
        <v>59</v>
      </c>
      <c r="B9" s="1" t="s">
        <v>60</v>
      </c>
      <c r="C9" s="8">
        <v>60000</v>
      </c>
      <c r="D9" s="8">
        <f t="shared" si="0"/>
        <v>0</v>
      </c>
      <c r="E9" s="7" t="s">
        <v>19</v>
      </c>
      <c r="F9" s="8"/>
      <c r="G9" s="8"/>
      <c r="H9" s="8">
        <f>TONTJANV!H9</f>
        <v>0</v>
      </c>
      <c r="I9" s="8"/>
      <c r="J9" s="8"/>
      <c r="K9" s="27"/>
    </row>
    <row r="10" spans="1:12" x14ac:dyDescent="0.25">
      <c r="A10" s="1" t="s">
        <v>59</v>
      </c>
      <c r="B10" s="1" t="s">
        <v>60</v>
      </c>
      <c r="C10" s="8">
        <v>60000</v>
      </c>
      <c r="D10" s="8">
        <f t="shared" si="0"/>
        <v>0</v>
      </c>
      <c r="E10" s="7" t="s">
        <v>19</v>
      </c>
      <c r="F10" s="8"/>
      <c r="G10" s="8"/>
      <c r="H10" s="8">
        <f>TONTJANV!H10</f>
        <v>0</v>
      </c>
      <c r="I10" s="8"/>
      <c r="J10" s="8"/>
      <c r="K10" s="27"/>
    </row>
    <row r="11" spans="1:12" x14ac:dyDescent="0.25">
      <c r="A11" s="1" t="s">
        <v>59</v>
      </c>
      <c r="B11" s="1" t="s">
        <v>60</v>
      </c>
      <c r="C11" s="8">
        <v>60000</v>
      </c>
      <c r="D11" s="8">
        <f t="shared" si="0"/>
        <v>0</v>
      </c>
      <c r="E11" s="7" t="s">
        <v>19</v>
      </c>
      <c r="F11" s="8"/>
      <c r="G11" s="8"/>
      <c r="H11" s="8">
        <f>TONTJANV!H11</f>
        <v>0</v>
      </c>
      <c r="I11" s="8"/>
      <c r="J11" s="8"/>
      <c r="K11" s="27"/>
    </row>
    <row r="12" spans="1:12" x14ac:dyDescent="0.25">
      <c r="A12" s="1" t="s">
        <v>77</v>
      </c>
      <c r="B12" s="1" t="s">
        <v>78</v>
      </c>
      <c r="C12" s="8">
        <v>60000</v>
      </c>
      <c r="D12" s="8">
        <f t="shared" si="0"/>
        <v>0</v>
      </c>
      <c r="E12" s="7" t="s">
        <v>19</v>
      </c>
      <c r="F12" s="8"/>
      <c r="G12" s="8"/>
      <c r="H12" s="8">
        <f>TONTJANV!H12</f>
        <v>0</v>
      </c>
      <c r="I12" s="8"/>
      <c r="J12" s="8">
        <v>271000</v>
      </c>
      <c r="K12" s="27">
        <v>42785</v>
      </c>
    </row>
    <row r="13" spans="1:12" x14ac:dyDescent="0.25">
      <c r="A13" s="1" t="s">
        <v>81</v>
      </c>
      <c r="B13" s="1" t="s">
        <v>82</v>
      </c>
      <c r="C13" s="8">
        <v>60000</v>
      </c>
      <c r="D13" s="8">
        <f t="shared" si="0"/>
        <v>0</v>
      </c>
      <c r="E13" s="7" t="s">
        <v>19</v>
      </c>
      <c r="F13" s="8"/>
      <c r="G13" s="8"/>
      <c r="H13" s="8">
        <f>TONTJANV!H13</f>
        <v>0</v>
      </c>
      <c r="I13" s="8"/>
      <c r="J13" s="8"/>
      <c r="K13" s="27"/>
    </row>
    <row r="14" spans="1:12" x14ac:dyDescent="0.25">
      <c r="A14" s="1" t="s">
        <v>92</v>
      </c>
      <c r="B14" s="1" t="s">
        <v>93</v>
      </c>
      <c r="C14" s="8">
        <v>60000</v>
      </c>
      <c r="D14" s="8">
        <f t="shared" si="0"/>
        <v>0</v>
      </c>
      <c r="E14" s="7" t="s">
        <v>19</v>
      </c>
      <c r="F14" s="8"/>
      <c r="G14" s="8"/>
      <c r="H14" s="8">
        <f>TONTJANV!H14</f>
        <v>0</v>
      </c>
      <c r="I14" s="8"/>
      <c r="J14" s="8"/>
      <c r="K14" s="27"/>
    </row>
    <row r="15" spans="1:12" x14ac:dyDescent="0.25">
      <c r="A15" s="1" t="s">
        <v>25</v>
      </c>
      <c r="B15" s="1" t="s">
        <v>101</v>
      </c>
      <c r="C15" s="8">
        <v>60000</v>
      </c>
      <c r="D15" s="8">
        <f t="shared" si="0"/>
        <v>0</v>
      </c>
      <c r="E15" s="7" t="s">
        <v>19</v>
      </c>
      <c r="F15" s="8"/>
      <c r="G15" s="8"/>
      <c r="H15" s="8">
        <f>TONTJANV!H15</f>
        <v>0</v>
      </c>
      <c r="I15" s="8"/>
      <c r="J15" s="8"/>
      <c r="K15" s="27"/>
    </row>
    <row r="16" spans="1:12" x14ac:dyDescent="0.25">
      <c r="A16" s="1" t="s">
        <v>26</v>
      </c>
      <c r="B16" s="1" t="s">
        <v>103</v>
      </c>
      <c r="C16" s="8">
        <v>60000</v>
      </c>
      <c r="D16" s="8">
        <f t="shared" si="0"/>
        <v>0</v>
      </c>
      <c r="E16" s="7" t="s">
        <v>19</v>
      </c>
      <c r="F16" s="8"/>
      <c r="G16" s="8"/>
      <c r="H16" s="8">
        <f>TONTJANV!H16</f>
        <v>0</v>
      </c>
      <c r="I16" s="8"/>
      <c r="J16" s="8">
        <v>270000</v>
      </c>
      <c r="K16" s="27">
        <v>42750</v>
      </c>
    </row>
    <row r="17" spans="1:11" x14ac:dyDescent="0.25">
      <c r="A17" s="1" t="s">
        <v>29</v>
      </c>
      <c r="B17" s="1" t="s">
        <v>115</v>
      </c>
      <c r="C17" s="8">
        <v>60000</v>
      </c>
      <c r="D17" s="8">
        <f t="shared" si="0"/>
        <v>0</v>
      </c>
      <c r="E17" s="7" t="s">
        <v>19</v>
      </c>
      <c r="F17" s="8"/>
      <c r="G17" s="8"/>
      <c r="H17" s="8">
        <f>TONTJANV!H17</f>
        <v>0</v>
      </c>
      <c r="I17" s="8"/>
      <c r="J17" s="8"/>
      <c r="K17" s="27"/>
    </row>
    <row r="18" spans="1:11" x14ac:dyDescent="0.25">
      <c r="A18" s="1" t="s">
        <v>125</v>
      </c>
      <c r="B18" s="1" t="s">
        <v>126</v>
      </c>
      <c r="C18" s="8">
        <v>60000</v>
      </c>
      <c r="D18" s="8">
        <f t="shared" si="0"/>
        <v>0</v>
      </c>
      <c r="E18" s="7" t="s">
        <v>19</v>
      </c>
      <c r="F18" s="8"/>
      <c r="G18" s="8"/>
      <c r="H18" s="8">
        <f>TONTJANV!H18</f>
        <v>0</v>
      </c>
      <c r="I18" s="8"/>
      <c r="J18" s="8"/>
      <c r="K18" s="27"/>
    </row>
    <row r="19" spans="1:11" x14ac:dyDescent="0.25">
      <c r="A19" s="1" t="s">
        <v>30</v>
      </c>
      <c r="B19" s="1" t="s">
        <v>128</v>
      </c>
      <c r="C19" s="8">
        <v>60000</v>
      </c>
      <c r="D19" s="8">
        <f t="shared" si="0"/>
        <v>0</v>
      </c>
      <c r="E19" s="7" t="s">
        <v>19</v>
      </c>
      <c r="F19" s="8"/>
      <c r="G19" s="8"/>
      <c r="H19" s="8">
        <f>TONTJANV!H19</f>
        <v>0</v>
      </c>
      <c r="I19" s="8"/>
      <c r="J19" s="8"/>
      <c r="K19" s="27"/>
    </row>
    <row r="20" spans="1:11" x14ac:dyDescent="0.25">
      <c r="A20" s="1" t="s">
        <v>32</v>
      </c>
      <c r="B20" s="1" t="s">
        <v>140</v>
      </c>
      <c r="C20" s="8">
        <v>60000</v>
      </c>
      <c r="D20" s="8">
        <f t="shared" si="0"/>
        <v>0</v>
      </c>
      <c r="E20" s="7" t="s">
        <v>19</v>
      </c>
      <c r="F20" s="8"/>
      <c r="G20" s="8"/>
      <c r="H20" s="8">
        <f>TONTJANV!H20</f>
        <v>0</v>
      </c>
      <c r="I20" s="8"/>
      <c r="J20" s="8"/>
      <c r="K20" s="27"/>
    </row>
    <row r="21" spans="1:11" x14ac:dyDescent="0.25">
      <c r="A21" s="1" t="s">
        <v>143</v>
      </c>
      <c r="B21" s="1" t="s">
        <v>144</v>
      </c>
      <c r="C21" s="8">
        <v>60000</v>
      </c>
      <c r="D21" s="8">
        <f t="shared" si="0"/>
        <v>0</v>
      </c>
      <c r="E21" s="7" t="s">
        <v>19</v>
      </c>
      <c r="F21" s="8"/>
      <c r="G21" s="8"/>
      <c r="H21" s="8">
        <f>TONTJANV!H21</f>
        <v>0</v>
      </c>
      <c r="I21" s="8"/>
      <c r="J21" s="8"/>
      <c r="K21" s="27"/>
    </row>
    <row r="22" spans="1:11" x14ac:dyDescent="0.25">
      <c r="A22" s="1" t="s">
        <v>143</v>
      </c>
      <c r="B22" s="1" t="s">
        <v>144</v>
      </c>
      <c r="C22" s="8">
        <v>60000</v>
      </c>
      <c r="D22" s="8"/>
      <c r="E22" s="7" t="s">
        <v>19</v>
      </c>
      <c r="F22" s="8"/>
      <c r="G22" s="8"/>
      <c r="H22" s="8">
        <f>TONTJANV!H22</f>
        <v>0</v>
      </c>
      <c r="I22" s="8"/>
      <c r="J22" s="8"/>
      <c r="K22" s="27"/>
    </row>
    <row r="23" spans="1:11" x14ac:dyDescent="0.25">
      <c r="A23" s="1" t="s">
        <v>33</v>
      </c>
      <c r="B23" s="1" t="s">
        <v>145</v>
      </c>
      <c r="C23" s="8">
        <v>60000</v>
      </c>
      <c r="D23" s="8">
        <f t="shared" si="0"/>
        <v>0</v>
      </c>
      <c r="E23" s="7" t="s">
        <v>19</v>
      </c>
      <c r="F23" s="8"/>
      <c r="G23" s="8"/>
      <c r="H23" s="8">
        <f>TONTJANV!H23</f>
        <v>0</v>
      </c>
      <c r="I23" s="8"/>
      <c r="J23" s="8"/>
      <c r="K23" s="27"/>
    </row>
    <row r="24" spans="1:11" x14ac:dyDescent="0.25">
      <c r="A24" s="1" t="s">
        <v>151</v>
      </c>
      <c r="B24" s="1" t="s">
        <v>152</v>
      </c>
      <c r="C24" s="8">
        <v>60000</v>
      </c>
      <c r="D24" s="8">
        <f t="shared" si="0"/>
        <v>0</v>
      </c>
      <c r="E24" s="7" t="s">
        <v>19</v>
      </c>
      <c r="F24" s="8"/>
      <c r="G24" s="8"/>
      <c r="H24" s="8">
        <f>TONTJANV!H24</f>
        <v>0</v>
      </c>
      <c r="I24" s="8"/>
      <c r="J24" s="8"/>
      <c r="K24" s="27"/>
    </row>
    <row r="25" spans="1:11" x14ac:dyDescent="0.25">
      <c r="A25" s="1" t="s">
        <v>36</v>
      </c>
      <c r="B25" s="1" t="s">
        <v>161</v>
      </c>
      <c r="C25" s="8">
        <v>60000</v>
      </c>
      <c r="D25" s="8">
        <f t="shared" si="0"/>
        <v>0</v>
      </c>
      <c r="E25" s="7" t="s">
        <v>19</v>
      </c>
      <c r="F25" s="8"/>
      <c r="G25" s="8"/>
      <c r="H25" s="8">
        <f>TONTJANV!H25</f>
        <v>0</v>
      </c>
      <c r="I25" s="8"/>
      <c r="J25" s="8">
        <v>271000</v>
      </c>
      <c r="K25" s="27">
        <v>42750</v>
      </c>
    </row>
    <row r="26" spans="1:11" x14ac:dyDescent="0.25">
      <c r="A26" s="1" t="s">
        <v>165</v>
      </c>
      <c r="B26" s="1" t="s">
        <v>166</v>
      </c>
      <c r="C26" s="8">
        <v>60000</v>
      </c>
      <c r="D26" s="8">
        <f t="shared" si="0"/>
        <v>0</v>
      </c>
      <c r="E26" s="7" t="s">
        <v>19</v>
      </c>
      <c r="F26" s="8">
        <f>25000+25000</f>
        <v>50000</v>
      </c>
      <c r="G26" s="8">
        <f>3500+4500</f>
        <v>8000</v>
      </c>
      <c r="H26" s="8">
        <v>58000</v>
      </c>
      <c r="I26" s="8"/>
      <c r="J26" s="8"/>
      <c r="K26" s="27"/>
    </row>
    <row r="27" spans="1:11" x14ac:dyDescent="0.25">
      <c r="A27" s="1" t="s">
        <v>165</v>
      </c>
      <c r="B27" s="1" t="s">
        <v>166</v>
      </c>
      <c r="C27" s="8">
        <v>60000</v>
      </c>
      <c r="D27" s="8"/>
      <c r="E27" s="7" t="s">
        <v>19</v>
      </c>
      <c r="F27" s="8"/>
      <c r="G27" s="8"/>
      <c r="H27" s="8">
        <f>TONTJANV!H27</f>
        <v>0</v>
      </c>
      <c r="I27" s="8"/>
      <c r="J27" s="8"/>
      <c r="K27" s="27"/>
    </row>
    <row r="28" spans="1:11" x14ac:dyDescent="0.25">
      <c r="A28" s="1" t="s">
        <v>171</v>
      </c>
      <c r="B28" s="1" t="s">
        <v>172</v>
      </c>
      <c r="C28" s="8">
        <v>60000</v>
      </c>
      <c r="D28" s="8">
        <f t="shared" si="0"/>
        <v>0</v>
      </c>
      <c r="E28" s="7" t="s">
        <v>19</v>
      </c>
      <c r="F28" s="8"/>
      <c r="G28" s="8"/>
      <c r="H28" s="8">
        <f>TONTJANV!H28</f>
        <v>0</v>
      </c>
      <c r="I28" s="8"/>
      <c r="J28" s="8"/>
      <c r="K28" s="27"/>
    </row>
    <row r="29" spans="1:11" x14ac:dyDescent="0.25">
      <c r="A29" s="1" t="s">
        <v>175</v>
      </c>
      <c r="B29" s="1" t="s">
        <v>176</v>
      </c>
      <c r="C29" s="8">
        <v>60000</v>
      </c>
      <c r="D29" s="8">
        <f t="shared" si="0"/>
        <v>0</v>
      </c>
      <c r="E29" s="7" t="s">
        <v>19</v>
      </c>
      <c r="F29" s="8"/>
      <c r="G29" s="8"/>
      <c r="H29" s="8">
        <f>TONTJANV!H29</f>
        <v>0</v>
      </c>
      <c r="I29" s="8"/>
      <c r="J29" s="8"/>
      <c r="K29" s="27"/>
    </row>
    <row r="30" spans="1:11" x14ac:dyDescent="0.25">
      <c r="A30" s="1" t="s">
        <v>175</v>
      </c>
      <c r="B30" s="1" t="s">
        <v>176</v>
      </c>
      <c r="C30" s="8">
        <v>60000</v>
      </c>
      <c r="D30" s="8">
        <f t="shared" si="0"/>
        <v>0</v>
      </c>
      <c r="E30" s="7" t="s">
        <v>19</v>
      </c>
      <c r="F30" s="8"/>
      <c r="G30" s="8"/>
      <c r="H30" s="8">
        <f>TONTJANV!H30</f>
        <v>0</v>
      </c>
      <c r="I30" s="8"/>
      <c r="J30" s="8"/>
      <c r="K30" s="27"/>
    </row>
    <row r="31" spans="1:11" x14ac:dyDescent="0.25">
      <c r="A31" s="1"/>
      <c r="B31" s="1"/>
      <c r="C31" s="8"/>
      <c r="D31" s="8"/>
      <c r="E31" s="7"/>
      <c r="F31" s="8"/>
      <c r="G31" s="8"/>
      <c r="J31" s="8"/>
    </row>
    <row r="32" spans="1:11" ht="18" x14ac:dyDescent="0.25">
      <c r="A32" s="9" t="s">
        <v>38</v>
      </c>
      <c r="B32" s="9"/>
      <c r="C32" s="10">
        <f>SUM(C6:C31)</f>
        <v>1500000</v>
      </c>
      <c r="D32" s="10">
        <f>SUM(D6:D31)</f>
        <v>0</v>
      </c>
      <c r="E32" s="10"/>
      <c r="F32" s="10">
        <f>SUM(F6:F31)</f>
        <v>73000</v>
      </c>
      <c r="G32" s="10">
        <f>SUM(G6:G31)</f>
        <v>11500</v>
      </c>
      <c r="H32" s="10">
        <f>SUM(H6:H31)</f>
        <v>84500</v>
      </c>
      <c r="I32" s="10">
        <f>SUM(I6:I31)</f>
        <v>0</v>
      </c>
      <c r="J32" s="10">
        <f>SUM(J6:J31)</f>
        <v>1072000</v>
      </c>
    </row>
    <row r="36" spans="2:3" ht="18" x14ac:dyDescent="0.25">
      <c r="B36" s="10" t="s">
        <v>39</v>
      </c>
    </row>
    <row r="37" spans="2:3" ht="18" x14ac:dyDescent="0.25">
      <c r="B37" s="10" t="s">
        <v>19</v>
      </c>
      <c r="C37" s="10">
        <f>C32-C36</f>
        <v>1500000</v>
      </c>
    </row>
    <row r="38" spans="2:3" ht="18" x14ac:dyDescent="0.25">
      <c r="B38" s="10" t="s">
        <v>12</v>
      </c>
      <c r="C38" s="10">
        <f>H32</f>
        <v>84500</v>
      </c>
    </row>
  </sheetData>
  <autoFilter ref="A5:J17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C18" activePane="bottomRight" state="frozen"/>
      <selection activeCell="I3" sqref="I3"/>
      <selection pane="topRight" activeCell="I3" sqref="I3"/>
      <selection pane="bottomLeft" activeCell="I3" sqref="I3"/>
      <selection pane="bottomRight" activeCell="D6" sqref="D6:D3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  <col min="11" max="11" width="14.85546875" style="25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60000</v>
      </c>
    </row>
    <row r="4" spans="1:12" ht="18" x14ac:dyDescent="0.25">
      <c r="B4" s="5"/>
      <c r="C4" s="31">
        <v>42813</v>
      </c>
      <c r="D4" s="32"/>
      <c r="E4" s="32"/>
      <c r="F4" s="32"/>
      <c r="G4" s="32"/>
      <c r="H4" s="32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26" t="s">
        <v>15</v>
      </c>
      <c r="L5" s="6" t="s">
        <v>181</v>
      </c>
    </row>
    <row r="6" spans="1:12" x14ac:dyDescent="0.25">
      <c r="A6" s="1" t="s">
        <v>17</v>
      </c>
      <c r="B6" s="1" t="s">
        <v>53</v>
      </c>
      <c r="C6" s="8">
        <v>60000</v>
      </c>
      <c r="D6" s="8">
        <f t="shared" ref="D6:D30" si="0">IF(E6="ESPECES",0,0)</f>
        <v>0</v>
      </c>
      <c r="E6" s="7" t="s">
        <v>39</v>
      </c>
      <c r="F6" s="8"/>
      <c r="G6" s="8"/>
      <c r="H6" s="8">
        <f>TONTJANV!H6</f>
        <v>0</v>
      </c>
      <c r="I6" s="8"/>
      <c r="J6" s="8"/>
      <c r="K6" s="27"/>
    </row>
    <row r="7" spans="1:12" x14ac:dyDescent="0.25">
      <c r="A7" s="1" t="s">
        <v>56</v>
      </c>
      <c r="B7" s="1" t="s">
        <v>57</v>
      </c>
      <c r="C7" s="8">
        <v>60000</v>
      </c>
      <c r="D7" s="8">
        <f t="shared" si="0"/>
        <v>0</v>
      </c>
      <c r="E7" s="7" t="s">
        <v>39</v>
      </c>
      <c r="F7" s="8">
        <v>100000</v>
      </c>
      <c r="G7" s="8">
        <v>2000</v>
      </c>
      <c r="H7" s="8">
        <f>TONTJANV!H7</f>
        <v>0</v>
      </c>
      <c r="I7" s="8"/>
      <c r="J7" s="8">
        <v>260000</v>
      </c>
      <c r="K7" s="27">
        <v>42785</v>
      </c>
    </row>
    <row r="8" spans="1:12" x14ac:dyDescent="0.25">
      <c r="A8" s="1" t="s">
        <v>56</v>
      </c>
      <c r="B8" s="1" t="s">
        <v>57</v>
      </c>
      <c r="C8" s="8">
        <v>60000</v>
      </c>
      <c r="D8" s="8">
        <f t="shared" si="0"/>
        <v>0</v>
      </c>
      <c r="E8" s="7" t="s">
        <v>39</v>
      </c>
      <c r="F8" s="8"/>
      <c r="G8" s="8"/>
      <c r="H8" s="8">
        <f>TONTJANV!H8</f>
        <v>0</v>
      </c>
      <c r="I8" s="8"/>
      <c r="J8" s="8"/>
      <c r="K8" s="27"/>
    </row>
    <row r="9" spans="1:12" x14ac:dyDescent="0.25">
      <c r="A9" s="1" t="s">
        <v>59</v>
      </c>
      <c r="B9" s="1" t="s">
        <v>60</v>
      </c>
      <c r="C9" s="8">
        <v>60000</v>
      </c>
      <c r="D9" s="8">
        <f t="shared" si="0"/>
        <v>0</v>
      </c>
      <c r="E9" s="7" t="s">
        <v>19</v>
      </c>
      <c r="F9" s="8"/>
      <c r="G9" s="8"/>
      <c r="H9" s="8">
        <f>TONTJANV!H9</f>
        <v>0</v>
      </c>
      <c r="I9" s="8"/>
      <c r="J9" s="8">
        <v>110000</v>
      </c>
      <c r="K9" s="27">
        <v>42813</v>
      </c>
    </row>
    <row r="10" spans="1:12" x14ac:dyDescent="0.25">
      <c r="A10" s="1" t="s">
        <v>59</v>
      </c>
      <c r="B10" s="1" t="s">
        <v>60</v>
      </c>
      <c r="C10" s="8">
        <v>60000</v>
      </c>
      <c r="D10" s="8">
        <f t="shared" si="0"/>
        <v>0</v>
      </c>
      <c r="E10" s="7" t="s">
        <v>19</v>
      </c>
      <c r="F10" s="8"/>
      <c r="G10" s="8"/>
      <c r="H10" s="8">
        <f>TONTJANV!H10</f>
        <v>0</v>
      </c>
      <c r="I10" s="8"/>
      <c r="J10" s="8"/>
      <c r="K10" s="27"/>
    </row>
    <row r="11" spans="1:12" x14ac:dyDescent="0.25">
      <c r="A11" s="1" t="s">
        <v>59</v>
      </c>
      <c r="B11" s="1" t="s">
        <v>60</v>
      </c>
      <c r="C11" s="8">
        <v>60000</v>
      </c>
      <c r="D11" s="8">
        <f t="shared" si="0"/>
        <v>0</v>
      </c>
      <c r="E11" s="7" t="s">
        <v>19</v>
      </c>
      <c r="F11" s="8"/>
      <c r="G11" s="8"/>
      <c r="H11" s="8">
        <f>TONTJANV!H11</f>
        <v>0</v>
      </c>
      <c r="I11" s="8"/>
      <c r="J11" s="8"/>
      <c r="K11" s="27"/>
    </row>
    <row r="12" spans="1:12" x14ac:dyDescent="0.25">
      <c r="A12" s="1" t="s">
        <v>77</v>
      </c>
      <c r="B12" s="1" t="s">
        <v>78</v>
      </c>
      <c r="C12" s="8">
        <v>60000</v>
      </c>
      <c r="D12" s="8">
        <f t="shared" si="0"/>
        <v>0</v>
      </c>
      <c r="E12" s="7" t="s">
        <v>39</v>
      </c>
      <c r="F12" s="8">
        <f>50000+50000</f>
        <v>100000</v>
      </c>
      <c r="G12" s="8">
        <v>2000</v>
      </c>
      <c r="H12" s="8">
        <f>TONTJANV!H12</f>
        <v>0</v>
      </c>
      <c r="I12" s="8"/>
      <c r="J12" s="8">
        <v>271000</v>
      </c>
      <c r="K12" s="27">
        <v>42785</v>
      </c>
    </row>
    <row r="13" spans="1:12" x14ac:dyDescent="0.25">
      <c r="A13" s="1" t="s">
        <v>81</v>
      </c>
      <c r="B13" s="1" t="s">
        <v>82</v>
      </c>
      <c r="C13" s="8">
        <v>60000</v>
      </c>
      <c r="D13" s="8">
        <f t="shared" si="0"/>
        <v>0</v>
      </c>
      <c r="E13" s="7" t="s">
        <v>19</v>
      </c>
      <c r="F13" s="8"/>
      <c r="G13" s="8"/>
      <c r="H13" s="8">
        <f>TONTJANV!H13</f>
        <v>0</v>
      </c>
      <c r="I13" s="8"/>
      <c r="J13" s="8"/>
      <c r="K13" s="27"/>
    </row>
    <row r="14" spans="1:12" x14ac:dyDescent="0.25">
      <c r="A14" s="1" t="s">
        <v>92</v>
      </c>
      <c r="B14" s="1" t="s">
        <v>93</v>
      </c>
      <c r="C14" s="8">
        <v>60000</v>
      </c>
      <c r="D14" s="8">
        <f t="shared" si="0"/>
        <v>0</v>
      </c>
      <c r="E14" s="7" t="s">
        <v>19</v>
      </c>
      <c r="F14" s="8"/>
      <c r="G14" s="8"/>
      <c r="H14" s="8">
        <f>TONTJANV!H14</f>
        <v>0</v>
      </c>
      <c r="I14" s="8"/>
      <c r="J14" s="8"/>
      <c r="K14" s="27"/>
    </row>
    <row r="15" spans="1:12" x14ac:dyDescent="0.25">
      <c r="A15" s="1" t="s">
        <v>25</v>
      </c>
      <c r="B15" s="1" t="s">
        <v>101</v>
      </c>
      <c r="C15" s="8">
        <v>60000</v>
      </c>
      <c r="D15" s="8">
        <f t="shared" si="0"/>
        <v>0</v>
      </c>
      <c r="E15" s="7" t="s">
        <v>39</v>
      </c>
      <c r="F15" s="8"/>
      <c r="G15" s="8"/>
      <c r="H15" s="8">
        <f>TONTJANV!H15</f>
        <v>0</v>
      </c>
      <c r="I15" s="8"/>
      <c r="J15" s="8"/>
      <c r="K15" s="27"/>
    </row>
    <row r="16" spans="1:12" x14ac:dyDescent="0.25">
      <c r="A16" s="1" t="s">
        <v>26</v>
      </c>
      <c r="B16" s="1" t="s">
        <v>103</v>
      </c>
      <c r="C16" s="8">
        <v>60000</v>
      </c>
      <c r="D16" s="8">
        <f t="shared" si="0"/>
        <v>0</v>
      </c>
      <c r="E16" s="7" t="s">
        <v>19</v>
      </c>
      <c r="F16" s="8">
        <v>100000</v>
      </c>
      <c r="G16" s="8">
        <v>2000</v>
      </c>
      <c r="H16" s="8">
        <f>TONTJANV!H16</f>
        <v>0</v>
      </c>
      <c r="I16" s="8"/>
      <c r="J16" s="8">
        <v>270000</v>
      </c>
      <c r="K16" s="27">
        <v>42750</v>
      </c>
    </row>
    <row r="17" spans="1:11" x14ac:dyDescent="0.25">
      <c r="A17" s="1" t="s">
        <v>29</v>
      </c>
      <c r="B17" s="1" t="s">
        <v>115</v>
      </c>
      <c r="C17" s="8">
        <v>60000</v>
      </c>
      <c r="D17" s="8">
        <f t="shared" si="0"/>
        <v>0</v>
      </c>
      <c r="E17" s="7" t="s">
        <v>39</v>
      </c>
      <c r="F17" s="8"/>
      <c r="G17" s="8"/>
      <c r="H17" s="8">
        <f>TONTJANV!H17</f>
        <v>0</v>
      </c>
      <c r="I17" s="8"/>
      <c r="J17" s="8"/>
      <c r="K17" s="27"/>
    </row>
    <row r="18" spans="1:11" x14ac:dyDescent="0.25">
      <c r="A18" s="1" t="s">
        <v>125</v>
      </c>
      <c r="B18" s="1" t="s">
        <v>126</v>
      </c>
      <c r="C18" s="8">
        <v>60000</v>
      </c>
      <c r="D18" s="8">
        <f t="shared" si="0"/>
        <v>0</v>
      </c>
      <c r="E18" s="7" t="s">
        <v>39</v>
      </c>
      <c r="F18" s="8"/>
      <c r="G18" s="8"/>
      <c r="H18" s="8">
        <f>TONTJANV!H18</f>
        <v>0</v>
      </c>
      <c r="I18" s="8"/>
      <c r="J18" s="8"/>
      <c r="K18" s="27"/>
    </row>
    <row r="19" spans="1:11" x14ac:dyDescent="0.25">
      <c r="A19" s="1" t="s">
        <v>30</v>
      </c>
      <c r="B19" s="1" t="s">
        <v>128</v>
      </c>
      <c r="C19" s="8">
        <v>60000</v>
      </c>
      <c r="D19" s="8">
        <f t="shared" si="0"/>
        <v>0</v>
      </c>
      <c r="E19" s="7" t="s">
        <v>39</v>
      </c>
      <c r="F19" s="8">
        <v>100000</v>
      </c>
      <c r="G19" s="8">
        <v>2000</v>
      </c>
      <c r="H19" s="8">
        <f>TONTJANV!H19</f>
        <v>0</v>
      </c>
      <c r="I19" s="8"/>
      <c r="J19" s="8"/>
      <c r="K19" s="27"/>
    </row>
    <row r="20" spans="1:11" x14ac:dyDescent="0.25">
      <c r="A20" s="1" t="s">
        <v>32</v>
      </c>
      <c r="B20" s="1" t="s">
        <v>140</v>
      </c>
      <c r="C20" s="8">
        <v>60000</v>
      </c>
      <c r="D20" s="8">
        <f t="shared" si="0"/>
        <v>0</v>
      </c>
      <c r="E20" s="7" t="s">
        <v>19</v>
      </c>
      <c r="F20" s="8"/>
      <c r="G20" s="8"/>
      <c r="H20" s="8">
        <f>TONTJANV!H20</f>
        <v>0</v>
      </c>
      <c r="I20" s="8"/>
      <c r="J20" s="8"/>
      <c r="K20" s="27"/>
    </row>
    <row r="21" spans="1:11" x14ac:dyDescent="0.25">
      <c r="A21" s="1" t="s">
        <v>143</v>
      </c>
      <c r="B21" s="1" t="s">
        <v>144</v>
      </c>
      <c r="C21" s="8">
        <v>60000</v>
      </c>
      <c r="D21" s="8">
        <f t="shared" si="0"/>
        <v>0</v>
      </c>
      <c r="E21" s="7" t="s">
        <v>39</v>
      </c>
      <c r="F21" s="8">
        <v>100000</v>
      </c>
      <c r="G21" s="8">
        <v>2000</v>
      </c>
      <c r="H21" s="8">
        <f>TONTJANV!H21</f>
        <v>0</v>
      </c>
      <c r="I21" s="8"/>
      <c r="J21" s="8"/>
      <c r="K21" s="27"/>
    </row>
    <row r="22" spans="1:11" x14ac:dyDescent="0.25">
      <c r="A22" s="1" t="s">
        <v>143</v>
      </c>
      <c r="B22" s="1" t="s">
        <v>144</v>
      </c>
      <c r="C22" s="8">
        <v>60000</v>
      </c>
      <c r="D22" s="8">
        <f t="shared" si="0"/>
        <v>0</v>
      </c>
      <c r="E22" s="7" t="s">
        <v>39</v>
      </c>
      <c r="F22" s="8"/>
      <c r="G22" s="8"/>
      <c r="H22" s="8">
        <f>TONTJANV!H22</f>
        <v>0</v>
      </c>
      <c r="I22" s="8"/>
      <c r="J22" s="8"/>
      <c r="K22" s="27"/>
    </row>
    <row r="23" spans="1:11" x14ac:dyDescent="0.25">
      <c r="A23" s="1" t="s">
        <v>33</v>
      </c>
      <c r="B23" s="1" t="s">
        <v>145</v>
      </c>
      <c r="C23" s="8">
        <v>60000</v>
      </c>
      <c r="D23" s="8">
        <f t="shared" si="0"/>
        <v>0</v>
      </c>
      <c r="E23" s="7" t="s">
        <v>39</v>
      </c>
      <c r="F23" s="8"/>
      <c r="G23" s="8"/>
      <c r="H23" s="8">
        <f>TONTJANV!H23</f>
        <v>0</v>
      </c>
      <c r="I23" s="8"/>
      <c r="J23" s="8"/>
      <c r="K23" s="27"/>
    </row>
    <row r="24" spans="1:11" x14ac:dyDescent="0.25">
      <c r="A24" s="1" t="s">
        <v>151</v>
      </c>
      <c r="B24" s="1" t="s">
        <v>152</v>
      </c>
      <c r="C24" s="8">
        <v>60000</v>
      </c>
      <c r="D24" s="8">
        <f t="shared" si="0"/>
        <v>0</v>
      </c>
      <c r="E24" s="7" t="s">
        <v>19</v>
      </c>
      <c r="F24" s="8"/>
      <c r="G24" s="8"/>
      <c r="H24" s="8">
        <f>TONTJANV!H24</f>
        <v>0</v>
      </c>
      <c r="I24" s="8"/>
      <c r="J24" s="8"/>
      <c r="K24" s="27"/>
    </row>
    <row r="25" spans="1:11" x14ac:dyDescent="0.25">
      <c r="A25" s="1" t="s">
        <v>36</v>
      </c>
      <c r="B25" s="1" t="s">
        <v>161</v>
      </c>
      <c r="C25" s="8">
        <v>60000</v>
      </c>
      <c r="D25" s="8">
        <f t="shared" si="0"/>
        <v>0</v>
      </c>
      <c r="E25" s="7" t="s">
        <v>39</v>
      </c>
      <c r="F25" s="8">
        <v>100000</v>
      </c>
      <c r="G25" s="8">
        <v>2000</v>
      </c>
      <c r="H25" s="8">
        <f>TONTJANV!H25</f>
        <v>0</v>
      </c>
      <c r="I25" s="8"/>
      <c r="J25" s="8">
        <v>271000</v>
      </c>
      <c r="K25" s="27">
        <v>42750</v>
      </c>
    </row>
    <row r="26" spans="1:11" x14ac:dyDescent="0.25">
      <c r="A26" s="1" t="s">
        <v>165</v>
      </c>
      <c r="B26" s="1" t="s">
        <v>166</v>
      </c>
      <c r="C26" s="8">
        <v>60000</v>
      </c>
      <c r="D26" s="8">
        <f t="shared" si="0"/>
        <v>0</v>
      </c>
      <c r="E26" s="7" t="s">
        <v>19</v>
      </c>
      <c r="F26" s="8"/>
      <c r="G26" s="8"/>
      <c r="H26" s="8">
        <f>TONTJANV!H26</f>
        <v>0</v>
      </c>
      <c r="I26" s="8"/>
      <c r="J26" s="8"/>
      <c r="K26" s="27"/>
    </row>
    <row r="27" spans="1:11" x14ac:dyDescent="0.25">
      <c r="A27" s="1" t="s">
        <v>165</v>
      </c>
      <c r="B27" s="1" t="s">
        <v>166</v>
      </c>
      <c r="C27" s="8">
        <v>60000</v>
      </c>
      <c r="D27" s="8">
        <f t="shared" si="0"/>
        <v>0</v>
      </c>
      <c r="E27" s="7" t="s">
        <v>19</v>
      </c>
      <c r="F27" s="8"/>
      <c r="G27" s="8"/>
      <c r="H27" s="8">
        <f>TONTJANV!H27</f>
        <v>0</v>
      </c>
      <c r="I27" s="8"/>
      <c r="J27" s="8"/>
      <c r="K27" s="27"/>
    </row>
    <row r="28" spans="1:11" x14ac:dyDescent="0.25">
      <c r="A28" s="1" t="s">
        <v>171</v>
      </c>
      <c r="B28" s="1" t="s">
        <v>172</v>
      </c>
      <c r="C28" s="8">
        <v>60000</v>
      </c>
      <c r="D28" s="8">
        <f t="shared" si="0"/>
        <v>0</v>
      </c>
      <c r="E28" s="7" t="s">
        <v>39</v>
      </c>
      <c r="F28" s="8"/>
      <c r="G28" s="8"/>
      <c r="H28" s="8">
        <f>TONTJANV!H28</f>
        <v>0</v>
      </c>
      <c r="I28" s="8"/>
      <c r="J28" s="8"/>
      <c r="K28" s="27"/>
    </row>
    <row r="29" spans="1:11" x14ac:dyDescent="0.25">
      <c r="A29" s="1" t="s">
        <v>175</v>
      </c>
      <c r="B29" s="1" t="s">
        <v>176</v>
      </c>
      <c r="C29" s="8">
        <v>60000</v>
      </c>
      <c r="D29" s="8">
        <f t="shared" si="0"/>
        <v>0</v>
      </c>
      <c r="E29" s="7" t="s">
        <v>19</v>
      </c>
      <c r="F29" s="8"/>
      <c r="G29" s="8"/>
      <c r="H29" s="8">
        <f>TONTJANV!H29</f>
        <v>0</v>
      </c>
      <c r="I29" s="8"/>
      <c r="J29" s="8"/>
      <c r="K29" s="27"/>
    </row>
    <row r="30" spans="1:11" x14ac:dyDescent="0.25">
      <c r="A30" s="1" t="s">
        <v>175</v>
      </c>
      <c r="B30" s="1" t="s">
        <v>176</v>
      </c>
      <c r="C30" s="8">
        <v>60000</v>
      </c>
      <c r="D30" s="8">
        <f t="shared" si="0"/>
        <v>0</v>
      </c>
      <c r="E30" s="7" t="s">
        <v>19</v>
      </c>
      <c r="F30" s="8"/>
      <c r="G30" s="8"/>
      <c r="H30" s="8">
        <f>TONTJANV!H30</f>
        <v>0</v>
      </c>
      <c r="I30" s="8"/>
      <c r="J30" s="8"/>
      <c r="K30" s="27"/>
    </row>
    <row r="31" spans="1:11" x14ac:dyDescent="0.25">
      <c r="A31" s="1"/>
      <c r="B31" s="1"/>
      <c r="C31" s="8"/>
      <c r="D31" s="8"/>
      <c r="E31" s="7"/>
      <c r="F31" s="8"/>
      <c r="G31" s="8"/>
      <c r="J31" s="8"/>
    </row>
    <row r="32" spans="1:11" ht="18" x14ac:dyDescent="0.25">
      <c r="A32" s="9" t="s">
        <v>38</v>
      </c>
      <c r="B32" s="9"/>
      <c r="C32" s="10">
        <f>SUM(C6:C31)</f>
        <v>1500000</v>
      </c>
      <c r="D32" s="10">
        <f>SUM(D6:D31)</f>
        <v>0</v>
      </c>
      <c r="E32" s="10"/>
      <c r="F32" s="10">
        <f>SUM(F6:F31)</f>
        <v>600000</v>
      </c>
      <c r="G32" s="10">
        <f>SUM(G6:G31)</f>
        <v>12000</v>
      </c>
      <c r="H32" s="10">
        <f>SUM(H6:H31)</f>
        <v>0</v>
      </c>
      <c r="I32" s="10">
        <f>SUM(I6:I31)</f>
        <v>0</v>
      </c>
      <c r="J32" s="10">
        <f>SUM(J6:J31)</f>
        <v>1182000</v>
      </c>
    </row>
    <row r="34" spans="2:6" ht="18" x14ac:dyDescent="0.25">
      <c r="B34" t="s">
        <v>182</v>
      </c>
      <c r="F34" s="10">
        <v>94500</v>
      </c>
    </row>
    <row r="36" spans="2:6" ht="18" x14ac:dyDescent="0.25">
      <c r="B36" s="10" t="s">
        <v>39</v>
      </c>
      <c r="C36" s="10">
        <f>C32-C37</f>
        <v>780000</v>
      </c>
    </row>
    <row r="37" spans="2:6" ht="18" x14ac:dyDescent="0.25">
      <c r="B37" s="10" t="s">
        <v>19</v>
      </c>
      <c r="C37" s="10">
        <v>720000</v>
      </c>
    </row>
    <row r="38" spans="2:6" ht="18" x14ac:dyDescent="0.25">
      <c r="B38" s="10" t="s">
        <v>12</v>
      </c>
      <c r="C38" s="10">
        <f>H32</f>
        <v>0</v>
      </c>
    </row>
  </sheetData>
  <autoFilter ref="A5:J30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C6" activePane="bottomRight" state="frozen"/>
      <selection activeCell="I3" sqref="I3"/>
      <selection pane="topRight" activeCell="I3" sqref="I3"/>
      <selection pane="bottomLeft" activeCell="I3" sqref="I3"/>
      <selection pane="bottomRight" activeCell="A7" sqref="A7:XFD7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  <col min="11" max="11" width="14.85546875" style="25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60000</v>
      </c>
    </row>
    <row r="4" spans="1:12" ht="18" x14ac:dyDescent="0.25">
      <c r="B4" s="5"/>
      <c r="C4" s="31">
        <v>42841</v>
      </c>
      <c r="D4" s="32"/>
      <c r="E4" s="32"/>
      <c r="F4" s="32"/>
      <c r="G4" s="32"/>
      <c r="H4" s="32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26" t="s">
        <v>15</v>
      </c>
      <c r="L5" s="6" t="s">
        <v>181</v>
      </c>
    </row>
    <row r="6" spans="1:12" x14ac:dyDescent="0.25">
      <c r="A6" s="1" t="s">
        <v>17</v>
      </c>
      <c r="B6" s="1" t="s">
        <v>53</v>
      </c>
      <c r="C6" s="8">
        <f>IF(E6="ECHEC",0,60000)</f>
        <v>60000</v>
      </c>
      <c r="D6" s="8">
        <f t="shared" ref="D6:D30" si="0">IF(E6="ESPECES",0,0)</f>
        <v>0</v>
      </c>
      <c r="E6" s="7" t="s">
        <v>39</v>
      </c>
      <c r="F6" s="8"/>
      <c r="G6" s="8"/>
      <c r="H6" s="8">
        <f>TONTMARS!F6+TONTMARS!G6</f>
        <v>0</v>
      </c>
      <c r="I6" s="8"/>
      <c r="J6" s="8"/>
      <c r="K6" s="27"/>
    </row>
    <row r="7" spans="1:12" x14ac:dyDescent="0.25">
      <c r="A7" s="1" t="s">
        <v>56</v>
      </c>
      <c r="B7" s="1" t="s">
        <v>57</v>
      </c>
      <c r="C7" s="8">
        <f t="shared" ref="C7:C30" si="1">IF(E7="ECHEC",0,60000)</f>
        <v>60000</v>
      </c>
      <c r="D7" s="8">
        <f t="shared" si="0"/>
        <v>0</v>
      </c>
      <c r="E7" s="7" t="s">
        <v>39</v>
      </c>
      <c r="F7" s="8">
        <f>60000+60000</f>
        <v>120000</v>
      </c>
      <c r="G7" s="8">
        <f>5500+6000</f>
        <v>11500</v>
      </c>
      <c r="H7" s="8">
        <f>TONTMARS!F7+TONTMARS!G7</f>
        <v>102000</v>
      </c>
      <c r="I7" s="8" t="s">
        <v>183</v>
      </c>
      <c r="J7" s="8">
        <v>260000</v>
      </c>
      <c r="K7" s="27">
        <v>42785</v>
      </c>
    </row>
    <row r="8" spans="1:12" x14ac:dyDescent="0.25">
      <c r="A8" s="1" t="s">
        <v>56</v>
      </c>
      <c r="B8" s="1" t="s">
        <v>57</v>
      </c>
      <c r="C8" s="8">
        <f t="shared" si="1"/>
        <v>60000</v>
      </c>
      <c r="D8" s="8">
        <f t="shared" si="0"/>
        <v>0</v>
      </c>
      <c r="E8" s="7" t="s">
        <v>39</v>
      </c>
      <c r="F8" s="8"/>
      <c r="G8" s="8"/>
      <c r="H8" s="8">
        <f>TONTMARS!F8+TONTMARS!G8</f>
        <v>0</v>
      </c>
      <c r="I8" s="8"/>
      <c r="J8" s="8"/>
      <c r="K8" s="27"/>
    </row>
    <row r="9" spans="1:12" x14ac:dyDescent="0.25">
      <c r="A9" s="1" t="s">
        <v>59</v>
      </c>
      <c r="B9" s="1" t="s">
        <v>60</v>
      </c>
      <c r="C9" s="8">
        <f t="shared" si="1"/>
        <v>60000</v>
      </c>
      <c r="D9" s="8">
        <f t="shared" si="0"/>
        <v>0</v>
      </c>
      <c r="E9" s="7" t="s">
        <v>19</v>
      </c>
      <c r="F9" s="8"/>
      <c r="G9" s="8"/>
      <c r="H9" s="8">
        <f>TONTMARS!F9+TONTMARS!G9</f>
        <v>0</v>
      </c>
      <c r="I9" s="8"/>
      <c r="J9" s="8">
        <v>110000</v>
      </c>
      <c r="K9" s="27">
        <v>42813</v>
      </c>
    </row>
    <row r="10" spans="1:12" x14ac:dyDescent="0.25">
      <c r="A10" s="1" t="s">
        <v>59</v>
      </c>
      <c r="B10" s="1" t="s">
        <v>60</v>
      </c>
      <c r="C10" s="8">
        <f t="shared" si="1"/>
        <v>60000</v>
      </c>
      <c r="D10" s="8">
        <f t="shared" si="0"/>
        <v>0</v>
      </c>
      <c r="E10" s="7" t="s">
        <v>19</v>
      </c>
      <c r="F10" s="8"/>
      <c r="G10" s="8"/>
      <c r="H10" s="8">
        <f>TONTMARS!F10+TONTMARS!G10</f>
        <v>0</v>
      </c>
      <c r="I10" s="8"/>
      <c r="J10" s="8"/>
      <c r="K10" s="27"/>
    </row>
    <row r="11" spans="1:12" x14ac:dyDescent="0.25">
      <c r="A11" s="1" t="s">
        <v>59</v>
      </c>
      <c r="B11" s="1" t="s">
        <v>60</v>
      </c>
      <c r="C11" s="8">
        <f t="shared" si="1"/>
        <v>60000</v>
      </c>
      <c r="D11" s="8">
        <f t="shared" si="0"/>
        <v>0</v>
      </c>
      <c r="E11" s="7" t="s">
        <v>39</v>
      </c>
      <c r="F11" s="8"/>
      <c r="G11" s="8"/>
      <c r="H11" s="8">
        <f>TONTMARS!F11+TONTMARS!G11</f>
        <v>0</v>
      </c>
      <c r="I11" s="8"/>
      <c r="J11" s="8"/>
      <c r="K11" s="27"/>
    </row>
    <row r="12" spans="1:12" x14ac:dyDescent="0.25">
      <c r="A12" s="1" t="s">
        <v>77</v>
      </c>
      <c r="B12" s="1" t="s">
        <v>78</v>
      </c>
      <c r="C12" s="8">
        <f t="shared" si="1"/>
        <v>60000</v>
      </c>
      <c r="D12" s="8">
        <f t="shared" si="0"/>
        <v>0</v>
      </c>
      <c r="E12" s="7" t="s">
        <v>39</v>
      </c>
      <c r="F12" s="8">
        <f>60000+60000</f>
        <v>120000</v>
      </c>
      <c r="G12" s="8">
        <f>6000+6500</f>
        <v>12500</v>
      </c>
      <c r="H12" s="8">
        <f>TONTMARS!F12+TONTMARS!G12</f>
        <v>102000</v>
      </c>
      <c r="I12" s="8" t="s">
        <v>183</v>
      </c>
      <c r="J12" s="8">
        <v>271000</v>
      </c>
      <c r="K12" s="27">
        <v>42785</v>
      </c>
    </row>
    <row r="13" spans="1:12" x14ac:dyDescent="0.25">
      <c r="A13" s="1" t="s">
        <v>81</v>
      </c>
      <c r="B13" s="1" t="s">
        <v>82</v>
      </c>
      <c r="C13" s="8">
        <f t="shared" si="1"/>
        <v>60000</v>
      </c>
      <c r="D13" s="8">
        <f t="shared" si="0"/>
        <v>0</v>
      </c>
      <c r="E13" s="7" t="s">
        <v>19</v>
      </c>
      <c r="F13" s="8"/>
      <c r="G13" s="8"/>
      <c r="H13" s="8">
        <f>TONTMARS!F13+TONTMARS!G13</f>
        <v>0</v>
      </c>
      <c r="I13" s="8"/>
      <c r="J13" s="8"/>
      <c r="K13" s="27"/>
    </row>
    <row r="14" spans="1:12" x14ac:dyDescent="0.25">
      <c r="A14" s="1" t="s">
        <v>92</v>
      </c>
      <c r="B14" s="1" t="s">
        <v>93</v>
      </c>
      <c r="C14" s="8">
        <f t="shared" si="1"/>
        <v>60000</v>
      </c>
      <c r="D14" s="8">
        <f t="shared" si="0"/>
        <v>0</v>
      </c>
      <c r="E14" s="7" t="s">
        <v>19</v>
      </c>
      <c r="F14" s="8"/>
      <c r="G14" s="8"/>
      <c r="H14" s="8">
        <f>TONTMARS!F14+TONTMARS!G14</f>
        <v>0</v>
      </c>
      <c r="I14" s="8"/>
      <c r="J14" s="8"/>
      <c r="K14" s="27"/>
    </row>
    <row r="15" spans="1:12" x14ac:dyDescent="0.25">
      <c r="A15" s="1" t="s">
        <v>25</v>
      </c>
      <c r="B15" s="1" t="s">
        <v>101</v>
      </c>
      <c r="C15" s="8">
        <f t="shared" si="1"/>
        <v>60000</v>
      </c>
      <c r="D15" s="8">
        <f t="shared" si="0"/>
        <v>0</v>
      </c>
      <c r="E15" s="7" t="s">
        <v>39</v>
      </c>
      <c r="F15" s="8"/>
      <c r="G15" s="8"/>
      <c r="H15" s="8">
        <f>TONTMARS!F15+TONTMARS!G15</f>
        <v>0</v>
      </c>
      <c r="I15" s="8"/>
      <c r="J15" s="8">
        <v>107000</v>
      </c>
      <c r="K15" s="27">
        <v>42841</v>
      </c>
    </row>
    <row r="16" spans="1:12" x14ac:dyDescent="0.25">
      <c r="A16" s="1" t="s">
        <v>26</v>
      </c>
      <c r="B16" s="1" t="s">
        <v>103</v>
      </c>
      <c r="C16" s="8">
        <f t="shared" si="1"/>
        <v>60000</v>
      </c>
      <c r="D16" s="8">
        <f t="shared" si="0"/>
        <v>0</v>
      </c>
      <c r="E16" s="7" t="s">
        <v>39</v>
      </c>
      <c r="F16" s="8"/>
      <c r="G16" s="8"/>
      <c r="H16" s="8">
        <f>TONTMARS!F16+TONTMARS!G16</f>
        <v>102000</v>
      </c>
      <c r="I16" s="8" t="s">
        <v>183</v>
      </c>
      <c r="J16" s="8">
        <v>270000</v>
      </c>
      <c r="K16" s="27">
        <v>42750</v>
      </c>
    </row>
    <row r="17" spans="1:11" x14ac:dyDescent="0.25">
      <c r="A17" s="1" t="s">
        <v>29</v>
      </c>
      <c r="B17" s="1" t="s">
        <v>115</v>
      </c>
      <c r="C17" s="8">
        <f t="shared" si="1"/>
        <v>60000</v>
      </c>
      <c r="D17" s="8">
        <f t="shared" si="0"/>
        <v>0</v>
      </c>
      <c r="E17" s="7" t="s">
        <v>19</v>
      </c>
      <c r="F17" s="8"/>
      <c r="G17" s="8"/>
      <c r="H17" s="8">
        <f>TONTMARS!F17+TONTMARS!G17</f>
        <v>0</v>
      </c>
      <c r="I17" s="8"/>
      <c r="J17" s="8"/>
      <c r="K17" s="27"/>
    </row>
    <row r="18" spans="1:11" x14ac:dyDescent="0.25">
      <c r="A18" s="1" t="s">
        <v>125</v>
      </c>
      <c r="B18" s="1" t="s">
        <v>126</v>
      </c>
      <c r="C18" s="8">
        <f t="shared" si="1"/>
        <v>60000</v>
      </c>
      <c r="D18" s="8">
        <f t="shared" si="0"/>
        <v>0</v>
      </c>
      <c r="E18" s="7" t="s">
        <v>39</v>
      </c>
      <c r="F18" s="8"/>
      <c r="G18" s="8"/>
      <c r="H18" s="8">
        <f>TONTMARS!F18+TONTMARS!G18</f>
        <v>0</v>
      </c>
      <c r="I18" s="8"/>
      <c r="J18" s="8"/>
      <c r="K18" s="27"/>
    </row>
    <row r="19" spans="1:11" x14ac:dyDescent="0.25">
      <c r="A19" s="1" t="s">
        <v>30</v>
      </c>
      <c r="B19" s="1" t="s">
        <v>128</v>
      </c>
      <c r="C19" s="8">
        <f t="shared" si="1"/>
        <v>60000</v>
      </c>
      <c r="D19" s="8">
        <f t="shared" si="0"/>
        <v>0</v>
      </c>
      <c r="E19" s="7" t="s">
        <v>39</v>
      </c>
      <c r="F19" s="8"/>
      <c r="G19" s="8"/>
      <c r="H19" s="8">
        <f>TONTMARS!F19+TONTMARS!G19</f>
        <v>102000</v>
      </c>
      <c r="I19" s="8" t="s">
        <v>183</v>
      </c>
      <c r="J19" s="8">
        <v>108000</v>
      </c>
      <c r="K19" s="27">
        <v>42476</v>
      </c>
    </row>
    <row r="20" spans="1:11" x14ac:dyDescent="0.25">
      <c r="A20" s="1" t="s">
        <v>32</v>
      </c>
      <c r="B20" s="1" t="s">
        <v>140</v>
      </c>
      <c r="C20" s="8">
        <f t="shared" si="1"/>
        <v>60000</v>
      </c>
      <c r="D20" s="8">
        <f t="shared" si="0"/>
        <v>0</v>
      </c>
      <c r="E20" s="7" t="s">
        <v>19</v>
      </c>
      <c r="F20" s="8"/>
      <c r="G20" s="8"/>
      <c r="H20" s="8">
        <f>TONTMARS!F20+TONTMARS!G20</f>
        <v>0</v>
      </c>
      <c r="I20" s="8"/>
      <c r="J20" s="8"/>
      <c r="K20" s="27"/>
    </row>
    <row r="21" spans="1:11" x14ac:dyDescent="0.25">
      <c r="A21" s="1" t="s">
        <v>143</v>
      </c>
      <c r="B21" s="1" t="s">
        <v>144</v>
      </c>
      <c r="C21" s="8">
        <f t="shared" si="1"/>
        <v>60000</v>
      </c>
      <c r="D21" s="8">
        <f t="shared" si="0"/>
        <v>0</v>
      </c>
      <c r="E21" s="7" t="s">
        <v>39</v>
      </c>
      <c r="F21" s="8"/>
      <c r="G21" s="8"/>
      <c r="H21" s="8">
        <f>TONTMARS!F21+TONTMARS!G21</f>
        <v>102000</v>
      </c>
      <c r="I21" s="8" t="s">
        <v>183</v>
      </c>
      <c r="J21" s="8"/>
      <c r="K21" s="27"/>
    </row>
    <row r="22" spans="1:11" x14ac:dyDescent="0.25">
      <c r="A22" s="1" t="s">
        <v>143</v>
      </c>
      <c r="B22" s="1" t="s">
        <v>144</v>
      </c>
      <c r="C22" s="8">
        <f t="shared" si="1"/>
        <v>60000</v>
      </c>
      <c r="D22" s="8">
        <f t="shared" si="0"/>
        <v>0</v>
      </c>
      <c r="E22" s="7" t="s">
        <v>39</v>
      </c>
      <c r="F22" s="8"/>
      <c r="G22" s="8"/>
      <c r="H22" s="8">
        <f>TONTMARS!F22+TONTMARS!G22</f>
        <v>0</v>
      </c>
      <c r="I22" s="8"/>
      <c r="J22" s="8"/>
      <c r="K22" s="27"/>
    </row>
    <row r="23" spans="1:11" x14ac:dyDescent="0.25">
      <c r="A23" s="1" t="s">
        <v>33</v>
      </c>
      <c r="B23" s="1" t="s">
        <v>145</v>
      </c>
      <c r="C23" s="8">
        <f t="shared" si="1"/>
        <v>60000</v>
      </c>
      <c r="D23" s="8">
        <f t="shared" si="0"/>
        <v>0</v>
      </c>
      <c r="E23" s="7" t="s">
        <v>39</v>
      </c>
      <c r="F23" s="8"/>
      <c r="G23" s="8"/>
      <c r="H23" s="8">
        <f>TONTMARS!F23+TONTMARS!G23</f>
        <v>0</v>
      </c>
      <c r="I23" s="8"/>
      <c r="J23" s="8"/>
      <c r="K23" s="27"/>
    </row>
    <row r="24" spans="1:11" x14ac:dyDescent="0.25">
      <c r="A24" s="1" t="s">
        <v>151</v>
      </c>
      <c r="B24" s="1" t="s">
        <v>152</v>
      </c>
      <c r="C24" s="8">
        <f t="shared" si="1"/>
        <v>60000</v>
      </c>
      <c r="D24" s="8">
        <f t="shared" si="0"/>
        <v>0</v>
      </c>
      <c r="E24" s="7" t="s">
        <v>19</v>
      </c>
      <c r="F24" s="8"/>
      <c r="G24" s="8"/>
      <c r="H24" s="8">
        <f>TONTMARS!F24+TONTMARS!G24</f>
        <v>0</v>
      </c>
      <c r="I24" s="8"/>
      <c r="J24" s="8"/>
      <c r="K24" s="27"/>
    </row>
    <row r="25" spans="1:11" x14ac:dyDescent="0.25">
      <c r="A25" s="1" t="s">
        <v>36</v>
      </c>
      <c r="B25" s="1" t="s">
        <v>161</v>
      </c>
      <c r="C25" s="8">
        <f t="shared" si="1"/>
        <v>60000</v>
      </c>
      <c r="D25" s="8">
        <f t="shared" si="0"/>
        <v>0</v>
      </c>
      <c r="E25" s="7" t="s">
        <v>39</v>
      </c>
      <c r="F25" s="8">
        <v>61500</v>
      </c>
      <c r="G25" s="8">
        <v>6000</v>
      </c>
      <c r="H25" s="8">
        <f>TONTMARS!F25+TONTMARS!G25</f>
        <v>102000</v>
      </c>
      <c r="I25" s="8" t="s">
        <v>183</v>
      </c>
      <c r="J25" s="8">
        <v>271000</v>
      </c>
      <c r="K25" s="27">
        <v>42750</v>
      </c>
    </row>
    <row r="26" spans="1:11" x14ac:dyDescent="0.25">
      <c r="A26" s="1" t="s">
        <v>165</v>
      </c>
      <c r="B26" s="1" t="s">
        <v>166</v>
      </c>
      <c r="C26" s="8">
        <f t="shared" si="1"/>
        <v>60000</v>
      </c>
      <c r="D26" s="8">
        <f t="shared" si="0"/>
        <v>0</v>
      </c>
      <c r="E26" s="7" t="s">
        <v>39</v>
      </c>
      <c r="F26" s="8">
        <f>60000+60000</f>
        <v>120000</v>
      </c>
      <c r="G26" s="8">
        <f>6000+6500</f>
        <v>12500</v>
      </c>
      <c r="H26" s="8">
        <f>TONTMARS!F26+TONTMARS!G26</f>
        <v>0</v>
      </c>
      <c r="I26" s="8"/>
      <c r="J26" s="8"/>
      <c r="K26" s="27"/>
    </row>
    <row r="27" spans="1:11" x14ac:dyDescent="0.25">
      <c r="A27" s="1" t="s">
        <v>165</v>
      </c>
      <c r="B27" s="1" t="s">
        <v>166</v>
      </c>
      <c r="C27" s="8">
        <f t="shared" si="1"/>
        <v>60000</v>
      </c>
      <c r="D27" s="8">
        <f t="shared" si="0"/>
        <v>0</v>
      </c>
      <c r="E27" s="7" t="s">
        <v>39</v>
      </c>
      <c r="F27" s="8"/>
      <c r="G27" s="8"/>
      <c r="H27" s="8">
        <f>TONTMARS!F27+TONTMARS!G27</f>
        <v>0</v>
      </c>
      <c r="I27" s="8"/>
      <c r="J27" s="8"/>
      <c r="K27" s="27"/>
    </row>
    <row r="28" spans="1:11" x14ac:dyDescent="0.25">
      <c r="A28" s="1" t="s">
        <v>171</v>
      </c>
      <c r="B28" s="1" t="s">
        <v>172</v>
      </c>
      <c r="C28" s="8">
        <f t="shared" si="1"/>
        <v>60000</v>
      </c>
      <c r="D28" s="8">
        <f t="shared" si="0"/>
        <v>0</v>
      </c>
      <c r="E28" s="7" t="s">
        <v>39</v>
      </c>
      <c r="F28" s="8"/>
      <c r="G28" s="8"/>
      <c r="H28" s="8">
        <f>TONTMARS!F28+TONTMARS!G28</f>
        <v>0</v>
      </c>
      <c r="I28" s="8"/>
      <c r="J28" s="8"/>
      <c r="K28" s="27"/>
    </row>
    <row r="29" spans="1:11" x14ac:dyDescent="0.25">
      <c r="A29" s="1" t="s">
        <v>175</v>
      </c>
      <c r="B29" s="1" t="s">
        <v>176</v>
      </c>
      <c r="C29" s="8">
        <f t="shared" si="1"/>
        <v>60000</v>
      </c>
      <c r="D29" s="8">
        <f t="shared" si="0"/>
        <v>0</v>
      </c>
      <c r="E29" s="7" t="s">
        <v>19</v>
      </c>
      <c r="F29" s="8"/>
      <c r="G29" s="8"/>
      <c r="H29" s="8">
        <f>TONTMARS!F29+TONTMARS!G29</f>
        <v>0</v>
      </c>
      <c r="I29" s="8"/>
      <c r="J29" s="8"/>
      <c r="K29" s="27"/>
    </row>
    <row r="30" spans="1:11" x14ac:dyDescent="0.25">
      <c r="A30" s="1" t="s">
        <v>175</v>
      </c>
      <c r="B30" s="1" t="s">
        <v>176</v>
      </c>
      <c r="C30" s="8">
        <f t="shared" si="1"/>
        <v>60000</v>
      </c>
      <c r="D30" s="8">
        <f t="shared" si="0"/>
        <v>0</v>
      </c>
      <c r="E30" s="7" t="s">
        <v>19</v>
      </c>
      <c r="F30" s="8"/>
      <c r="G30" s="8"/>
      <c r="H30" s="8">
        <f>TONTMARS!F30+TONTMARS!G30</f>
        <v>0</v>
      </c>
      <c r="I30" s="8"/>
      <c r="J30" s="8"/>
      <c r="K30" s="27"/>
    </row>
    <row r="31" spans="1:11" x14ac:dyDescent="0.25">
      <c r="A31" s="1"/>
      <c r="B31" s="1"/>
      <c r="C31" s="8"/>
      <c r="D31" s="8"/>
      <c r="E31" s="7"/>
      <c r="F31" s="8"/>
      <c r="G31" s="8"/>
      <c r="J31" s="8"/>
    </row>
    <row r="32" spans="1:11" ht="18" x14ac:dyDescent="0.25">
      <c r="A32" s="9" t="s">
        <v>38</v>
      </c>
      <c r="B32" s="9"/>
      <c r="C32" s="10">
        <f>SUM(C6:C31)</f>
        <v>1500000</v>
      </c>
      <c r="D32" s="10">
        <f>SUM(D6:D31)</f>
        <v>0</v>
      </c>
      <c r="E32" s="10"/>
      <c r="F32" s="10">
        <f>SUM(F6:F31)</f>
        <v>421500</v>
      </c>
      <c r="G32" s="10">
        <f>SUM(G6:G31)</f>
        <v>42500</v>
      </c>
      <c r="H32" s="10">
        <f>SUM(H6:H31)</f>
        <v>612000</v>
      </c>
      <c r="I32" s="10">
        <f>SUM(I6:I31)</f>
        <v>0</v>
      </c>
      <c r="J32" s="10">
        <f>SUM(J6:J31)</f>
        <v>1397000</v>
      </c>
    </row>
    <row r="34" spans="2:6" ht="18" x14ac:dyDescent="0.25">
      <c r="B34" t="s">
        <v>182</v>
      </c>
      <c r="F34" s="10"/>
    </row>
    <row r="36" spans="2:6" ht="18" x14ac:dyDescent="0.25">
      <c r="B36" s="10" t="s">
        <v>39</v>
      </c>
      <c r="C36" s="10">
        <f>SUMIFS(C6:C31,E6:E31,"ESPECES")</f>
        <v>960000</v>
      </c>
    </row>
    <row r="37" spans="2:6" ht="18" x14ac:dyDescent="0.25">
      <c r="B37" s="10" t="s">
        <v>19</v>
      </c>
      <c r="C37" s="10">
        <f>SUMIFS(C6:C31,E6:E31,"BANQUE")</f>
        <v>540000</v>
      </c>
    </row>
    <row r="38" spans="2:6" ht="18" x14ac:dyDescent="0.25">
      <c r="B38" s="10" t="s">
        <v>12</v>
      </c>
      <c r="C38" s="10">
        <f>H32</f>
        <v>612000</v>
      </c>
    </row>
  </sheetData>
  <autoFilter ref="A5:L30"/>
  <mergeCells count="1">
    <mergeCell ref="C4:H4"/>
  </mergeCells>
  <dataValidations disablePrompts="1"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C18" activePane="bottomRight" state="frozen"/>
      <selection activeCell="I3" sqref="I3"/>
      <selection pane="topRight" activeCell="I3" sqref="I3"/>
      <selection pane="bottomLeft" activeCell="I3" sqref="I3"/>
      <selection pane="bottomRight" activeCell="F9" sqref="F9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  <col min="11" max="11" width="14.85546875" style="25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60000</v>
      </c>
    </row>
    <row r="4" spans="1:12" ht="18" x14ac:dyDescent="0.25">
      <c r="B4" s="5"/>
      <c r="C4" s="31">
        <v>42876</v>
      </c>
      <c r="D4" s="32"/>
      <c r="E4" s="32"/>
      <c r="F4" s="32"/>
      <c r="G4" s="32"/>
      <c r="H4" s="32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26" t="s">
        <v>15</v>
      </c>
      <c r="L5" s="6" t="s">
        <v>181</v>
      </c>
    </row>
    <row r="6" spans="1:12" x14ac:dyDescent="0.25">
      <c r="A6" s="1" t="s">
        <v>17</v>
      </c>
      <c r="B6" s="1" t="s">
        <v>53</v>
      </c>
      <c r="C6" s="8">
        <f>IF(E6="ECHEC",0,60000)</f>
        <v>60000</v>
      </c>
      <c r="D6" s="8">
        <f t="shared" ref="D6:D30" si="0">IF(E6="ESPECES",0,0)</f>
        <v>0</v>
      </c>
      <c r="E6" s="7" t="s">
        <v>39</v>
      </c>
      <c r="F6" s="8"/>
      <c r="G6" s="8"/>
      <c r="H6" s="8">
        <f>TONTAVRIL!F6+TONTAVRIL!G6</f>
        <v>0</v>
      </c>
      <c r="I6" s="8"/>
      <c r="J6" s="8"/>
      <c r="K6" s="27"/>
    </row>
    <row r="7" spans="1:12" x14ac:dyDescent="0.25">
      <c r="A7" s="1" t="s">
        <v>56</v>
      </c>
      <c r="B7" s="1" t="s">
        <v>57</v>
      </c>
      <c r="C7" s="8">
        <f t="shared" ref="C7:C30" si="1">IF(E7="ECHEC",0,60000)</f>
        <v>60000</v>
      </c>
      <c r="D7" s="8">
        <f t="shared" si="0"/>
        <v>0</v>
      </c>
      <c r="E7" s="7" t="s">
        <v>19</v>
      </c>
      <c r="F7" s="8">
        <v>132500</v>
      </c>
      <c r="G7" s="8">
        <v>25000</v>
      </c>
      <c r="H7" s="8">
        <f>TONTAVRIL!F7+TONTAVRIL!G7+26000</f>
        <v>157500</v>
      </c>
      <c r="I7" s="8" t="s">
        <v>185</v>
      </c>
      <c r="J7" s="8">
        <v>260000</v>
      </c>
      <c r="K7" s="27">
        <v>42785</v>
      </c>
    </row>
    <row r="8" spans="1:12" x14ac:dyDescent="0.25">
      <c r="A8" s="1" t="s">
        <v>56</v>
      </c>
      <c r="B8" s="1" t="s">
        <v>57</v>
      </c>
      <c r="C8" s="8">
        <f t="shared" si="1"/>
        <v>60000</v>
      </c>
      <c r="D8" s="8">
        <f t="shared" si="0"/>
        <v>0</v>
      </c>
      <c r="E8" s="7" t="s">
        <v>19</v>
      </c>
      <c r="F8" s="8"/>
      <c r="G8" s="8"/>
      <c r="H8" s="8">
        <f>TONTAVRIL!F8+TONTAVRIL!G8</f>
        <v>0</v>
      </c>
      <c r="I8" s="8"/>
      <c r="J8" s="8"/>
      <c r="K8" s="27"/>
    </row>
    <row r="9" spans="1:12" x14ac:dyDescent="0.25">
      <c r="A9" s="1" t="s">
        <v>59</v>
      </c>
      <c r="B9" s="1" t="s">
        <v>60</v>
      </c>
      <c r="C9" s="8">
        <f t="shared" si="1"/>
        <v>60000</v>
      </c>
      <c r="D9" s="8">
        <f t="shared" si="0"/>
        <v>0</v>
      </c>
      <c r="E9" s="7" t="s">
        <v>19</v>
      </c>
      <c r="F9" s="8">
        <v>35500</v>
      </c>
      <c r="G9" s="8">
        <v>4000</v>
      </c>
      <c r="H9" s="8">
        <f>TONTAVRIL!F9+TONTAVRIL!G9</f>
        <v>0</v>
      </c>
      <c r="I9" s="8"/>
      <c r="J9" s="8">
        <v>110000</v>
      </c>
      <c r="K9" s="27">
        <v>42813</v>
      </c>
    </row>
    <row r="10" spans="1:12" x14ac:dyDescent="0.25">
      <c r="A10" s="1" t="s">
        <v>59</v>
      </c>
      <c r="B10" s="1" t="s">
        <v>60</v>
      </c>
      <c r="C10" s="8">
        <f t="shared" si="1"/>
        <v>60000</v>
      </c>
      <c r="D10" s="8">
        <f t="shared" si="0"/>
        <v>0</v>
      </c>
      <c r="E10" s="7" t="s">
        <v>19</v>
      </c>
      <c r="F10" s="8"/>
      <c r="G10" s="8"/>
      <c r="H10" s="8">
        <f>TONTAVRIL!F10+TONTAVRIL!G10</f>
        <v>0</v>
      </c>
      <c r="I10" s="8"/>
      <c r="J10" s="8"/>
      <c r="K10" s="27"/>
    </row>
    <row r="11" spans="1:12" x14ac:dyDescent="0.25">
      <c r="A11" s="1" t="s">
        <v>59</v>
      </c>
      <c r="B11" s="1" t="s">
        <v>60</v>
      </c>
      <c r="C11" s="8">
        <f t="shared" si="1"/>
        <v>60000</v>
      </c>
      <c r="D11" s="8">
        <f t="shared" si="0"/>
        <v>0</v>
      </c>
      <c r="E11" s="7" t="s">
        <v>39</v>
      </c>
      <c r="F11" s="8"/>
      <c r="G11" s="8"/>
      <c r="H11" s="8">
        <f>TONTAVRIL!F11+TONTAVRIL!G11</f>
        <v>0</v>
      </c>
      <c r="I11" s="8"/>
      <c r="J11" s="8"/>
      <c r="K11" s="27"/>
    </row>
    <row r="12" spans="1:12" x14ac:dyDescent="0.25">
      <c r="A12" s="1" t="s">
        <v>77</v>
      </c>
      <c r="B12" s="1" t="s">
        <v>78</v>
      </c>
      <c r="C12" s="8">
        <f t="shared" si="1"/>
        <v>60000</v>
      </c>
      <c r="D12" s="8">
        <f t="shared" si="0"/>
        <v>0</v>
      </c>
      <c r="E12" s="7" t="s">
        <v>39</v>
      </c>
      <c r="F12" s="8"/>
      <c r="G12" s="8"/>
      <c r="H12" s="8">
        <f>TONTAVRIL!F12+TONTAVRIL!G12</f>
        <v>132500</v>
      </c>
      <c r="I12" s="8" t="s">
        <v>183</v>
      </c>
      <c r="J12" s="8">
        <v>271000</v>
      </c>
      <c r="K12" s="27">
        <v>42785</v>
      </c>
    </row>
    <row r="13" spans="1:12" x14ac:dyDescent="0.25">
      <c r="A13" s="1" t="s">
        <v>81</v>
      </c>
      <c r="B13" s="1" t="s">
        <v>82</v>
      </c>
      <c r="C13" s="8">
        <f t="shared" si="1"/>
        <v>60000</v>
      </c>
      <c r="D13" s="8">
        <f t="shared" si="0"/>
        <v>0</v>
      </c>
      <c r="E13" s="7" t="s">
        <v>19</v>
      </c>
      <c r="F13" s="8"/>
      <c r="G13" s="8"/>
      <c r="H13" s="8">
        <f>TONTAVRIL!F13+TONTAVRIL!G13</f>
        <v>0</v>
      </c>
      <c r="I13" s="8"/>
      <c r="J13" s="8"/>
      <c r="K13" s="27"/>
    </row>
    <row r="14" spans="1:12" x14ac:dyDescent="0.25">
      <c r="A14" s="1" t="s">
        <v>92</v>
      </c>
      <c r="B14" s="1" t="s">
        <v>93</v>
      </c>
      <c r="C14" s="8">
        <f t="shared" si="1"/>
        <v>60000</v>
      </c>
      <c r="D14" s="8">
        <f t="shared" si="0"/>
        <v>0</v>
      </c>
      <c r="E14" s="7" t="s">
        <v>19</v>
      </c>
      <c r="F14" s="8"/>
      <c r="G14" s="8"/>
      <c r="H14" s="8">
        <f>TONTAVRIL!F14+TONTAVRIL!G14</f>
        <v>0</v>
      </c>
      <c r="I14" s="8"/>
      <c r="J14" s="8"/>
      <c r="K14" s="27"/>
    </row>
    <row r="15" spans="1:12" x14ac:dyDescent="0.25">
      <c r="A15" s="1" t="s">
        <v>25</v>
      </c>
      <c r="B15" s="1" t="s">
        <v>184</v>
      </c>
      <c r="C15" s="8">
        <f t="shared" si="1"/>
        <v>60000</v>
      </c>
      <c r="D15" s="8">
        <f t="shared" si="0"/>
        <v>0</v>
      </c>
      <c r="E15" s="7" t="s">
        <v>39</v>
      </c>
      <c r="F15" s="8"/>
      <c r="G15" s="8"/>
      <c r="H15" s="8">
        <f>TONTAVRIL!F15+TONTAVRIL!G15</f>
        <v>0</v>
      </c>
      <c r="I15" s="8"/>
      <c r="J15" s="8">
        <v>107000</v>
      </c>
      <c r="K15" s="27">
        <v>42841</v>
      </c>
    </row>
    <row r="16" spans="1:12" x14ac:dyDescent="0.25">
      <c r="A16" s="1" t="s">
        <v>26</v>
      </c>
      <c r="B16" s="1" t="s">
        <v>103</v>
      </c>
      <c r="C16" s="8">
        <f t="shared" si="1"/>
        <v>60000</v>
      </c>
      <c r="D16" s="8">
        <f t="shared" si="0"/>
        <v>0</v>
      </c>
      <c r="E16" s="7" t="s">
        <v>19</v>
      </c>
      <c r="F16" s="8"/>
      <c r="G16" s="8"/>
      <c r="H16" s="8">
        <f>TONTAVRIL!F16+TONTAVRIL!G16</f>
        <v>0</v>
      </c>
      <c r="I16" s="8"/>
      <c r="J16" s="8">
        <v>270000</v>
      </c>
      <c r="K16" s="27">
        <v>42750</v>
      </c>
    </row>
    <row r="17" spans="1:12" x14ac:dyDescent="0.25">
      <c r="A17" s="1" t="s">
        <v>29</v>
      </c>
      <c r="B17" s="1" t="s">
        <v>115</v>
      </c>
      <c r="C17" s="8">
        <f t="shared" si="1"/>
        <v>60000</v>
      </c>
      <c r="D17" s="8">
        <f t="shared" si="0"/>
        <v>0</v>
      </c>
      <c r="E17" s="7" t="s">
        <v>19</v>
      </c>
      <c r="F17" s="8"/>
      <c r="G17" s="8"/>
      <c r="H17" s="8">
        <f>TONTAVRIL!F17+TONTAVRIL!G17</f>
        <v>0</v>
      </c>
      <c r="I17" s="8"/>
      <c r="J17" s="8"/>
      <c r="K17" s="27"/>
    </row>
    <row r="18" spans="1:12" x14ac:dyDescent="0.25">
      <c r="A18" s="1" t="s">
        <v>125</v>
      </c>
      <c r="B18" s="1" t="s">
        <v>126</v>
      </c>
      <c r="C18" s="8">
        <f t="shared" si="1"/>
        <v>60000</v>
      </c>
      <c r="D18" s="8">
        <f t="shared" si="0"/>
        <v>0</v>
      </c>
      <c r="E18" s="7" t="s">
        <v>39</v>
      </c>
      <c r="F18" s="8"/>
      <c r="G18" s="8"/>
      <c r="H18" s="8">
        <f>TONTAVRIL!F18+TONTAVRIL!G18</f>
        <v>0</v>
      </c>
      <c r="I18" s="8"/>
      <c r="J18" s="8">
        <v>152000</v>
      </c>
      <c r="K18" s="27">
        <v>42876</v>
      </c>
      <c r="L18" s="1" t="s">
        <v>161</v>
      </c>
    </row>
    <row r="19" spans="1:12" x14ac:dyDescent="0.25">
      <c r="A19" s="1" t="s">
        <v>30</v>
      </c>
      <c r="B19" s="1" t="s">
        <v>128</v>
      </c>
      <c r="C19" s="8">
        <f t="shared" si="1"/>
        <v>60000</v>
      </c>
      <c r="D19" s="8">
        <f t="shared" si="0"/>
        <v>0</v>
      </c>
      <c r="E19" s="7" t="s">
        <v>39</v>
      </c>
      <c r="F19" s="8"/>
      <c r="G19" s="8"/>
      <c r="H19" s="8">
        <f>TONTAVRIL!F19+TONTAVRIL!G19</f>
        <v>0</v>
      </c>
      <c r="I19" s="8"/>
      <c r="J19" s="8">
        <v>108000</v>
      </c>
      <c r="K19" s="27">
        <v>42476</v>
      </c>
    </row>
    <row r="20" spans="1:12" x14ac:dyDescent="0.25">
      <c r="A20" s="1" t="s">
        <v>32</v>
      </c>
      <c r="B20" s="1" t="s">
        <v>140</v>
      </c>
      <c r="C20" s="8">
        <f t="shared" si="1"/>
        <v>60000</v>
      </c>
      <c r="D20" s="8">
        <f t="shared" si="0"/>
        <v>0</v>
      </c>
      <c r="E20" s="7" t="s">
        <v>19</v>
      </c>
      <c r="F20" s="8"/>
      <c r="G20" s="8"/>
      <c r="H20" s="8">
        <f>TONTAVRIL!F20+TONTAVRIL!G20</f>
        <v>0</v>
      </c>
      <c r="I20" s="8"/>
      <c r="J20" s="8"/>
      <c r="K20" s="27"/>
    </row>
    <row r="21" spans="1:12" x14ac:dyDescent="0.25">
      <c r="A21" s="1" t="s">
        <v>143</v>
      </c>
      <c r="B21" s="1" t="s">
        <v>144</v>
      </c>
      <c r="C21" s="8">
        <f t="shared" si="1"/>
        <v>60000</v>
      </c>
      <c r="D21" s="8">
        <f t="shared" si="0"/>
        <v>0</v>
      </c>
      <c r="E21" s="7" t="s">
        <v>39</v>
      </c>
      <c r="F21" s="8"/>
      <c r="G21" s="8"/>
      <c r="H21" s="8">
        <f>TONTAVRIL!F21+TONTAVRIL!G21</f>
        <v>0</v>
      </c>
      <c r="I21" s="8"/>
      <c r="J21" s="8"/>
      <c r="K21" s="27"/>
    </row>
    <row r="22" spans="1:12" x14ac:dyDescent="0.25">
      <c r="A22" s="1" t="s">
        <v>143</v>
      </c>
      <c r="B22" s="1" t="s">
        <v>144</v>
      </c>
      <c r="C22" s="8">
        <f t="shared" si="1"/>
        <v>60000</v>
      </c>
      <c r="D22" s="8">
        <f t="shared" si="0"/>
        <v>0</v>
      </c>
      <c r="E22" s="7" t="s">
        <v>39</v>
      </c>
      <c r="F22" s="8"/>
      <c r="G22" s="8"/>
      <c r="H22" s="8">
        <f>TONTAVRIL!F22+TONTAVRIL!G22</f>
        <v>0</v>
      </c>
      <c r="I22" s="8"/>
      <c r="J22" s="8"/>
      <c r="K22" s="27"/>
    </row>
    <row r="23" spans="1:12" x14ac:dyDescent="0.25">
      <c r="A23" s="1" t="s">
        <v>33</v>
      </c>
      <c r="B23" s="1" t="s">
        <v>145</v>
      </c>
      <c r="C23" s="8">
        <f t="shared" si="1"/>
        <v>60000</v>
      </c>
      <c r="D23" s="8">
        <f t="shared" si="0"/>
        <v>0</v>
      </c>
      <c r="E23" s="7" t="s">
        <v>39</v>
      </c>
      <c r="F23" s="8"/>
      <c r="G23" s="8"/>
      <c r="H23" s="8">
        <f>TONTAVRIL!F23+TONTAVRIL!G23</f>
        <v>0</v>
      </c>
      <c r="I23" s="8"/>
      <c r="J23" s="8">
        <v>151000</v>
      </c>
      <c r="K23" s="27">
        <v>42876</v>
      </c>
    </row>
    <row r="24" spans="1:12" x14ac:dyDescent="0.25">
      <c r="A24" s="1" t="s">
        <v>151</v>
      </c>
      <c r="B24" s="1" t="s">
        <v>152</v>
      </c>
      <c r="C24" s="8">
        <f t="shared" si="1"/>
        <v>60000</v>
      </c>
      <c r="D24" s="8">
        <f t="shared" si="0"/>
        <v>0</v>
      </c>
      <c r="E24" s="7" t="s">
        <v>19</v>
      </c>
      <c r="F24" s="8"/>
      <c r="G24" s="8"/>
      <c r="H24" s="8">
        <f>TONTAVRIL!F24+TONTAVRIL!G24</f>
        <v>0</v>
      </c>
      <c r="I24" s="8"/>
      <c r="J24" s="8"/>
      <c r="K24" s="27"/>
    </row>
    <row r="25" spans="1:12" x14ac:dyDescent="0.25">
      <c r="A25" s="1" t="s">
        <v>36</v>
      </c>
      <c r="B25" s="1" t="s">
        <v>161</v>
      </c>
      <c r="C25" s="8">
        <f t="shared" si="1"/>
        <v>60000</v>
      </c>
      <c r="D25" s="8">
        <f t="shared" si="0"/>
        <v>0</v>
      </c>
      <c r="E25" s="7" t="s">
        <v>39</v>
      </c>
      <c r="F25" s="8"/>
      <c r="G25" s="8"/>
      <c r="H25" s="8">
        <f>TONTAVRIL!F25+TONTAVRIL!G25</f>
        <v>67500</v>
      </c>
      <c r="I25" s="8" t="s">
        <v>183</v>
      </c>
      <c r="J25" s="8">
        <v>271000</v>
      </c>
      <c r="K25" s="27">
        <v>42750</v>
      </c>
    </row>
    <row r="26" spans="1:12" x14ac:dyDescent="0.25">
      <c r="A26" s="1" t="s">
        <v>165</v>
      </c>
      <c r="B26" s="1" t="s">
        <v>166</v>
      </c>
      <c r="C26" s="8">
        <f t="shared" si="1"/>
        <v>60000</v>
      </c>
      <c r="D26" s="8">
        <f t="shared" si="0"/>
        <v>0</v>
      </c>
      <c r="E26" s="7" t="s">
        <v>19</v>
      </c>
      <c r="F26" s="8">
        <f>50000+50000</f>
        <v>100000</v>
      </c>
      <c r="G26" s="8">
        <f>5500+7000</f>
        <v>12500</v>
      </c>
      <c r="H26" s="8">
        <f>TONTAVRIL!F26+TONTAVRIL!G26</f>
        <v>132500</v>
      </c>
      <c r="I26" s="8" t="s">
        <v>183</v>
      </c>
      <c r="J26" s="8"/>
      <c r="K26" s="27"/>
    </row>
    <row r="27" spans="1:12" x14ac:dyDescent="0.25">
      <c r="A27" s="1" t="s">
        <v>165</v>
      </c>
      <c r="B27" s="1" t="s">
        <v>166</v>
      </c>
      <c r="C27" s="8">
        <f t="shared" si="1"/>
        <v>60000</v>
      </c>
      <c r="D27" s="8">
        <f t="shared" si="0"/>
        <v>0</v>
      </c>
      <c r="E27" s="7" t="s">
        <v>19</v>
      </c>
      <c r="F27" s="8"/>
      <c r="G27" s="8"/>
      <c r="H27" s="8">
        <f>TONTAVRIL!F27+TONTAVRIL!G27</f>
        <v>0</v>
      </c>
      <c r="I27" s="8"/>
      <c r="J27" s="8"/>
      <c r="K27" s="27"/>
    </row>
    <row r="28" spans="1:12" x14ac:dyDescent="0.25">
      <c r="A28" s="1" t="s">
        <v>171</v>
      </c>
      <c r="B28" s="1" t="s">
        <v>172</v>
      </c>
      <c r="C28" s="8">
        <f t="shared" si="1"/>
        <v>60000</v>
      </c>
      <c r="D28" s="8">
        <f t="shared" si="0"/>
        <v>0</v>
      </c>
      <c r="E28" s="7" t="s">
        <v>19</v>
      </c>
      <c r="F28" s="8"/>
      <c r="G28" s="8"/>
      <c r="H28" s="8">
        <f>TONTAVRIL!F28+TONTAVRIL!G28</f>
        <v>0</v>
      </c>
      <c r="I28" s="8"/>
      <c r="J28" s="8"/>
      <c r="K28" s="27"/>
    </row>
    <row r="29" spans="1:12" x14ac:dyDescent="0.25">
      <c r="A29" s="1" t="s">
        <v>175</v>
      </c>
      <c r="B29" s="1" t="s">
        <v>176</v>
      </c>
      <c r="C29" s="8">
        <f t="shared" si="1"/>
        <v>60000</v>
      </c>
      <c r="D29" s="8">
        <f t="shared" si="0"/>
        <v>0</v>
      </c>
      <c r="E29" s="7" t="s">
        <v>19</v>
      </c>
      <c r="F29" s="8"/>
      <c r="G29" s="8"/>
      <c r="H29" s="8">
        <f>TONTAVRIL!F29+TONTAVRIL!G29</f>
        <v>0</v>
      </c>
      <c r="I29" s="8"/>
      <c r="J29" s="8"/>
      <c r="K29" s="27"/>
    </row>
    <row r="30" spans="1:12" x14ac:dyDescent="0.25">
      <c r="A30" s="1" t="s">
        <v>175</v>
      </c>
      <c r="B30" s="1" t="s">
        <v>176</v>
      </c>
      <c r="C30" s="8">
        <f t="shared" si="1"/>
        <v>60000</v>
      </c>
      <c r="D30" s="8">
        <f t="shared" si="0"/>
        <v>0</v>
      </c>
      <c r="E30" s="7" t="s">
        <v>19</v>
      </c>
      <c r="F30" s="8"/>
      <c r="G30" s="8"/>
      <c r="H30" s="8">
        <f>TONTAVRIL!F30+TONTAVRIL!G30</f>
        <v>0</v>
      </c>
      <c r="I30" s="8"/>
      <c r="J30" s="8"/>
      <c r="K30" s="27"/>
    </row>
    <row r="31" spans="1:12" x14ac:dyDescent="0.25">
      <c r="A31" s="1"/>
      <c r="B31" s="1"/>
      <c r="C31" s="8"/>
      <c r="D31" s="8"/>
      <c r="E31" s="7"/>
      <c r="F31" s="8"/>
      <c r="G31" s="8"/>
      <c r="J31" s="8"/>
    </row>
    <row r="32" spans="1:12" ht="18" x14ac:dyDescent="0.25">
      <c r="A32" s="9" t="s">
        <v>38</v>
      </c>
      <c r="B32" s="9"/>
      <c r="C32" s="10">
        <f>SUM(C6:C31)</f>
        <v>1500000</v>
      </c>
      <c r="D32" s="10">
        <f>SUM(D6:D31)</f>
        <v>0</v>
      </c>
      <c r="E32" s="10"/>
      <c r="F32" s="10">
        <f>SUM(F6:F31)</f>
        <v>268000</v>
      </c>
      <c r="G32" s="10">
        <f>SUM(G6:G31)</f>
        <v>41500</v>
      </c>
      <c r="H32" s="10">
        <f>SUM(H6:H31)</f>
        <v>490000</v>
      </c>
      <c r="I32" s="10">
        <f>SUM(I6:I31)</f>
        <v>0</v>
      </c>
      <c r="J32" s="10">
        <f>SUM(J6:J31)</f>
        <v>1700000</v>
      </c>
    </row>
    <row r="34" spans="2:6" ht="18" x14ac:dyDescent="0.25">
      <c r="B34" t="s">
        <v>182</v>
      </c>
      <c r="F34" s="10"/>
    </row>
    <row r="36" spans="2:6" ht="18" x14ac:dyDescent="0.25">
      <c r="B36" s="10" t="s">
        <v>39</v>
      </c>
      <c r="C36" s="10">
        <f>SUMIFS(C6:C31,E6:E31,"ESPECES")</f>
        <v>600000</v>
      </c>
    </row>
    <row r="37" spans="2:6" ht="18" x14ac:dyDescent="0.25">
      <c r="B37" s="10" t="s">
        <v>19</v>
      </c>
      <c r="C37" s="10">
        <f>SUMIFS(C6:C31,E6:E31,"BANQUE")</f>
        <v>900000</v>
      </c>
    </row>
    <row r="38" spans="2:6" ht="18" x14ac:dyDescent="0.25">
      <c r="B38" s="10" t="s">
        <v>12</v>
      </c>
      <c r="C38" s="10">
        <f>H32</f>
        <v>490000</v>
      </c>
    </row>
  </sheetData>
  <autoFilter ref="A5:L30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C6" activePane="bottomRight" state="frozen"/>
      <selection activeCell="I3" sqref="I3"/>
      <selection pane="topRight" activeCell="I3" sqref="I3"/>
      <selection pane="bottomLeft" activeCell="I3" sqref="I3"/>
      <selection pane="bottomRight" activeCell="H7" sqref="H7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  <col min="11" max="11" width="14.85546875" style="25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60000</v>
      </c>
    </row>
    <row r="4" spans="1:12" ht="18" x14ac:dyDescent="0.25">
      <c r="B4" s="5"/>
      <c r="C4" s="31">
        <v>42904</v>
      </c>
      <c r="D4" s="32"/>
      <c r="E4" s="32"/>
      <c r="F4" s="32"/>
      <c r="G4" s="32"/>
      <c r="H4" s="32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26" t="s">
        <v>15</v>
      </c>
      <c r="L5" s="6" t="s">
        <v>181</v>
      </c>
    </row>
    <row r="6" spans="1:12" x14ac:dyDescent="0.25">
      <c r="A6" s="1" t="s">
        <v>17</v>
      </c>
      <c r="B6" s="1" t="s">
        <v>53</v>
      </c>
      <c r="C6" s="8">
        <f>IF(E6="ECHEC",0,60000)</f>
        <v>60000</v>
      </c>
      <c r="D6" s="8">
        <f t="shared" ref="D6:D30" si="0">IF(E6="ESPECES",0,0)</f>
        <v>0</v>
      </c>
      <c r="E6" s="7" t="s">
        <v>39</v>
      </c>
      <c r="F6" s="8"/>
      <c r="G6" s="8"/>
      <c r="H6" s="8">
        <f>TONTMAI!F6+TONTMAI!G6</f>
        <v>0</v>
      </c>
      <c r="I6" s="8"/>
      <c r="J6" s="8"/>
      <c r="K6" s="27"/>
    </row>
    <row r="7" spans="1:12" x14ac:dyDescent="0.25">
      <c r="A7" s="1" t="s">
        <v>56</v>
      </c>
      <c r="B7" s="1" t="s">
        <v>57</v>
      </c>
      <c r="C7" s="8">
        <f t="shared" ref="C7:C30" si="1">IF(E7="ECHEC",0,60000)</f>
        <v>60000</v>
      </c>
      <c r="D7" s="8">
        <f t="shared" si="0"/>
        <v>0</v>
      </c>
      <c r="E7" s="7" t="s">
        <v>39</v>
      </c>
      <c r="F7" s="8"/>
      <c r="G7" s="8"/>
      <c r="H7" s="8">
        <f>TONTMAI!F7+TONTMAI!G7</f>
        <v>157500</v>
      </c>
      <c r="I7" s="8" t="s">
        <v>185</v>
      </c>
      <c r="J7" s="8">
        <v>260000</v>
      </c>
      <c r="K7" s="27">
        <v>42785</v>
      </c>
    </row>
    <row r="8" spans="1:12" x14ac:dyDescent="0.25">
      <c r="A8" s="1" t="s">
        <v>56</v>
      </c>
      <c r="B8" s="1" t="s">
        <v>57</v>
      </c>
      <c r="C8" s="8">
        <f t="shared" si="1"/>
        <v>60000</v>
      </c>
      <c r="D8" s="8">
        <f t="shared" si="0"/>
        <v>0</v>
      </c>
      <c r="E8" s="7" t="s">
        <v>39</v>
      </c>
      <c r="F8" s="8"/>
      <c r="G8" s="8"/>
      <c r="H8" s="8">
        <f>TONTAVRIL!F8+TONTMAI!G8</f>
        <v>0</v>
      </c>
      <c r="I8" s="8"/>
      <c r="J8" s="8"/>
      <c r="K8" s="27"/>
    </row>
    <row r="9" spans="1:12" x14ac:dyDescent="0.25">
      <c r="A9" s="1" t="s">
        <v>59</v>
      </c>
      <c r="B9" s="1" t="s">
        <v>60</v>
      </c>
      <c r="C9" s="8">
        <f t="shared" si="1"/>
        <v>60000</v>
      </c>
      <c r="D9" s="8">
        <f t="shared" si="0"/>
        <v>0</v>
      </c>
      <c r="E9" s="7" t="s">
        <v>19</v>
      </c>
      <c r="F9" s="8">
        <f>60000+60000</f>
        <v>120000</v>
      </c>
      <c r="G9" s="8">
        <f>1500+1500</f>
        <v>3000</v>
      </c>
      <c r="H9" s="8">
        <f>TONTMAI!F9+TONTMAI!G9</f>
        <v>39500</v>
      </c>
      <c r="I9" s="8" t="s">
        <v>183</v>
      </c>
      <c r="J9" s="8">
        <v>110000</v>
      </c>
      <c r="K9" s="27">
        <v>42813</v>
      </c>
    </row>
    <row r="10" spans="1:12" x14ac:dyDescent="0.25">
      <c r="A10" s="1" t="s">
        <v>59</v>
      </c>
      <c r="B10" s="1" t="s">
        <v>60</v>
      </c>
      <c r="C10" s="8">
        <f t="shared" si="1"/>
        <v>60000</v>
      </c>
      <c r="D10" s="8">
        <f t="shared" si="0"/>
        <v>0</v>
      </c>
      <c r="E10" s="7" t="s">
        <v>19</v>
      </c>
      <c r="F10" s="8"/>
      <c r="G10" s="8"/>
      <c r="H10" s="8">
        <f>TONTMAI!F10+TONTMAI!G10</f>
        <v>0</v>
      </c>
      <c r="I10" s="8"/>
      <c r="J10" s="8"/>
      <c r="K10" s="27"/>
    </row>
    <row r="11" spans="1:12" x14ac:dyDescent="0.25">
      <c r="A11" s="1" t="s">
        <v>59</v>
      </c>
      <c r="B11" s="1" t="s">
        <v>60</v>
      </c>
      <c r="C11" s="8">
        <f t="shared" si="1"/>
        <v>60000</v>
      </c>
      <c r="D11" s="8">
        <f t="shared" si="0"/>
        <v>0</v>
      </c>
      <c r="E11" s="7" t="s">
        <v>19</v>
      </c>
      <c r="F11" s="8"/>
      <c r="G11" s="8"/>
      <c r="H11" s="8">
        <f>TONTMAI!F11+TONTMAI!G11</f>
        <v>0</v>
      </c>
      <c r="I11" s="8"/>
      <c r="J11" s="8"/>
      <c r="K11" s="27"/>
    </row>
    <row r="12" spans="1:12" x14ac:dyDescent="0.25">
      <c r="A12" s="1" t="s">
        <v>77</v>
      </c>
      <c r="B12" s="1" t="s">
        <v>78</v>
      </c>
      <c r="C12" s="8">
        <f t="shared" si="1"/>
        <v>60000</v>
      </c>
      <c r="D12" s="8">
        <f t="shared" si="0"/>
        <v>0</v>
      </c>
      <c r="E12" s="7" t="s">
        <v>39</v>
      </c>
      <c r="F12" s="8"/>
      <c r="G12" s="8"/>
      <c r="H12" s="8">
        <f>TONTMAI!F12+TONTMAI!G12</f>
        <v>0</v>
      </c>
      <c r="I12" s="8"/>
      <c r="J12" s="8">
        <v>271000</v>
      </c>
      <c r="K12" s="27">
        <v>42785</v>
      </c>
    </row>
    <row r="13" spans="1:12" x14ac:dyDescent="0.25">
      <c r="A13" s="1" t="s">
        <v>81</v>
      </c>
      <c r="B13" s="1" t="s">
        <v>82</v>
      </c>
      <c r="C13" s="8">
        <f t="shared" si="1"/>
        <v>60000</v>
      </c>
      <c r="D13" s="8">
        <f t="shared" si="0"/>
        <v>0</v>
      </c>
      <c r="E13" s="7" t="s">
        <v>19</v>
      </c>
      <c r="F13" s="8"/>
      <c r="G13" s="8"/>
      <c r="H13" s="8">
        <f>TONTMAI!F13+TONTMAI!G13</f>
        <v>0</v>
      </c>
      <c r="I13" s="8"/>
      <c r="J13" s="8"/>
      <c r="K13" s="27"/>
    </row>
    <row r="14" spans="1:12" x14ac:dyDescent="0.25">
      <c r="A14" s="1" t="s">
        <v>92</v>
      </c>
      <c r="B14" s="1" t="s">
        <v>93</v>
      </c>
      <c r="C14" s="8">
        <f t="shared" si="1"/>
        <v>60000</v>
      </c>
      <c r="D14" s="8">
        <f t="shared" si="0"/>
        <v>0</v>
      </c>
      <c r="E14" s="7" t="s">
        <v>19</v>
      </c>
      <c r="F14" s="8"/>
      <c r="G14" s="8"/>
      <c r="H14" s="8">
        <f>TONTMAI!F14+TONTMAI!G14</f>
        <v>0</v>
      </c>
      <c r="I14" s="8"/>
      <c r="J14" s="8"/>
      <c r="K14" s="27"/>
    </row>
    <row r="15" spans="1:12" x14ac:dyDescent="0.25">
      <c r="A15" s="1" t="s">
        <v>25</v>
      </c>
      <c r="B15" s="1" t="s">
        <v>184</v>
      </c>
      <c r="C15" s="8">
        <f t="shared" si="1"/>
        <v>60000</v>
      </c>
      <c r="D15" s="8">
        <f t="shared" si="0"/>
        <v>0</v>
      </c>
      <c r="E15" s="7" t="s">
        <v>19</v>
      </c>
      <c r="F15" s="8"/>
      <c r="G15" s="8"/>
      <c r="H15" s="8">
        <f>TONTMAI!F15+TONTMAI!G15</f>
        <v>0</v>
      </c>
      <c r="I15" s="8"/>
      <c r="J15" s="8">
        <v>107000</v>
      </c>
      <c r="K15" s="27">
        <v>42841</v>
      </c>
    </row>
    <row r="16" spans="1:12" x14ac:dyDescent="0.25">
      <c r="A16" s="1" t="s">
        <v>26</v>
      </c>
      <c r="B16" s="1" t="s">
        <v>103</v>
      </c>
      <c r="C16" s="8">
        <f t="shared" si="1"/>
        <v>60000</v>
      </c>
      <c r="D16" s="8">
        <f t="shared" si="0"/>
        <v>0</v>
      </c>
      <c r="E16" s="7" t="s">
        <v>19</v>
      </c>
      <c r="F16" s="8">
        <f>60000+60000</f>
        <v>120000</v>
      </c>
      <c r="G16" s="8">
        <f>1000+1000</f>
        <v>2000</v>
      </c>
      <c r="H16" s="8">
        <f>TONTMAI!F16+TONTMAI!G16</f>
        <v>0</v>
      </c>
      <c r="I16" s="8"/>
      <c r="J16" s="8">
        <v>270000</v>
      </c>
      <c r="K16" s="27">
        <v>42750</v>
      </c>
    </row>
    <row r="17" spans="1:12" x14ac:dyDescent="0.25">
      <c r="A17" s="1" t="s">
        <v>29</v>
      </c>
      <c r="B17" s="1" t="s">
        <v>115</v>
      </c>
      <c r="C17" s="8">
        <f t="shared" si="1"/>
        <v>60000</v>
      </c>
      <c r="D17" s="8">
        <f t="shared" si="0"/>
        <v>0</v>
      </c>
      <c r="E17" s="7" t="s">
        <v>19</v>
      </c>
      <c r="F17" s="8"/>
      <c r="G17" s="8"/>
      <c r="H17" s="8">
        <f>TONTMAI!F17+TONTMAI!G17</f>
        <v>0</v>
      </c>
      <c r="I17" s="8"/>
      <c r="J17" s="8"/>
      <c r="K17" s="27"/>
    </row>
    <row r="18" spans="1:12" x14ac:dyDescent="0.25">
      <c r="A18" s="1" t="s">
        <v>125</v>
      </c>
      <c r="B18" s="1" t="s">
        <v>126</v>
      </c>
      <c r="C18" s="8">
        <f t="shared" si="1"/>
        <v>60000</v>
      </c>
      <c r="D18" s="8">
        <f t="shared" si="0"/>
        <v>0</v>
      </c>
      <c r="E18" s="7" t="s">
        <v>39</v>
      </c>
      <c r="F18" s="8">
        <f>60000+60000</f>
        <v>120000</v>
      </c>
      <c r="G18" s="8">
        <f>1000+1000</f>
        <v>2000</v>
      </c>
      <c r="H18" s="8">
        <f>TONTMAI!F18+TONTMAI!G18</f>
        <v>0</v>
      </c>
      <c r="I18" s="8"/>
      <c r="J18" s="8">
        <v>152000</v>
      </c>
      <c r="K18" s="27">
        <v>42876</v>
      </c>
      <c r="L18" s="1" t="s">
        <v>161</v>
      </c>
    </row>
    <row r="19" spans="1:12" x14ac:dyDescent="0.25">
      <c r="A19" s="1" t="s">
        <v>30</v>
      </c>
      <c r="B19" s="1" t="s">
        <v>128</v>
      </c>
      <c r="C19" s="8">
        <f t="shared" si="1"/>
        <v>60000</v>
      </c>
      <c r="D19" s="8">
        <f t="shared" si="0"/>
        <v>0</v>
      </c>
      <c r="E19" s="7" t="s">
        <v>19</v>
      </c>
      <c r="F19" s="8">
        <f>60000+60000</f>
        <v>120000</v>
      </c>
      <c r="G19" s="8">
        <f>1000+1000</f>
        <v>2000</v>
      </c>
      <c r="H19" s="8">
        <f>TONTMAI!F19+TONTMAI!G19</f>
        <v>0</v>
      </c>
      <c r="I19" s="8"/>
      <c r="J19" s="8">
        <v>108000</v>
      </c>
      <c r="K19" s="27">
        <v>42476</v>
      </c>
    </row>
    <row r="20" spans="1:12" x14ac:dyDescent="0.25">
      <c r="A20" s="1" t="s">
        <v>32</v>
      </c>
      <c r="B20" s="1" t="s">
        <v>140</v>
      </c>
      <c r="C20" s="8">
        <f t="shared" si="1"/>
        <v>60000</v>
      </c>
      <c r="D20" s="8">
        <f t="shared" si="0"/>
        <v>0</v>
      </c>
      <c r="E20" s="7" t="s">
        <v>19</v>
      </c>
      <c r="F20" s="8"/>
      <c r="G20" s="8"/>
      <c r="H20" s="8">
        <f>TONTMAI!F20+TONTMAI!G20</f>
        <v>0</v>
      </c>
      <c r="I20" s="8"/>
      <c r="J20" s="8"/>
      <c r="K20" s="27"/>
    </row>
    <row r="21" spans="1:12" x14ac:dyDescent="0.25">
      <c r="A21" s="1" t="s">
        <v>143</v>
      </c>
      <c r="B21" s="1" t="s">
        <v>144</v>
      </c>
      <c r="C21" s="8">
        <f t="shared" si="1"/>
        <v>60000</v>
      </c>
      <c r="D21" s="8">
        <f t="shared" si="0"/>
        <v>0</v>
      </c>
      <c r="E21" s="7" t="s">
        <v>39</v>
      </c>
      <c r="F21" s="8">
        <v>32000</v>
      </c>
      <c r="G21" s="8">
        <v>500</v>
      </c>
      <c r="H21" s="8">
        <f>TONTMAI!F21+TONTMAI!G21</f>
        <v>0</v>
      </c>
      <c r="I21" s="8"/>
      <c r="J21" s="8"/>
      <c r="K21" s="27">
        <v>42904</v>
      </c>
      <c r="L21" s="1" t="s">
        <v>128</v>
      </c>
    </row>
    <row r="22" spans="1:12" x14ac:dyDescent="0.25">
      <c r="A22" s="1" t="s">
        <v>143</v>
      </c>
      <c r="B22" s="1" t="s">
        <v>144</v>
      </c>
      <c r="C22" s="8">
        <f t="shared" si="1"/>
        <v>60000</v>
      </c>
      <c r="D22" s="8">
        <f t="shared" si="0"/>
        <v>0</v>
      </c>
      <c r="E22" s="7" t="s">
        <v>39</v>
      </c>
      <c r="F22" s="8"/>
      <c r="G22" s="8"/>
      <c r="H22" s="8">
        <f>TONTMAI!F22+TONTMAI!G22</f>
        <v>0</v>
      </c>
      <c r="I22" s="8"/>
      <c r="J22" s="8"/>
      <c r="K22" s="27"/>
    </row>
    <row r="23" spans="1:12" x14ac:dyDescent="0.25">
      <c r="A23" s="1" t="s">
        <v>33</v>
      </c>
      <c r="B23" s="1" t="s">
        <v>145</v>
      </c>
      <c r="C23" s="8">
        <f t="shared" si="1"/>
        <v>60000</v>
      </c>
      <c r="D23" s="8">
        <f t="shared" si="0"/>
        <v>0</v>
      </c>
      <c r="E23" s="7" t="s">
        <v>39</v>
      </c>
      <c r="F23" s="8">
        <f>60000+60000</f>
        <v>120000</v>
      </c>
      <c r="G23" s="8">
        <f>1500+1000</f>
        <v>2500</v>
      </c>
      <c r="H23" s="8">
        <f>TONTMAI!F23+TONTMAI!G23</f>
        <v>0</v>
      </c>
      <c r="I23" s="8"/>
      <c r="J23" s="8">
        <v>151000</v>
      </c>
      <c r="K23" s="27">
        <v>42876</v>
      </c>
    </row>
    <row r="24" spans="1:12" x14ac:dyDescent="0.25">
      <c r="A24" s="1" t="s">
        <v>151</v>
      </c>
      <c r="B24" s="1" t="s">
        <v>152</v>
      </c>
      <c r="C24" s="8">
        <f t="shared" si="1"/>
        <v>60000</v>
      </c>
      <c r="D24" s="8">
        <f t="shared" si="0"/>
        <v>0</v>
      </c>
      <c r="E24" s="7" t="s">
        <v>19</v>
      </c>
      <c r="F24" s="8"/>
      <c r="G24" s="8"/>
      <c r="H24" s="8">
        <f>TONTMAI!F24+TONTMAI!G24</f>
        <v>0</v>
      </c>
      <c r="I24" s="8"/>
      <c r="J24" s="8"/>
      <c r="K24" s="27"/>
    </row>
    <row r="25" spans="1:12" x14ac:dyDescent="0.25">
      <c r="A25" s="1" t="s">
        <v>36</v>
      </c>
      <c r="B25" s="1" t="s">
        <v>161</v>
      </c>
      <c r="C25" s="8">
        <f t="shared" si="1"/>
        <v>60000</v>
      </c>
      <c r="D25" s="8">
        <f t="shared" si="0"/>
        <v>0</v>
      </c>
      <c r="E25" s="7" t="s">
        <v>19</v>
      </c>
      <c r="F25" s="8"/>
      <c r="G25" s="8"/>
      <c r="H25" s="8">
        <f>TONTMAI!F25+TONTMAI!G25</f>
        <v>0</v>
      </c>
      <c r="I25" s="8"/>
      <c r="J25" s="8">
        <v>271000</v>
      </c>
      <c r="K25" s="27">
        <v>42750</v>
      </c>
    </row>
    <row r="26" spans="1:12" x14ac:dyDescent="0.25">
      <c r="A26" s="1" t="s">
        <v>165</v>
      </c>
      <c r="B26" s="1" t="s">
        <v>166</v>
      </c>
      <c r="C26" s="8">
        <f t="shared" si="1"/>
        <v>60000</v>
      </c>
      <c r="D26" s="8">
        <f t="shared" si="0"/>
        <v>0</v>
      </c>
      <c r="E26" s="7" t="s">
        <v>19</v>
      </c>
      <c r="F26" s="8">
        <f>60000+60000</f>
        <v>120000</v>
      </c>
      <c r="G26" s="8">
        <f>1000+1500</f>
        <v>2500</v>
      </c>
      <c r="H26" s="8">
        <f>TONTMAI!F26+TONTMAI!G26</f>
        <v>112500</v>
      </c>
      <c r="I26" s="8" t="s">
        <v>183</v>
      </c>
      <c r="J26" s="8"/>
      <c r="K26" s="27"/>
    </row>
    <row r="27" spans="1:12" x14ac:dyDescent="0.25">
      <c r="A27" s="1" t="s">
        <v>165</v>
      </c>
      <c r="B27" s="1" t="s">
        <v>166</v>
      </c>
      <c r="C27" s="8">
        <f t="shared" si="1"/>
        <v>60000</v>
      </c>
      <c r="D27" s="8">
        <f t="shared" si="0"/>
        <v>0</v>
      </c>
      <c r="E27" s="7" t="s">
        <v>19</v>
      </c>
      <c r="F27" s="8"/>
      <c r="G27" s="8"/>
      <c r="H27" s="8">
        <f>TONTMAI!F27+TONTMAI!G27</f>
        <v>0</v>
      </c>
      <c r="I27" s="8"/>
      <c r="J27" s="8"/>
      <c r="K27" s="27"/>
    </row>
    <row r="28" spans="1:12" x14ac:dyDescent="0.25">
      <c r="A28" s="1" t="s">
        <v>171</v>
      </c>
      <c r="B28" s="1" t="s">
        <v>172</v>
      </c>
      <c r="C28" s="8">
        <f t="shared" si="1"/>
        <v>60000</v>
      </c>
      <c r="D28" s="8">
        <f t="shared" si="0"/>
        <v>0</v>
      </c>
      <c r="E28" s="7" t="s">
        <v>39</v>
      </c>
      <c r="F28" s="8"/>
      <c r="G28" s="8"/>
      <c r="H28" s="8">
        <f>TONTMAI!F28+TONTMAI!G28</f>
        <v>0</v>
      </c>
      <c r="I28" s="8"/>
      <c r="J28" s="8"/>
      <c r="K28" s="27"/>
    </row>
    <row r="29" spans="1:12" x14ac:dyDescent="0.25">
      <c r="A29" s="1" t="s">
        <v>175</v>
      </c>
      <c r="B29" s="1" t="s">
        <v>176</v>
      </c>
      <c r="C29" s="8">
        <f t="shared" si="1"/>
        <v>60000</v>
      </c>
      <c r="D29" s="8">
        <f t="shared" si="0"/>
        <v>0</v>
      </c>
      <c r="E29" s="7" t="s">
        <v>19</v>
      </c>
      <c r="F29" s="8"/>
      <c r="G29" s="8"/>
      <c r="H29" s="8">
        <f>TONTMAI!F29+TONTMAI!G29</f>
        <v>0</v>
      </c>
      <c r="I29" s="8"/>
      <c r="J29" s="8"/>
      <c r="K29" s="27"/>
    </row>
    <row r="30" spans="1:12" x14ac:dyDescent="0.25">
      <c r="A30" s="1" t="s">
        <v>175</v>
      </c>
      <c r="B30" s="1" t="s">
        <v>176</v>
      </c>
      <c r="C30" s="8">
        <f t="shared" si="1"/>
        <v>60000</v>
      </c>
      <c r="D30" s="8">
        <f t="shared" si="0"/>
        <v>0</v>
      </c>
      <c r="E30" s="7" t="s">
        <v>19</v>
      </c>
      <c r="F30" s="8"/>
      <c r="G30" s="8"/>
      <c r="H30" s="8">
        <f>TONTMAI!F30+TONTMAI!G30</f>
        <v>0</v>
      </c>
      <c r="I30" s="8"/>
      <c r="J30" s="8"/>
      <c r="K30" s="27"/>
    </row>
    <row r="31" spans="1:12" x14ac:dyDescent="0.25">
      <c r="A31" s="1"/>
      <c r="B31" s="1"/>
      <c r="C31" s="8"/>
      <c r="D31" s="8"/>
      <c r="E31" s="7"/>
      <c r="F31" s="8"/>
      <c r="G31" s="8"/>
      <c r="J31" s="8"/>
    </row>
    <row r="32" spans="1:12" ht="18" x14ac:dyDescent="0.25">
      <c r="A32" s="9" t="s">
        <v>38</v>
      </c>
      <c r="B32" s="9"/>
      <c r="C32" s="10">
        <f>SUM(C6:C31)</f>
        <v>1500000</v>
      </c>
      <c r="D32" s="10">
        <f>SUM(D6:D31)</f>
        <v>0</v>
      </c>
      <c r="E32" s="10"/>
      <c r="F32" s="10">
        <f>SUM(F6:F31)</f>
        <v>752000</v>
      </c>
      <c r="G32" s="10">
        <f>SUM(G6:G31)</f>
        <v>14500</v>
      </c>
      <c r="H32" s="10">
        <f>SUM(H6:H31)</f>
        <v>309500</v>
      </c>
      <c r="I32" s="10">
        <f>SUM(I6:I31)</f>
        <v>0</v>
      </c>
      <c r="J32" s="10">
        <f>SUM(J6:J31)</f>
        <v>1700000</v>
      </c>
    </row>
    <row r="34" spans="2:6" ht="18" x14ac:dyDescent="0.25">
      <c r="B34" t="s">
        <v>182</v>
      </c>
      <c r="F34" s="10"/>
    </row>
    <row r="36" spans="2:6" ht="18" x14ac:dyDescent="0.25">
      <c r="B36" s="10" t="s">
        <v>39</v>
      </c>
      <c r="C36" s="10">
        <f>SUMIFS(C6:C31,E6:E31,"ESPECES")</f>
        <v>540000</v>
      </c>
      <c r="E36" s="10">
        <v>0</v>
      </c>
      <c r="F36" s="10">
        <f>C36+E36</f>
        <v>540000</v>
      </c>
    </row>
    <row r="37" spans="2:6" ht="18" x14ac:dyDescent="0.25">
      <c r="B37" s="10" t="s">
        <v>19</v>
      </c>
      <c r="C37" s="10">
        <f>SUMIFS(C6:C31,E6:E31,"BANQUE")</f>
        <v>960000</v>
      </c>
      <c r="E37" s="10">
        <v>152000</v>
      </c>
      <c r="F37" s="10">
        <f>C37+E37</f>
        <v>1112000</v>
      </c>
    </row>
    <row r="38" spans="2:6" ht="18" x14ac:dyDescent="0.25">
      <c r="B38" s="10" t="s">
        <v>12</v>
      </c>
      <c r="C38" s="10">
        <f>H32</f>
        <v>309500</v>
      </c>
    </row>
  </sheetData>
  <autoFilter ref="A5:L30"/>
  <mergeCells count="1">
    <mergeCell ref="C4:H4"/>
  </mergeCells>
  <dataValidations disablePrompts="1"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D6" activePane="bottomRight" state="frozen"/>
      <selection activeCell="I3" sqref="I3"/>
      <selection pane="topRight" activeCell="I3" sqref="I3"/>
      <selection pane="bottomLeft" activeCell="I3" sqref="I3"/>
      <selection pane="bottomRight" activeCell="I8" sqref="I8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style="2" bestFit="1" customWidth="1"/>
    <col min="11" max="11" width="14.85546875" style="25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60000</v>
      </c>
    </row>
    <row r="4" spans="1:12" ht="18" x14ac:dyDescent="0.25">
      <c r="B4" s="5"/>
      <c r="C4" s="31">
        <v>42932</v>
      </c>
      <c r="D4" s="32"/>
      <c r="E4" s="32"/>
      <c r="F4" s="32"/>
      <c r="G4" s="32"/>
      <c r="H4" s="32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26" t="s">
        <v>15</v>
      </c>
      <c r="L5" s="6" t="s">
        <v>181</v>
      </c>
    </row>
    <row r="6" spans="1:12" x14ac:dyDescent="0.25">
      <c r="A6" s="1" t="s">
        <v>17</v>
      </c>
      <c r="B6" s="1" t="s">
        <v>53</v>
      </c>
      <c r="C6" s="8">
        <f>IF(E6="ECHEC",0,60000)</f>
        <v>60000</v>
      </c>
      <c r="D6" s="8">
        <f t="shared" ref="D6:D30" si="0">IF(E6="ESPECES",0,0)</f>
        <v>0</v>
      </c>
      <c r="E6" s="7" t="s">
        <v>39</v>
      </c>
      <c r="F6" s="8"/>
      <c r="G6" s="8"/>
      <c r="H6" s="8">
        <f>TONTJUIN!F6+TONTJUIN!G6</f>
        <v>0</v>
      </c>
      <c r="I6" s="8"/>
      <c r="J6" s="8"/>
      <c r="K6" s="27"/>
    </row>
    <row r="7" spans="1:12" x14ac:dyDescent="0.25">
      <c r="A7" s="1" t="s">
        <v>56</v>
      </c>
      <c r="B7" s="1" t="s">
        <v>57</v>
      </c>
      <c r="C7" s="8">
        <f t="shared" ref="C7:C30" si="1">IF(E7="ECHEC",0,60000)</f>
        <v>60000</v>
      </c>
      <c r="D7" s="8">
        <f t="shared" si="0"/>
        <v>0</v>
      </c>
      <c r="E7" s="7" t="s">
        <v>19</v>
      </c>
      <c r="F7" s="8"/>
      <c r="G7" s="8"/>
      <c r="H7" s="8">
        <f>TONTJUIN!F7+TONTJUIN!G7</f>
        <v>0</v>
      </c>
      <c r="I7" s="8"/>
      <c r="J7" s="8">
        <v>260000</v>
      </c>
      <c r="K7" s="27">
        <v>42785</v>
      </c>
      <c r="L7" t="s">
        <v>188</v>
      </c>
    </row>
    <row r="8" spans="1:12" x14ac:dyDescent="0.25">
      <c r="A8" s="1" t="s">
        <v>56</v>
      </c>
      <c r="B8" s="1" t="s">
        <v>57</v>
      </c>
      <c r="C8" s="8">
        <f t="shared" si="1"/>
        <v>60000</v>
      </c>
      <c r="D8" s="8">
        <f t="shared" si="0"/>
        <v>0</v>
      </c>
      <c r="E8" s="7" t="s">
        <v>19</v>
      </c>
      <c r="F8" s="8"/>
      <c r="G8" s="8"/>
      <c r="H8" s="8">
        <f>TONTJUIN!H7</f>
        <v>157500</v>
      </c>
      <c r="I8" s="8" t="s">
        <v>185</v>
      </c>
      <c r="J8" s="8"/>
      <c r="K8" s="27"/>
    </row>
    <row r="9" spans="1:12" x14ac:dyDescent="0.25">
      <c r="A9" s="1" t="s">
        <v>59</v>
      </c>
      <c r="B9" s="1" t="s">
        <v>60</v>
      </c>
      <c r="C9" s="8">
        <f t="shared" si="1"/>
        <v>60000</v>
      </c>
      <c r="D9" s="8">
        <f t="shared" si="0"/>
        <v>0</v>
      </c>
      <c r="E9" s="7" t="s">
        <v>19</v>
      </c>
      <c r="F9" s="8"/>
      <c r="G9" s="8"/>
      <c r="H9" s="8">
        <f>TONTJUIN!F9+TONTJUIN!G9</f>
        <v>123000</v>
      </c>
      <c r="I9" s="8" t="s">
        <v>187</v>
      </c>
      <c r="J9" s="8">
        <v>110000</v>
      </c>
      <c r="K9" s="27">
        <v>42813</v>
      </c>
      <c r="L9" t="s">
        <v>189</v>
      </c>
    </row>
    <row r="10" spans="1:12" x14ac:dyDescent="0.25">
      <c r="A10" s="1" t="s">
        <v>59</v>
      </c>
      <c r="B10" s="1" t="s">
        <v>60</v>
      </c>
      <c r="C10" s="8">
        <f t="shared" si="1"/>
        <v>60000</v>
      </c>
      <c r="D10" s="8">
        <f t="shared" si="0"/>
        <v>0</v>
      </c>
      <c r="E10" s="7" t="s">
        <v>19</v>
      </c>
      <c r="F10" s="8"/>
      <c r="G10" s="8"/>
      <c r="H10" s="8">
        <f>TONTJUIN!F10+TONTJUIN!G10</f>
        <v>0</v>
      </c>
      <c r="I10" s="8"/>
      <c r="J10" s="8">
        <v>68000</v>
      </c>
      <c r="K10" s="27">
        <v>42932</v>
      </c>
      <c r="L10" t="s">
        <v>144</v>
      </c>
    </row>
    <row r="11" spans="1:12" x14ac:dyDescent="0.25">
      <c r="A11" s="1" t="s">
        <v>59</v>
      </c>
      <c r="B11" s="1" t="s">
        <v>60</v>
      </c>
      <c r="C11" s="8">
        <f t="shared" si="1"/>
        <v>60000</v>
      </c>
      <c r="D11" s="8">
        <f t="shared" si="0"/>
        <v>0</v>
      </c>
      <c r="E11" s="7" t="s">
        <v>19</v>
      </c>
      <c r="F11" s="8"/>
      <c r="G11" s="8"/>
      <c r="H11" s="8">
        <f>TONTJUIN!F11+TONTJUIN!G11</f>
        <v>0</v>
      </c>
      <c r="I11" s="8"/>
      <c r="J11" s="8"/>
      <c r="K11" s="27"/>
    </row>
    <row r="12" spans="1:12" x14ac:dyDescent="0.25">
      <c r="A12" s="1" t="s">
        <v>77</v>
      </c>
      <c r="B12" s="1" t="s">
        <v>78</v>
      </c>
      <c r="C12" s="8">
        <f t="shared" si="1"/>
        <v>60000</v>
      </c>
      <c r="D12" s="8">
        <f t="shared" si="0"/>
        <v>0</v>
      </c>
      <c r="E12" s="7" t="s">
        <v>19</v>
      </c>
      <c r="F12" s="8">
        <v>50000</v>
      </c>
      <c r="G12" s="8">
        <v>5000</v>
      </c>
      <c r="H12" s="8">
        <f>TONTJUIN!F12+TONTJUIN!G12</f>
        <v>0</v>
      </c>
      <c r="I12" s="8"/>
      <c r="J12" s="8">
        <v>271000</v>
      </c>
      <c r="K12" s="27">
        <v>42785</v>
      </c>
      <c r="L12" t="s">
        <v>190</v>
      </c>
    </row>
    <row r="13" spans="1:12" x14ac:dyDescent="0.25">
      <c r="A13" s="1" t="s">
        <v>81</v>
      </c>
      <c r="B13" s="1" t="s">
        <v>82</v>
      </c>
      <c r="C13" s="8">
        <f t="shared" si="1"/>
        <v>60000</v>
      </c>
      <c r="D13" s="8">
        <f t="shared" si="0"/>
        <v>0</v>
      </c>
      <c r="E13" s="7" t="s">
        <v>19</v>
      </c>
      <c r="F13" s="8"/>
      <c r="G13" s="8"/>
      <c r="H13" s="8">
        <f>TONTJUIN!F13+TONTJUIN!G13</f>
        <v>0</v>
      </c>
      <c r="I13" s="8"/>
      <c r="J13" s="8"/>
      <c r="K13" s="27"/>
    </row>
    <row r="14" spans="1:12" x14ac:dyDescent="0.25">
      <c r="A14" s="1" t="s">
        <v>92</v>
      </c>
      <c r="B14" s="1" t="s">
        <v>93</v>
      </c>
      <c r="C14" s="8">
        <f t="shared" si="1"/>
        <v>60000</v>
      </c>
      <c r="D14" s="8">
        <f t="shared" si="0"/>
        <v>0</v>
      </c>
      <c r="E14" s="7" t="s">
        <v>19</v>
      </c>
      <c r="F14" s="8"/>
      <c r="G14" s="8"/>
      <c r="H14" s="8">
        <f>TONTJUIN!F14+TONTJUIN!G14</f>
        <v>0</v>
      </c>
      <c r="I14" s="8"/>
      <c r="J14" s="8"/>
      <c r="K14" s="27"/>
    </row>
    <row r="15" spans="1:12" x14ac:dyDescent="0.25">
      <c r="A15" s="1" t="s">
        <v>25</v>
      </c>
      <c r="B15" s="1" t="s">
        <v>184</v>
      </c>
      <c r="C15" s="8">
        <f t="shared" si="1"/>
        <v>60000</v>
      </c>
      <c r="D15" s="8">
        <f t="shared" si="0"/>
        <v>0</v>
      </c>
      <c r="E15" s="7" t="s">
        <v>19</v>
      </c>
      <c r="F15" s="8"/>
      <c r="G15" s="8"/>
      <c r="H15" s="8">
        <f>TONTJUIN!F15+TONTJUIN!G15</f>
        <v>0</v>
      </c>
      <c r="I15" s="8"/>
      <c r="J15" s="8">
        <v>107000</v>
      </c>
      <c r="K15" s="27">
        <v>42841</v>
      </c>
      <c r="L15" t="s">
        <v>191</v>
      </c>
    </row>
    <row r="16" spans="1:12" x14ac:dyDescent="0.25">
      <c r="A16" s="1" t="s">
        <v>26</v>
      </c>
      <c r="B16" s="1" t="s">
        <v>103</v>
      </c>
      <c r="C16" s="8">
        <f t="shared" si="1"/>
        <v>60000</v>
      </c>
      <c r="D16" s="8">
        <f t="shared" si="0"/>
        <v>0</v>
      </c>
      <c r="E16" s="7" t="s">
        <v>19</v>
      </c>
      <c r="F16" s="8"/>
      <c r="G16" s="8"/>
      <c r="H16" s="8">
        <f>TONTJUIN!F16+TONTJUIN!G16</f>
        <v>122000</v>
      </c>
      <c r="I16" s="8" t="s">
        <v>186</v>
      </c>
      <c r="J16" s="8">
        <v>270000</v>
      </c>
      <c r="K16" s="27">
        <v>42750</v>
      </c>
    </row>
    <row r="17" spans="1:12" x14ac:dyDescent="0.25">
      <c r="A17" s="1" t="s">
        <v>29</v>
      </c>
      <c r="B17" s="1" t="s">
        <v>115</v>
      </c>
      <c r="C17" s="8">
        <f t="shared" si="1"/>
        <v>60000</v>
      </c>
      <c r="D17" s="8">
        <f t="shared" si="0"/>
        <v>0</v>
      </c>
      <c r="E17" s="7" t="s">
        <v>19</v>
      </c>
      <c r="F17" s="8"/>
      <c r="G17" s="8"/>
      <c r="H17" s="8">
        <f>TONTJUIN!F17+TONTJUIN!G17</f>
        <v>0</v>
      </c>
      <c r="I17" s="8"/>
      <c r="J17" s="8"/>
      <c r="K17" s="27"/>
    </row>
    <row r="18" spans="1:12" x14ac:dyDescent="0.25">
      <c r="A18" s="1" t="s">
        <v>125</v>
      </c>
      <c r="B18" s="1" t="s">
        <v>126</v>
      </c>
      <c r="C18" s="8">
        <f t="shared" si="1"/>
        <v>60000</v>
      </c>
      <c r="D18" s="8">
        <f t="shared" si="0"/>
        <v>0</v>
      </c>
      <c r="E18" s="7" t="s">
        <v>39</v>
      </c>
      <c r="F18" s="8"/>
      <c r="G18" s="8"/>
      <c r="H18" s="8">
        <f>TONTJUIN!F18+TONTJUIN!G18</f>
        <v>122000</v>
      </c>
      <c r="I18" s="8" t="s">
        <v>185</v>
      </c>
      <c r="J18" s="8">
        <v>152000</v>
      </c>
      <c r="K18" s="27">
        <v>42876</v>
      </c>
      <c r="L18" s="1" t="s">
        <v>161</v>
      </c>
    </row>
    <row r="19" spans="1:12" x14ac:dyDescent="0.25">
      <c r="A19" s="1" t="s">
        <v>30</v>
      </c>
      <c r="B19" s="1" t="s">
        <v>128</v>
      </c>
      <c r="C19" s="8">
        <f t="shared" si="1"/>
        <v>60000</v>
      </c>
      <c r="D19" s="8">
        <f t="shared" si="0"/>
        <v>0</v>
      </c>
      <c r="E19" s="7" t="s">
        <v>39</v>
      </c>
      <c r="F19" s="8"/>
      <c r="G19" s="8"/>
      <c r="H19" s="8">
        <f>TONTJUIN!F19+TONTJUIN!G19</f>
        <v>122000</v>
      </c>
      <c r="I19" s="8" t="s">
        <v>186</v>
      </c>
      <c r="J19" s="8">
        <v>108000</v>
      </c>
      <c r="K19" s="27">
        <v>42476</v>
      </c>
    </row>
    <row r="20" spans="1:12" x14ac:dyDescent="0.25">
      <c r="A20" s="1" t="s">
        <v>32</v>
      </c>
      <c r="B20" s="1" t="s">
        <v>140</v>
      </c>
      <c r="C20" s="8">
        <f t="shared" si="1"/>
        <v>60000</v>
      </c>
      <c r="D20" s="8">
        <f t="shared" si="0"/>
        <v>0</v>
      </c>
      <c r="E20" s="7" t="s">
        <v>19</v>
      </c>
      <c r="F20" s="8"/>
      <c r="G20" s="8"/>
      <c r="H20" s="8">
        <f>TONTJUIN!F20+TONTJUIN!G20</f>
        <v>0</v>
      </c>
      <c r="I20" s="8"/>
      <c r="J20" s="8"/>
      <c r="K20" s="27"/>
    </row>
    <row r="21" spans="1:12" x14ac:dyDescent="0.25">
      <c r="A21" s="1" t="s">
        <v>143</v>
      </c>
      <c r="B21" s="1" t="s">
        <v>144</v>
      </c>
      <c r="C21" s="8">
        <f t="shared" si="1"/>
        <v>60000</v>
      </c>
      <c r="D21" s="8">
        <f t="shared" si="0"/>
        <v>0</v>
      </c>
      <c r="E21" s="7" t="s">
        <v>39</v>
      </c>
      <c r="F21" s="8"/>
      <c r="G21" s="8"/>
      <c r="H21" s="8">
        <f>TONTJUIN!F21+TONTJUIN!G21</f>
        <v>32500</v>
      </c>
      <c r="I21" s="8" t="s">
        <v>183</v>
      </c>
      <c r="J21" s="8">
        <v>100000</v>
      </c>
      <c r="K21" s="27">
        <v>42904</v>
      </c>
      <c r="L21" s="1" t="s">
        <v>128</v>
      </c>
    </row>
    <row r="22" spans="1:12" x14ac:dyDescent="0.25">
      <c r="A22" s="1" t="s">
        <v>143</v>
      </c>
      <c r="B22" s="1" t="s">
        <v>144</v>
      </c>
      <c r="C22" s="8">
        <f t="shared" si="1"/>
        <v>60000</v>
      </c>
      <c r="D22" s="8">
        <f t="shared" si="0"/>
        <v>0</v>
      </c>
      <c r="E22" s="7" t="s">
        <v>39</v>
      </c>
      <c r="F22" s="8"/>
      <c r="G22" s="8"/>
      <c r="H22" s="8">
        <f>TONTJUIN!F22+TONTJUIN!G22</f>
        <v>0</v>
      </c>
      <c r="I22" s="8"/>
      <c r="J22" s="8"/>
      <c r="K22" s="27"/>
    </row>
    <row r="23" spans="1:12" x14ac:dyDescent="0.25">
      <c r="A23" s="1" t="s">
        <v>33</v>
      </c>
      <c r="B23" s="1" t="s">
        <v>145</v>
      </c>
      <c r="C23" s="8">
        <f t="shared" si="1"/>
        <v>60000</v>
      </c>
      <c r="D23" s="8">
        <f t="shared" si="0"/>
        <v>0</v>
      </c>
      <c r="E23" s="7" t="s">
        <v>39</v>
      </c>
      <c r="F23" s="8">
        <v>31000</v>
      </c>
      <c r="G23" s="8">
        <v>2000</v>
      </c>
      <c r="H23" s="8">
        <f>TONTJUIN!F23+TONTJUIN!G23</f>
        <v>122500</v>
      </c>
      <c r="I23" s="8" t="s">
        <v>186</v>
      </c>
      <c r="J23" s="8">
        <v>151000</v>
      </c>
      <c r="K23" s="27">
        <v>42876</v>
      </c>
    </row>
    <row r="24" spans="1:12" x14ac:dyDescent="0.25">
      <c r="A24" s="1" t="s">
        <v>151</v>
      </c>
      <c r="B24" s="1" t="s">
        <v>152</v>
      </c>
      <c r="C24" s="8">
        <f t="shared" si="1"/>
        <v>60000</v>
      </c>
      <c r="D24" s="8">
        <f t="shared" si="0"/>
        <v>0</v>
      </c>
      <c r="E24" s="7" t="s">
        <v>19</v>
      </c>
      <c r="F24" s="8"/>
      <c r="G24" s="8"/>
      <c r="H24" s="8">
        <f>TONTJUIN!F24+TONTJUIN!G24</f>
        <v>0</v>
      </c>
      <c r="I24" s="8"/>
      <c r="J24" s="8">
        <v>69000</v>
      </c>
      <c r="K24" s="27">
        <v>42932</v>
      </c>
      <c r="L24" t="s">
        <v>192</v>
      </c>
    </row>
    <row r="25" spans="1:12" x14ac:dyDescent="0.25">
      <c r="A25" s="1" t="s">
        <v>36</v>
      </c>
      <c r="B25" s="1" t="s">
        <v>161</v>
      </c>
      <c r="C25" s="8">
        <f t="shared" si="1"/>
        <v>60000</v>
      </c>
      <c r="D25" s="8">
        <f t="shared" si="0"/>
        <v>0</v>
      </c>
      <c r="E25" s="7" t="s">
        <v>39</v>
      </c>
      <c r="F25" s="8">
        <v>100000</v>
      </c>
      <c r="G25" s="8">
        <v>9000</v>
      </c>
      <c r="H25" s="8">
        <f>TONTJUIN!F25+TONTJUIN!G25</f>
        <v>0</v>
      </c>
      <c r="I25" s="8"/>
      <c r="J25" s="8">
        <v>271000</v>
      </c>
      <c r="K25" s="27">
        <v>42750</v>
      </c>
    </row>
    <row r="26" spans="1:12" x14ac:dyDescent="0.25">
      <c r="A26" s="1" t="s">
        <v>165</v>
      </c>
      <c r="B26" s="1" t="s">
        <v>166</v>
      </c>
      <c r="C26" s="8">
        <f t="shared" si="1"/>
        <v>60000</v>
      </c>
      <c r="D26" s="8">
        <f t="shared" si="0"/>
        <v>0</v>
      </c>
      <c r="E26" s="7" t="s">
        <v>39</v>
      </c>
      <c r="F26" s="8">
        <f>50000+50000</f>
        <v>100000</v>
      </c>
      <c r="G26" s="8">
        <v>9000</v>
      </c>
      <c r="H26" s="8">
        <f>TONTJUIN!F26+TONTJUIN!G26</f>
        <v>122500</v>
      </c>
      <c r="I26" s="8" t="s">
        <v>186</v>
      </c>
      <c r="J26" s="8"/>
      <c r="K26" s="27"/>
    </row>
    <row r="27" spans="1:12" x14ac:dyDescent="0.25">
      <c r="A27" s="1" t="s">
        <v>165</v>
      </c>
      <c r="B27" s="1" t="s">
        <v>166</v>
      </c>
      <c r="C27" s="8">
        <f t="shared" si="1"/>
        <v>60000</v>
      </c>
      <c r="D27" s="8">
        <f t="shared" si="0"/>
        <v>0</v>
      </c>
      <c r="E27" s="7" t="s">
        <v>39</v>
      </c>
      <c r="F27" s="8"/>
      <c r="G27" s="8"/>
      <c r="H27" s="8">
        <f>TONTJUIN!F27+TONTJUIN!G27</f>
        <v>0</v>
      </c>
      <c r="I27" s="8"/>
      <c r="J27" s="8"/>
      <c r="K27" s="27"/>
    </row>
    <row r="28" spans="1:12" x14ac:dyDescent="0.25">
      <c r="A28" s="1" t="s">
        <v>171</v>
      </c>
      <c r="B28" s="1" t="s">
        <v>172</v>
      </c>
      <c r="C28" s="8">
        <f t="shared" si="1"/>
        <v>60000</v>
      </c>
      <c r="D28" s="8">
        <f t="shared" si="0"/>
        <v>0</v>
      </c>
      <c r="E28" s="7" t="s">
        <v>39</v>
      </c>
      <c r="F28" s="8"/>
      <c r="G28" s="8"/>
      <c r="H28" s="8">
        <f>TONTJUIN!F28+TONTJUIN!G28</f>
        <v>0</v>
      </c>
      <c r="I28" s="8"/>
      <c r="J28" s="8"/>
      <c r="K28" s="27"/>
    </row>
    <row r="29" spans="1:12" x14ac:dyDescent="0.25">
      <c r="A29" s="1" t="s">
        <v>175</v>
      </c>
      <c r="B29" s="1" t="s">
        <v>176</v>
      </c>
      <c r="C29" s="8">
        <f t="shared" si="1"/>
        <v>60000</v>
      </c>
      <c r="D29" s="8">
        <f t="shared" si="0"/>
        <v>0</v>
      </c>
      <c r="E29" s="7" t="s">
        <v>19</v>
      </c>
      <c r="F29" s="8"/>
      <c r="G29" s="8"/>
      <c r="H29" s="8">
        <f>TONTJUIN!F29+TONTJUIN!G29</f>
        <v>0</v>
      </c>
      <c r="I29" s="8"/>
      <c r="J29" s="8"/>
      <c r="K29" s="27"/>
    </row>
    <row r="30" spans="1:12" x14ac:dyDescent="0.25">
      <c r="A30" s="1" t="s">
        <v>175</v>
      </c>
      <c r="B30" s="1" t="s">
        <v>176</v>
      </c>
      <c r="C30" s="8">
        <f t="shared" si="1"/>
        <v>60000</v>
      </c>
      <c r="D30" s="8">
        <f t="shared" si="0"/>
        <v>0</v>
      </c>
      <c r="E30" s="7" t="s">
        <v>19</v>
      </c>
      <c r="F30" s="8"/>
      <c r="G30" s="8"/>
      <c r="H30" s="8">
        <f>TONTJUIN!F30+TONTJUIN!G30</f>
        <v>0</v>
      </c>
      <c r="I30" s="8"/>
      <c r="J30" s="8"/>
      <c r="K30" s="27"/>
    </row>
    <row r="31" spans="1:12" x14ac:dyDescent="0.25">
      <c r="A31" s="1"/>
      <c r="B31" s="1"/>
      <c r="C31" s="8"/>
      <c r="D31" s="8"/>
      <c r="E31" s="7"/>
      <c r="F31" s="8"/>
      <c r="G31" s="8"/>
      <c r="J31" s="8"/>
    </row>
    <row r="32" spans="1:12" ht="18" x14ac:dyDescent="0.25">
      <c r="A32" s="9" t="s">
        <v>38</v>
      </c>
      <c r="B32" s="9"/>
      <c r="C32" s="10">
        <f>SUM(C6:C31)</f>
        <v>1500000</v>
      </c>
      <c r="D32" s="10">
        <f>SUM(D6:D31)</f>
        <v>0</v>
      </c>
      <c r="E32" s="10"/>
      <c r="F32" s="10">
        <f>SUM(F6:F31)</f>
        <v>281000</v>
      </c>
      <c r="G32" s="10">
        <f>SUM(G6:G31)</f>
        <v>25000</v>
      </c>
      <c r="H32" s="10">
        <f>SUM(H6:H31)</f>
        <v>924000</v>
      </c>
      <c r="I32" s="10">
        <f>SUM(I6:I31)</f>
        <v>0</v>
      </c>
      <c r="J32" s="10">
        <f>SUM(J6:J31)</f>
        <v>1937000</v>
      </c>
    </row>
    <row r="34" spans="2:6" ht="18" x14ac:dyDescent="0.25">
      <c r="B34" t="s">
        <v>182</v>
      </c>
      <c r="F34" s="10"/>
    </row>
    <row r="36" spans="2:6" ht="18" x14ac:dyDescent="0.25">
      <c r="B36" s="10" t="s">
        <v>39</v>
      </c>
      <c r="C36" s="10">
        <f>SUMIFS(C6:C31,E6:E31,"ESPECES")</f>
        <v>600000</v>
      </c>
      <c r="E36" s="10">
        <v>0</v>
      </c>
      <c r="F36" s="10">
        <f>C36+E36</f>
        <v>600000</v>
      </c>
    </row>
    <row r="37" spans="2:6" ht="18" x14ac:dyDescent="0.25">
      <c r="B37" s="10" t="s">
        <v>19</v>
      </c>
      <c r="C37" s="10">
        <f>SUMIFS(C6:C31,E6:E31,"BANQUE")</f>
        <v>900000</v>
      </c>
      <c r="E37" s="10">
        <v>152000</v>
      </c>
      <c r="F37" s="10">
        <f>C37+E37</f>
        <v>1052000</v>
      </c>
    </row>
    <row r="38" spans="2:6" ht="18" x14ac:dyDescent="0.25">
      <c r="B38" s="10" t="s">
        <v>12</v>
      </c>
      <c r="C38" s="10">
        <f>H32</f>
        <v>924000</v>
      </c>
    </row>
  </sheetData>
  <autoFilter ref="A5:L30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>
      <pane xSplit="2" ySplit="5" topLeftCell="C33" activePane="bottomRight" state="frozen"/>
      <selection activeCell="I3" sqref="I3"/>
      <selection pane="topRight" activeCell="I3" sqref="I3"/>
      <selection pane="bottomLeft" activeCell="I3" sqref="I3"/>
      <selection pane="bottomRight" activeCell="D36" sqref="D36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style="2" bestFit="1" customWidth="1"/>
    <col min="11" max="11" width="15.5703125" style="25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60000</v>
      </c>
    </row>
    <row r="4" spans="1:12" ht="18" x14ac:dyDescent="0.25">
      <c r="B4" s="5"/>
      <c r="C4" s="31">
        <v>42967</v>
      </c>
      <c r="D4" s="32"/>
      <c r="E4" s="32"/>
      <c r="F4" s="32"/>
      <c r="G4" s="32"/>
      <c r="H4" s="32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26" t="s">
        <v>15</v>
      </c>
      <c r="L5" s="6" t="s">
        <v>181</v>
      </c>
    </row>
    <row r="6" spans="1:12" x14ac:dyDescent="0.25">
      <c r="A6" s="1" t="s">
        <v>17</v>
      </c>
      <c r="B6" s="1" t="s">
        <v>53</v>
      </c>
      <c r="C6" s="8">
        <f>IF(E6="ECHEC",0,60000)</f>
        <v>60000</v>
      </c>
      <c r="D6" s="8">
        <f t="shared" ref="D6:D30" si="0">IF(E6="ESPECES",0,0)</f>
        <v>0</v>
      </c>
      <c r="E6" s="7" t="s">
        <v>39</v>
      </c>
      <c r="F6" s="8"/>
      <c r="G6" s="8"/>
      <c r="H6" s="8">
        <f>TONTJUIL!F6+TONTJUIL!G6</f>
        <v>0</v>
      </c>
      <c r="I6" s="8"/>
      <c r="J6" s="8"/>
      <c r="K6" s="27"/>
    </row>
    <row r="7" spans="1:12" x14ac:dyDescent="0.25">
      <c r="A7" s="1" t="s">
        <v>56</v>
      </c>
      <c r="B7" s="1" t="s">
        <v>57</v>
      </c>
      <c r="C7" s="8">
        <f t="shared" ref="C7:C30" si="1">IF(E7="ECHEC",0,60000)</f>
        <v>60000</v>
      </c>
      <c r="D7" s="8">
        <f t="shared" si="0"/>
        <v>0</v>
      </c>
      <c r="E7" s="7" t="s">
        <v>39</v>
      </c>
      <c r="F7" s="8"/>
      <c r="G7" s="8"/>
      <c r="H7" s="8">
        <v>157500</v>
      </c>
      <c r="I7" s="8" t="s">
        <v>185</v>
      </c>
      <c r="J7" s="8">
        <v>260000</v>
      </c>
      <c r="K7" s="27">
        <v>42785</v>
      </c>
      <c r="L7" t="s">
        <v>188</v>
      </c>
    </row>
    <row r="8" spans="1:12" x14ac:dyDescent="0.25">
      <c r="A8" s="1" t="s">
        <v>56</v>
      </c>
      <c r="B8" s="1" t="s">
        <v>57</v>
      </c>
      <c r="C8" s="8">
        <f t="shared" si="1"/>
        <v>60000</v>
      </c>
      <c r="D8" s="8">
        <f t="shared" si="0"/>
        <v>0</v>
      </c>
      <c r="E8" s="7" t="s">
        <v>39</v>
      </c>
      <c r="F8" s="8"/>
      <c r="G8" s="8"/>
      <c r="H8" s="8">
        <f>TONTJUIL!F8+TONTJUIL!G8</f>
        <v>0</v>
      </c>
      <c r="I8" s="8"/>
      <c r="J8" s="8"/>
      <c r="K8" s="27"/>
    </row>
    <row r="9" spans="1:12" x14ac:dyDescent="0.25">
      <c r="A9" s="1" t="s">
        <v>59</v>
      </c>
      <c r="B9" s="1" t="s">
        <v>60</v>
      </c>
      <c r="C9" s="8">
        <f t="shared" si="1"/>
        <v>60000</v>
      </c>
      <c r="D9" s="8">
        <f t="shared" si="0"/>
        <v>0</v>
      </c>
      <c r="E9" s="7" t="s">
        <v>19</v>
      </c>
      <c r="F9" s="8"/>
      <c r="G9" s="8"/>
      <c r="H9" s="8">
        <f>TONTJUIL!F9+TONTJUIL!G9</f>
        <v>0</v>
      </c>
      <c r="I9" s="8"/>
      <c r="J9" s="8">
        <v>110000</v>
      </c>
      <c r="K9" s="27">
        <v>42813</v>
      </c>
      <c r="L9" t="s">
        <v>189</v>
      </c>
    </row>
    <row r="10" spans="1:12" x14ac:dyDescent="0.25">
      <c r="A10" s="1" t="s">
        <v>59</v>
      </c>
      <c r="B10" s="1" t="s">
        <v>60</v>
      </c>
      <c r="C10" s="8">
        <f t="shared" si="1"/>
        <v>60000</v>
      </c>
      <c r="D10" s="8">
        <f t="shared" si="0"/>
        <v>0</v>
      </c>
      <c r="E10" s="7" t="s">
        <v>19</v>
      </c>
      <c r="F10" s="8"/>
      <c r="G10" s="8"/>
      <c r="H10" s="8">
        <f>TONTJUIL!F10+TONTJUIL!G10</f>
        <v>0</v>
      </c>
      <c r="I10" s="8"/>
      <c r="J10" s="8">
        <v>68000</v>
      </c>
      <c r="K10" s="27">
        <v>42932</v>
      </c>
      <c r="L10" t="s">
        <v>144</v>
      </c>
    </row>
    <row r="11" spans="1:12" x14ac:dyDescent="0.25">
      <c r="A11" s="1" t="s">
        <v>59</v>
      </c>
      <c r="B11" s="1" t="s">
        <v>60</v>
      </c>
      <c r="C11" s="8">
        <f t="shared" si="1"/>
        <v>60000</v>
      </c>
      <c r="D11" s="8">
        <f t="shared" si="0"/>
        <v>0</v>
      </c>
      <c r="E11" s="7" t="s">
        <v>19</v>
      </c>
      <c r="F11" s="8"/>
      <c r="G11" s="8"/>
      <c r="H11" s="8">
        <f>TONTJUIL!F11+TONTJUIL!G11</f>
        <v>0</v>
      </c>
      <c r="I11" s="8"/>
      <c r="J11" s="8"/>
      <c r="K11" s="27"/>
    </row>
    <row r="12" spans="1:12" x14ac:dyDescent="0.25">
      <c r="A12" s="1" t="s">
        <v>77</v>
      </c>
      <c r="B12" s="1" t="s">
        <v>78</v>
      </c>
      <c r="C12" s="8">
        <f t="shared" si="1"/>
        <v>60000</v>
      </c>
      <c r="D12" s="8">
        <f t="shared" si="0"/>
        <v>0</v>
      </c>
      <c r="E12" s="7" t="s">
        <v>39</v>
      </c>
      <c r="F12" s="8"/>
      <c r="G12" s="8"/>
      <c r="H12" s="8">
        <f>TONTJUIL!F12+TONTJUIL!G12</f>
        <v>55000</v>
      </c>
      <c r="I12" s="8" t="s">
        <v>193</v>
      </c>
      <c r="J12" s="8">
        <v>271000</v>
      </c>
      <c r="K12" s="27">
        <v>42785</v>
      </c>
      <c r="L12" t="s">
        <v>190</v>
      </c>
    </row>
    <row r="13" spans="1:12" x14ac:dyDescent="0.25">
      <c r="A13" s="1" t="s">
        <v>81</v>
      </c>
      <c r="B13" s="1" t="s">
        <v>82</v>
      </c>
      <c r="C13" s="8">
        <f t="shared" si="1"/>
        <v>60000</v>
      </c>
      <c r="D13" s="8">
        <f t="shared" si="0"/>
        <v>0</v>
      </c>
      <c r="E13" s="7" t="s">
        <v>19</v>
      </c>
      <c r="F13" s="8"/>
      <c r="G13" s="8"/>
      <c r="H13" s="8">
        <f>TONTJUIL!F13+TONTJUIL!G13</f>
        <v>0</v>
      </c>
      <c r="I13" s="8"/>
      <c r="J13" s="8"/>
      <c r="K13" s="27"/>
    </row>
    <row r="14" spans="1:12" x14ac:dyDescent="0.25">
      <c r="A14" s="1" t="s">
        <v>92</v>
      </c>
      <c r="B14" s="1" t="s">
        <v>93</v>
      </c>
      <c r="C14" s="8">
        <f t="shared" si="1"/>
        <v>60000</v>
      </c>
      <c r="D14" s="8">
        <f t="shared" si="0"/>
        <v>0</v>
      </c>
      <c r="E14" s="7" t="s">
        <v>19</v>
      </c>
      <c r="F14" s="8"/>
      <c r="G14" s="8"/>
      <c r="H14" s="8">
        <f>TONTJUIL!F14+TONTJUIL!G14</f>
        <v>0</v>
      </c>
      <c r="I14" s="8"/>
      <c r="J14" s="8"/>
      <c r="K14" s="27"/>
    </row>
    <row r="15" spans="1:12" x14ac:dyDescent="0.25">
      <c r="A15" s="1" t="s">
        <v>25</v>
      </c>
      <c r="B15" s="1" t="s">
        <v>184</v>
      </c>
      <c r="C15" s="8">
        <f t="shared" si="1"/>
        <v>60000</v>
      </c>
      <c r="D15" s="8">
        <f t="shared" si="0"/>
        <v>0</v>
      </c>
      <c r="E15" s="7" t="s">
        <v>39</v>
      </c>
      <c r="F15" s="8"/>
      <c r="G15" s="8"/>
      <c r="H15" s="8">
        <f>TONTJUIL!F15+TONTJUIL!G15</f>
        <v>0</v>
      </c>
      <c r="I15" s="8"/>
      <c r="J15" s="8">
        <v>107000</v>
      </c>
      <c r="K15" s="27">
        <v>42841</v>
      </c>
      <c r="L15" t="s">
        <v>191</v>
      </c>
    </row>
    <row r="16" spans="1:12" x14ac:dyDescent="0.25">
      <c r="A16" s="1" t="s">
        <v>26</v>
      </c>
      <c r="B16" s="1" t="s">
        <v>103</v>
      </c>
      <c r="C16" s="8">
        <f t="shared" si="1"/>
        <v>60000</v>
      </c>
      <c r="D16" s="8">
        <f t="shared" si="0"/>
        <v>0</v>
      </c>
      <c r="E16" s="7" t="s">
        <v>39</v>
      </c>
      <c r="F16" s="8"/>
      <c r="G16" s="8"/>
      <c r="H16" s="8">
        <f>TONTJUIL!F16+TONTJUIL!G16</f>
        <v>0</v>
      </c>
      <c r="I16" s="8"/>
      <c r="J16" s="8">
        <v>270000</v>
      </c>
      <c r="K16" s="27">
        <v>42750</v>
      </c>
    </row>
    <row r="17" spans="1:12" x14ac:dyDescent="0.25">
      <c r="A17" s="1" t="s">
        <v>29</v>
      </c>
      <c r="B17" s="1" t="s">
        <v>115</v>
      </c>
      <c r="C17" s="8">
        <f t="shared" si="1"/>
        <v>60000</v>
      </c>
      <c r="D17" s="8">
        <f t="shared" si="0"/>
        <v>0</v>
      </c>
      <c r="E17" s="7" t="s">
        <v>19</v>
      </c>
      <c r="F17" s="8"/>
      <c r="G17" s="8"/>
      <c r="H17" s="8">
        <f>TONTJUIL!F17+TONTJUIL!G17</f>
        <v>0</v>
      </c>
      <c r="I17" s="8"/>
      <c r="J17" s="8"/>
      <c r="K17" s="27"/>
    </row>
    <row r="18" spans="1:12" x14ac:dyDescent="0.25">
      <c r="A18" s="1" t="s">
        <v>125</v>
      </c>
      <c r="B18" s="1" t="s">
        <v>126</v>
      </c>
      <c r="C18" s="8">
        <f t="shared" si="1"/>
        <v>60000</v>
      </c>
      <c r="D18" s="8">
        <f t="shared" si="0"/>
        <v>0</v>
      </c>
      <c r="E18" s="7" t="s">
        <v>39</v>
      </c>
      <c r="F18" s="8"/>
      <c r="G18" s="8"/>
      <c r="H18" s="8">
        <v>126000</v>
      </c>
      <c r="I18" s="8" t="s">
        <v>185</v>
      </c>
      <c r="J18" s="8">
        <v>152000</v>
      </c>
      <c r="K18" s="27">
        <v>42876</v>
      </c>
      <c r="L18" t="s">
        <v>161</v>
      </c>
    </row>
    <row r="19" spans="1:12" x14ac:dyDescent="0.25">
      <c r="A19" s="1" t="s">
        <v>30</v>
      </c>
      <c r="B19" s="1" t="s">
        <v>128</v>
      </c>
      <c r="C19" s="8">
        <f t="shared" si="1"/>
        <v>60000</v>
      </c>
      <c r="D19" s="8">
        <f t="shared" si="0"/>
        <v>0</v>
      </c>
      <c r="E19" s="7" t="s">
        <v>39</v>
      </c>
      <c r="F19" s="8"/>
      <c r="G19" s="8"/>
      <c r="H19" s="8">
        <f>TONTJUIL!F19+TONTJUIL!G19</f>
        <v>0</v>
      </c>
      <c r="I19" s="8"/>
      <c r="J19" s="8">
        <v>108000</v>
      </c>
      <c r="K19" s="27">
        <v>42476</v>
      </c>
    </row>
    <row r="20" spans="1:12" x14ac:dyDescent="0.25">
      <c r="A20" s="1" t="s">
        <v>32</v>
      </c>
      <c r="B20" s="1" t="s">
        <v>140</v>
      </c>
      <c r="C20" s="8">
        <f t="shared" si="1"/>
        <v>60000</v>
      </c>
      <c r="D20" s="8">
        <f t="shared" si="0"/>
        <v>0</v>
      </c>
      <c r="E20" s="7" t="s">
        <v>19</v>
      </c>
      <c r="F20" s="8"/>
      <c r="G20" s="8"/>
      <c r="H20" s="8">
        <f>TONTJUIL!F20+TONTJUIL!G20</f>
        <v>0</v>
      </c>
      <c r="I20" s="8"/>
      <c r="J20" s="8"/>
      <c r="K20" s="27"/>
    </row>
    <row r="21" spans="1:12" x14ac:dyDescent="0.25">
      <c r="A21" s="1" t="s">
        <v>143</v>
      </c>
      <c r="B21" s="1" t="s">
        <v>144</v>
      </c>
      <c r="C21" s="8">
        <f t="shared" si="1"/>
        <v>60000</v>
      </c>
      <c r="D21" s="8">
        <f t="shared" si="0"/>
        <v>0</v>
      </c>
      <c r="E21" s="7" t="s">
        <v>39</v>
      </c>
      <c r="F21" s="8"/>
      <c r="G21" s="8"/>
      <c r="H21" s="8">
        <f>TONTJUIL!F21+TONTJUIL!G21</f>
        <v>0</v>
      </c>
      <c r="I21" s="8"/>
      <c r="J21" s="8">
        <v>100000</v>
      </c>
      <c r="K21" s="27">
        <v>42904</v>
      </c>
      <c r="L21" t="s">
        <v>128</v>
      </c>
    </row>
    <row r="22" spans="1:12" x14ac:dyDescent="0.25">
      <c r="A22" s="1" t="s">
        <v>143</v>
      </c>
      <c r="B22" s="1" t="s">
        <v>144</v>
      </c>
      <c r="C22" s="8">
        <f t="shared" si="1"/>
        <v>60000</v>
      </c>
      <c r="D22" s="8">
        <f t="shared" si="0"/>
        <v>0</v>
      </c>
      <c r="E22" s="7" t="s">
        <v>39</v>
      </c>
      <c r="F22" s="8"/>
      <c r="G22" s="8"/>
      <c r="H22" s="8">
        <f>TONTJUIL!F22+TONTJUIL!G22</f>
        <v>0</v>
      </c>
      <c r="I22" s="8"/>
      <c r="J22" s="8"/>
      <c r="K22" s="27"/>
    </row>
    <row r="23" spans="1:12" x14ac:dyDescent="0.25">
      <c r="A23" s="1" t="s">
        <v>33</v>
      </c>
      <c r="B23" s="1" t="s">
        <v>145</v>
      </c>
      <c r="C23" s="8">
        <f t="shared" si="1"/>
        <v>60000</v>
      </c>
      <c r="D23" s="8">
        <f t="shared" si="0"/>
        <v>0</v>
      </c>
      <c r="E23" s="7" t="s">
        <v>39</v>
      </c>
      <c r="F23" s="8"/>
      <c r="G23" s="8"/>
      <c r="H23" s="8">
        <f>TONTJUIL!F23+TONTJUIL!G23</f>
        <v>33000</v>
      </c>
      <c r="I23" s="8" t="s">
        <v>183</v>
      </c>
      <c r="J23" s="8">
        <v>151000</v>
      </c>
      <c r="K23" s="27">
        <v>42876</v>
      </c>
    </row>
    <row r="24" spans="1:12" x14ac:dyDescent="0.25">
      <c r="A24" s="1" t="s">
        <v>151</v>
      </c>
      <c r="B24" s="1" t="s">
        <v>152</v>
      </c>
      <c r="C24" s="8">
        <f t="shared" si="1"/>
        <v>60000</v>
      </c>
      <c r="D24" s="8">
        <f t="shared" si="0"/>
        <v>0</v>
      </c>
      <c r="E24" s="7" t="s">
        <v>19</v>
      </c>
      <c r="F24" s="8"/>
      <c r="G24" s="8"/>
      <c r="H24" s="8">
        <f>TONTJUIL!F24+TONTJUIL!G24</f>
        <v>0</v>
      </c>
      <c r="I24" s="8"/>
      <c r="J24" s="8">
        <v>69000</v>
      </c>
      <c r="K24" s="27">
        <v>42932</v>
      </c>
      <c r="L24" t="s">
        <v>192</v>
      </c>
    </row>
    <row r="25" spans="1:12" x14ac:dyDescent="0.25">
      <c r="A25" s="1" t="s">
        <v>36</v>
      </c>
      <c r="B25" s="1" t="s">
        <v>161</v>
      </c>
      <c r="C25" s="8">
        <f t="shared" si="1"/>
        <v>60000</v>
      </c>
      <c r="D25" s="8">
        <f t="shared" si="0"/>
        <v>0</v>
      </c>
      <c r="E25" s="7" t="s">
        <v>39</v>
      </c>
      <c r="F25" s="8"/>
      <c r="G25" s="8"/>
      <c r="H25" s="8">
        <f>TONTJUIL!F25+TONTJUIL!G25</f>
        <v>109000</v>
      </c>
      <c r="I25" s="8" t="s">
        <v>183</v>
      </c>
      <c r="J25" s="8">
        <v>271000</v>
      </c>
      <c r="K25" s="27">
        <v>42750</v>
      </c>
    </row>
    <row r="26" spans="1:12" x14ac:dyDescent="0.25">
      <c r="A26" s="1" t="s">
        <v>165</v>
      </c>
      <c r="B26" s="1" t="s">
        <v>166</v>
      </c>
      <c r="C26" s="8">
        <f t="shared" si="1"/>
        <v>60000</v>
      </c>
      <c r="D26" s="8">
        <f t="shared" si="0"/>
        <v>0</v>
      </c>
      <c r="E26" s="7" t="s">
        <v>39</v>
      </c>
      <c r="F26" s="8"/>
      <c r="G26" s="8"/>
      <c r="H26" s="8">
        <f>TONTJUIL!F26+TONTJUIL!G26</f>
        <v>109000</v>
      </c>
      <c r="I26" s="8" t="s">
        <v>183</v>
      </c>
      <c r="J26" s="8">
        <v>70000</v>
      </c>
      <c r="K26" s="27">
        <v>42967</v>
      </c>
      <c r="L26" t="s">
        <v>103</v>
      </c>
    </row>
    <row r="27" spans="1:12" x14ac:dyDescent="0.25">
      <c r="A27" s="1" t="s">
        <v>165</v>
      </c>
      <c r="B27" s="1" t="s">
        <v>166</v>
      </c>
      <c r="C27" s="8">
        <f t="shared" si="1"/>
        <v>60000</v>
      </c>
      <c r="D27" s="8">
        <f t="shared" si="0"/>
        <v>0</v>
      </c>
      <c r="E27" s="7" t="s">
        <v>39</v>
      </c>
      <c r="F27" s="8"/>
      <c r="G27" s="8"/>
      <c r="H27" s="8">
        <f>TONTJUIL!F27+TONTJUIL!G27</f>
        <v>0</v>
      </c>
      <c r="I27" s="8"/>
      <c r="J27" s="8"/>
      <c r="K27" s="27"/>
    </row>
    <row r="28" spans="1:12" x14ac:dyDescent="0.25">
      <c r="A28" s="1" t="s">
        <v>171</v>
      </c>
      <c r="B28" s="1" t="s">
        <v>172</v>
      </c>
      <c r="C28" s="8">
        <f t="shared" si="1"/>
        <v>60000</v>
      </c>
      <c r="D28" s="8">
        <f t="shared" si="0"/>
        <v>0</v>
      </c>
      <c r="E28" s="7" t="s">
        <v>39</v>
      </c>
      <c r="F28" s="8"/>
      <c r="G28" s="8"/>
      <c r="H28" s="8">
        <f>TONTJUIL!F28+TONTJUIL!G28</f>
        <v>0</v>
      </c>
      <c r="I28" s="8"/>
      <c r="J28" s="8">
        <v>60000</v>
      </c>
      <c r="K28" s="27">
        <v>42967</v>
      </c>
    </row>
    <row r="29" spans="1:12" x14ac:dyDescent="0.25">
      <c r="A29" s="1" t="s">
        <v>175</v>
      </c>
      <c r="B29" s="1" t="s">
        <v>176</v>
      </c>
      <c r="C29" s="8">
        <f t="shared" si="1"/>
        <v>60000</v>
      </c>
      <c r="D29" s="8">
        <f t="shared" si="0"/>
        <v>0</v>
      </c>
      <c r="E29" s="7" t="s">
        <v>19</v>
      </c>
      <c r="F29" s="8"/>
      <c r="G29" s="8"/>
      <c r="H29" s="8">
        <f>TONTJUIL!F29+TONTJUIL!G29</f>
        <v>0</v>
      </c>
      <c r="I29" s="8"/>
      <c r="J29" s="8"/>
      <c r="K29" s="27"/>
    </row>
    <row r="30" spans="1:12" x14ac:dyDescent="0.25">
      <c r="A30" s="1" t="s">
        <v>175</v>
      </c>
      <c r="B30" s="1" t="s">
        <v>176</v>
      </c>
      <c r="C30" s="8">
        <f t="shared" si="1"/>
        <v>60000</v>
      </c>
      <c r="D30" s="8">
        <f t="shared" si="0"/>
        <v>0</v>
      </c>
      <c r="E30" s="7" t="s">
        <v>19</v>
      </c>
      <c r="F30" s="8"/>
      <c r="G30" s="8"/>
      <c r="H30" s="8">
        <f>TONTJUIL!F30+TONTJUIL!G30</f>
        <v>0</v>
      </c>
      <c r="I30" s="8"/>
      <c r="J30" s="8"/>
      <c r="K30" s="27"/>
    </row>
    <row r="31" spans="1:12" x14ac:dyDescent="0.25">
      <c r="A31" s="1"/>
      <c r="B31" s="1"/>
      <c r="C31" s="8"/>
      <c r="D31" s="8"/>
      <c r="E31" s="7"/>
      <c r="F31" s="8"/>
      <c r="G31" s="8"/>
      <c r="J31" s="8"/>
    </row>
    <row r="32" spans="1:12" ht="18" x14ac:dyDescent="0.25">
      <c r="A32" s="9" t="s">
        <v>38</v>
      </c>
      <c r="B32" s="9"/>
      <c r="C32" s="10">
        <f>SUM(C6:C31)</f>
        <v>1500000</v>
      </c>
      <c r="D32" s="10">
        <f>SUM(D6:D31)</f>
        <v>0</v>
      </c>
      <c r="E32" s="10"/>
      <c r="F32" s="10">
        <f>SUM(F6:F31)</f>
        <v>0</v>
      </c>
      <c r="G32" s="10">
        <f>SUM(G6:G31)</f>
        <v>0</v>
      </c>
      <c r="H32" s="10">
        <f>SUM(H6:H31)</f>
        <v>589500</v>
      </c>
      <c r="I32" s="10">
        <f>SUM(I6:I31)</f>
        <v>0</v>
      </c>
      <c r="J32" s="10">
        <f>SUM(J6:J31)</f>
        <v>2067000</v>
      </c>
    </row>
    <row r="34" spans="2:8" ht="18" x14ac:dyDescent="0.25">
      <c r="B34" s="10" t="s">
        <v>196</v>
      </c>
      <c r="D34" s="10" t="s">
        <v>12</v>
      </c>
      <c r="F34" s="10"/>
      <c r="H34" s="10" t="s">
        <v>194</v>
      </c>
    </row>
    <row r="36" spans="2:8" ht="18" x14ac:dyDescent="0.25">
      <c r="B36" s="10" t="s">
        <v>39</v>
      </c>
      <c r="C36" s="10">
        <f>SUMIFS(C6:C31,E6:E31,"ESPECES")</f>
        <v>900000</v>
      </c>
      <c r="E36" s="10">
        <v>0</v>
      </c>
      <c r="F36" s="10">
        <f>C36+E36</f>
        <v>900000</v>
      </c>
      <c r="H36" s="10">
        <f>2000000-(J26+J28)</f>
        <v>1870000</v>
      </c>
    </row>
    <row r="37" spans="2:8" ht="18" x14ac:dyDescent="0.25">
      <c r="B37" s="10" t="s">
        <v>19</v>
      </c>
      <c r="C37" s="10">
        <f>SUMIFS(C6:C31,E6:E31,"BANQUE")</f>
        <v>600000</v>
      </c>
      <c r="E37" s="10"/>
      <c r="F37" s="10">
        <f>C37+E37</f>
        <v>600000</v>
      </c>
    </row>
    <row r="38" spans="2:8" ht="18" x14ac:dyDescent="0.25">
      <c r="B38" s="10" t="s">
        <v>12</v>
      </c>
      <c r="C38" s="10">
        <f>SUMIFS(H6:H31,I6:I31,"OK")</f>
        <v>306000</v>
      </c>
      <c r="F38" s="10">
        <f>H32</f>
        <v>589500</v>
      </c>
    </row>
    <row r="39" spans="2:8" ht="18" x14ac:dyDescent="0.25">
      <c r="B39" s="10" t="s">
        <v>195</v>
      </c>
      <c r="C39" s="10">
        <f>F32</f>
        <v>0</v>
      </c>
    </row>
  </sheetData>
  <autoFilter ref="A5:L30"/>
  <mergeCells count="1">
    <mergeCell ref="C4:H4"/>
  </mergeCells>
  <dataValidations disablePrompts="1"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workbookViewId="0">
      <pane xSplit="2" ySplit="5" topLeftCell="C42" activePane="bottomRight" state="frozen"/>
      <selection activeCell="I3" sqref="I3"/>
      <selection pane="topRight" activeCell="I3" sqref="I3"/>
      <selection pane="bottomLeft" activeCell="I3" sqref="I3"/>
      <selection pane="bottomRight" activeCell="C45" sqref="C45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8.28515625" customWidth="1"/>
    <col min="5" max="5" width="17.5703125" style="3" bestFit="1" customWidth="1"/>
    <col min="6" max="6" width="13.42578125" customWidth="1"/>
    <col min="8" max="8" width="13.28515625" customWidth="1"/>
    <col min="9" max="9" width="14.42578125" customWidth="1"/>
    <col min="10" max="10" width="17.5703125" style="3" bestFit="1" customWidth="1"/>
    <col min="11" max="12" width="17.5703125" style="3" customWidth="1"/>
    <col min="13" max="14" width="19" style="2" bestFit="1" customWidth="1"/>
    <col min="15" max="15" width="15.5703125" style="25" bestFit="1" customWidth="1"/>
  </cols>
  <sheetData>
    <row r="1" spans="1:16" x14ac:dyDescent="0.25">
      <c r="A1" s="1" t="s">
        <v>0</v>
      </c>
      <c r="B1" s="1" t="s">
        <v>1</v>
      </c>
    </row>
    <row r="2" spans="1:16" x14ac:dyDescent="0.25">
      <c r="A2" s="1" t="s">
        <v>2</v>
      </c>
      <c r="B2" s="1" t="s">
        <v>3</v>
      </c>
    </row>
    <row r="3" spans="1:16" x14ac:dyDescent="0.25">
      <c r="A3" s="1" t="s">
        <v>4</v>
      </c>
      <c r="B3" s="4">
        <v>60000</v>
      </c>
    </row>
    <row r="4" spans="1:16" ht="18" x14ac:dyDescent="0.25">
      <c r="B4" s="5"/>
      <c r="C4" s="31">
        <v>42995</v>
      </c>
      <c r="D4" s="32"/>
      <c r="E4" s="32"/>
      <c r="F4" s="32"/>
      <c r="G4" s="32"/>
      <c r="H4" s="32"/>
      <c r="I4" s="32"/>
      <c r="J4" s="29"/>
      <c r="K4" s="30"/>
      <c r="L4" s="30"/>
    </row>
    <row r="5" spans="1:16" ht="57.75" x14ac:dyDescent="0.25">
      <c r="A5" s="1" t="s">
        <v>5</v>
      </c>
      <c r="B5" s="1" t="s">
        <v>6</v>
      </c>
      <c r="C5" s="6" t="s">
        <v>7</v>
      </c>
      <c r="D5" s="1" t="s">
        <v>8</v>
      </c>
      <c r="E5" s="6" t="s">
        <v>198</v>
      </c>
      <c r="F5" s="6" t="s">
        <v>203</v>
      </c>
      <c r="G5" s="6" t="s">
        <v>197</v>
      </c>
      <c r="H5" s="6" t="s">
        <v>204</v>
      </c>
      <c r="I5" s="6" t="s">
        <v>12</v>
      </c>
      <c r="J5" s="6" t="s">
        <v>199</v>
      </c>
      <c r="K5" s="6" t="s">
        <v>200</v>
      </c>
      <c r="L5" s="6" t="s">
        <v>202</v>
      </c>
      <c r="M5" s="4" t="s">
        <v>201</v>
      </c>
      <c r="N5" s="4" t="s">
        <v>205</v>
      </c>
      <c r="O5" s="26" t="s">
        <v>206</v>
      </c>
      <c r="P5" s="6" t="s">
        <v>181</v>
      </c>
    </row>
    <row r="6" spans="1:16" x14ac:dyDescent="0.25">
      <c r="A6" s="1" t="s">
        <v>17</v>
      </c>
      <c r="B6" s="1" t="s">
        <v>53</v>
      </c>
      <c r="C6" s="8">
        <f>IF(E6="ECHEC",0,60000)</f>
        <v>0</v>
      </c>
      <c r="D6" s="8">
        <f t="shared" ref="D6:D30" si="0">IF(E6="ESPECES",0,0)</f>
        <v>0</v>
      </c>
      <c r="E6" s="7" t="s">
        <v>16</v>
      </c>
      <c r="F6" s="8"/>
      <c r="G6" s="8"/>
      <c r="H6" s="7" t="s">
        <v>16</v>
      </c>
      <c r="I6" s="8">
        <f>TONTAOUT!F6+TONTAOUT!G6</f>
        <v>0</v>
      </c>
      <c r="J6" s="7" t="s">
        <v>16</v>
      </c>
      <c r="K6" s="7" t="s">
        <v>16</v>
      </c>
      <c r="L6" s="8">
        <f>IF(M6=0,0,($C$45-M6))</f>
        <v>0</v>
      </c>
      <c r="M6" s="8"/>
      <c r="N6" s="8"/>
      <c r="O6" s="27"/>
    </row>
    <row r="7" spans="1:16" x14ac:dyDescent="0.25">
      <c r="A7" s="1" t="s">
        <v>56</v>
      </c>
      <c r="B7" s="1" t="s">
        <v>57</v>
      </c>
      <c r="C7" s="8">
        <f t="shared" ref="C7:C30" si="1">IF(E7="ECHEC",0,60000)</f>
        <v>0</v>
      </c>
      <c r="D7" s="8">
        <f t="shared" si="0"/>
        <v>0</v>
      </c>
      <c r="E7" s="7" t="s">
        <v>16</v>
      </c>
      <c r="F7" s="8"/>
      <c r="G7" s="8"/>
      <c r="H7" s="7" t="s">
        <v>16</v>
      </c>
      <c r="I7" s="8">
        <f>TONTAOUT!F7+TONTAOUT!G7</f>
        <v>0</v>
      </c>
      <c r="J7" s="7" t="s">
        <v>16</v>
      </c>
      <c r="K7" s="7" t="s">
        <v>16</v>
      </c>
      <c r="L7" s="8">
        <f>IF(M7=0,0,($C$45-M7))</f>
        <v>0</v>
      </c>
      <c r="M7" s="8"/>
      <c r="N7" s="8">
        <v>260000</v>
      </c>
      <c r="O7" s="27">
        <v>42785</v>
      </c>
      <c r="P7" t="s">
        <v>188</v>
      </c>
    </row>
    <row r="8" spans="1:16" x14ac:dyDescent="0.25">
      <c r="A8" s="1" t="s">
        <v>56</v>
      </c>
      <c r="B8" s="1" t="s">
        <v>57</v>
      </c>
      <c r="C8" s="8">
        <f t="shared" si="1"/>
        <v>0</v>
      </c>
      <c r="D8" s="8">
        <f t="shared" si="0"/>
        <v>0</v>
      </c>
      <c r="E8" s="7" t="s">
        <v>16</v>
      </c>
      <c r="F8" s="8"/>
      <c r="G8" s="8"/>
      <c r="H8" s="7" t="s">
        <v>16</v>
      </c>
      <c r="I8" s="8">
        <f>TONTAOUT!F8+TONTAOUT!G8</f>
        <v>0</v>
      </c>
      <c r="J8" s="7" t="s">
        <v>16</v>
      </c>
      <c r="K8" s="7" t="s">
        <v>16</v>
      </c>
      <c r="L8" s="8">
        <f>IF(M8=0,0,($C$45-M8))</f>
        <v>0</v>
      </c>
      <c r="M8" s="8"/>
      <c r="N8" s="8"/>
      <c r="O8" s="27"/>
    </row>
    <row r="9" spans="1:16" x14ac:dyDescent="0.25">
      <c r="A9" s="1" t="s">
        <v>59</v>
      </c>
      <c r="B9" s="1" t="s">
        <v>60</v>
      </c>
      <c r="C9" s="8">
        <f t="shared" si="1"/>
        <v>0</v>
      </c>
      <c r="D9" s="8">
        <f t="shared" si="0"/>
        <v>0</v>
      </c>
      <c r="E9" s="7" t="s">
        <v>16</v>
      </c>
      <c r="F9" s="8"/>
      <c r="G9" s="8"/>
      <c r="H9" s="7" t="s">
        <v>16</v>
      </c>
      <c r="I9" s="8">
        <f>TONTAOUT!F9+TONTAOUT!G9</f>
        <v>0</v>
      </c>
      <c r="J9" s="7" t="s">
        <v>16</v>
      </c>
      <c r="K9" s="7" t="s">
        <v>16</v>
      </c>
      <c r="L9" s="8">
        <f>IF(M9=0,0,($C$45-M9))</f>
        <v>0</v>
      </c>
      <c r="M9" s="8"/>
      <c r="N9" s="8">
        <v>110000</v>
      </c>
      <c r="O9" s="27">
        <v>42813</v>
      </c>
      <c r="P9" t="s">
        <v>189</v>
      </c>
    </row>
    <row r="10" spans="1:16" x14ac:dyDescent="0.25">
      <c r="A10" s="1" t="s">
        <v>59</v>
      </c>
      <c r="B10" s="1" t="s">
        <v>60</v>
      </c>
      <c r="C10" s="8">
        <f t="shared" si="1"/>
        <v>0</v>
      </c>
      <c r="D10" s="8">
        <f t="shared" si="0"/>
        <v>0</v>
      </c>
      <c r="E10" s="7" t="s">
        <v>16</v>
      </c>
      <c r="F10" s="8"/>
      <c r="G10" s="8"/>
      <c r="H10" s="7" t="s">
        <v>16</v>
      </c>
      <c r="I10" s="8">
        <f>TONTAOUT!F10+TONTAOUT!G10</f>
        <v>0</v>
      </c>
      <c r="J10" s="7" t="s">
        <v>16</v>
      </c>
      <c r="K10" s="7" t="s">
        <v>16</v>
      </c>
      <c r="L10" s="8">
        <f>IF(M10=0,0,($C$45-M10))</f>
        <v>0</v>
      </c>
      <c r="M10" s="8"/>
      <c r="N10" s="8">
        <v>68000</v>
      </c>
      <c r="O10" s="27">
        <v>42932</v>
      </c>
      <c r="P10" t="s">
        <v>144</v>
      </c>
    </row>
    <row r="11" spans="1:16" x14ac:dyDescent="0.25">
      <c r="A11" s="1" t="s">
        <v>59</v>
      </c>
      <c r="B11" s="1" t="s">
        <v>60</v>
      </c>
      <c r="C11" s="8">
        <f t="shared" si="1"/>
        <v>0</v>
      </c>
      <c r="D11" s="8">
        <f t="shared" si="0"/>
        <v>0</v>
      </c>
      <c r="E11" s="7" t="s">
        <v>16</v>
      </c>
      <c r="F11" s="8"/>
      <c r="G11" s="8"/>
      <c r="H11" s="7" t="s">
        <v>16</v>
      </c>
      <c r="I11" s="8">
        <f>TONTAOUT!F11+TONTAOUT!G11</f>
        <v>0</v>
      </c>
      <c r="J11" s="7" t="s">
        <v>16</v>
      </c>
      <c r="K11" s="7" t="s">
        <v>16</v>
      </c>
      <c r="L11" s="8">
        <f>IF(M11=0,0,($C$45-M11))</f>
        <v>0</v>
      </c>
      <c r="M11" s="8"/>
      <c r="N11" s="8"/>
      <c r="O11" s="27"/>
    </row>
    <row r="12" spans="1:16" x14ac:dyDescent="0.25">
      <c r="A12" s="1" t="s">
        <v>77</v>
      </c>
      <c r="B12" s="1" t="s">
        <v>78</v>
      </c>
      <c r="C12" s="8">
        <f t="shared" si="1"/>
        <v>0</v>
      </c>
      <c r="D12" s="8">
        <f t="shared" si="0"/>
        <v>0</v>
      </c>
      <c r="E12" s="7" t="s">
        <v>16</v>
      </c>
      <c r="F12" s="8"/>
      <c r="G12" s="8"/>
      <c r="H12" s="7" t="s">
        <v>16</v>
      </c>
      <c r="I12" s="8">
        <f>TONTAOUT!F12+TONTAOUT!G12</f>
        <v>0</v>
      </c>
      <c r="J12" s="7" t="s">
        <v>16</v>
      </c>
      <c r="K12" s="7" t="s">
        <v>16</v>
      </c>
      <c r="L12" s="8">
        <f>IF(M12=0,0,($C$45-M12))</f>
        <v>0</v>
      </c>
      <c r="M12" s="8"/>
      <c r="N12" s="8">
        <v>271000</v>
      </c>
      <c r="O12" s="27">
        <v>42785</v>
      </c>
      <c r="P12" t="s">
        <v>190</v>
      </c>
    </row>
    <row r="13" spans="1:16" x14ac:dyDescent="0.25">
      <c r="A13" s="1" t="s">
        <v>81</v>
      </c>
      <c r="B13" s="1" t="s">
        <v>82</v>
      </c>
      <c r="C13" s="8">
        <f t="shared" si="1"/>
        <v>0</v>
      </c>
      <c r="D13" s="8">
        <f t="shared" si="0"/>
        <v>0</v>
      </c>
      <c r="E13" s="7" t="s">
        <v>16</v>
      </c>
      <c r="F13" s="8"/>
      <c r="G13" s="8"/>
      <c r="H13" s="7" t="s">
        <v>16</v>
      </c>
      <c r="I13" s="8">
        <f>TONTAOUT!F13+TONTAOUT!G13</f>
        <v>0</v>
      </c>
      <c r="J13" s="7" t="s">
        <v>16</v>
      </c>
      <c r="K13" s="7" t="s">
        <v>16</v>
      </c>
      <c r="L13" s="8">
        <f>IF(M13=0,0,($C$45-M13))</f>
        <v>0</v>
      </c>
      <c r="M13" s="8"/>
      <c r="N13" s="8"/>
      <c r="O13" s="27"/>
    </row>
    <row r="14" spans="1:16" x14ac:dyDescent="0.25">
      <c r="A14" s="1" t="s">
        <v>92</v>
      </c>
      <c r="B14" s="1" t="s">
        <v>93</v>
      </c>
      <c r="C14" s="8">
        <f t="shared" si="1"/>
        <v>0</v>
      </c>
      <c r="D14" s="8">
        <f t="shared" si="0"/>
        <v>0</v>
      </c>
      <c r="E14" s="7" t="s">
        <v>16</v>
      </c>
      <c r="F14" s="8"/>
      <c r="G14" s="8"/>
      <c r="H14" s="7" t="s">
        <v>16</v>
      </c>
      <c r="I14" s="8">
        <f>TONTAOUT!F14+TONTAOUT!G14</f>
        <v>0</v>
      </c>
      <c r="J14" s="7" t="s">
        <v>16</v>
      </c>
      <c r="K14" s="7" t="s">
        <v>16</v>
      </c>
      <c r="L14" s="8">
        <f>IF(M14=0,0,($C$45-M14))</f>
        <v>0</v>
      </c>
      <c r="M14" s="8"/>
      <c r="N14" s="8"/>
      <c r="O14" s="27"/>
    </row>
    <row r="15" spans="1:16" x14ac:dyDescent="0.25">
      <c r="A15" s="1" t="s">
        <v>25</v>
      </c>
      <c r="B15" s="1" t="s">
        <v>184</v>
      </c>
      <c r="C15" s="8">
        <f t="shared" si="1"/>
        <v>0</v>
      </c>
      <c r="D15" s="8">
        <f t="shared" si="0"/>
        <v>0</v>
      </c>
      <c r="E15" s="7" t="s">
        <v>16</v>
      </c>
      <c r="F15" s="8"/>
      <c r="G15" s="8"/>
      <c r="H15" s="7" t="s">
        <v>16</v>
      </c>
      <c r="I15" s="8">
        <f>TONTAOUT!F15+TONTAOUT!G15</f>
        <v>0</v>
      </c>
      <c r="J15" s="7" t="s">
        <v>16</v>
      </c>
      <c r="K15" s="7" t="s">
        <v>16</v>
      </c>
      <c r="L15" s="8">
        <f>IF(M15=0,0,($C$45-M15))</f>
        <v>0</v>
      </c>
      <c r="M15" s="8"/>
      <c r="N15" s="8">
        <v>107000</v>
      </c>
      <c r="O15" s="27">
        <v>42841</v>
      </c>
      <c r="P15" t="s">
        <v>191</v>
      </c>
    </row>
    <row r="16" spans="1:16" x14ac:dyDescent="0.25">
      <c r="A16" s="1" t="s">
        <v>26</v>
      </c>
      <c r="B16" s="1" t="s">
        <v>103</v>
      </c>
      <c r="C16" s="8">
        <f t="shared" si="1"/>
        <v>0</v>
      </c>
      <c r="D16" s="8">
        <f t="shared" si="0"/>
        <v>0</v>
      </c>
      <c r="E16" s="7" t="s">
        <v>16</v>
      </c>
      <c r="F16" s="8"/>
      <c r="G16" s="8"/>
      <c r="H16" s="7" t="s">
        <v>16</v>
      </c>
      <c r="I16" s="8">
        <f>TONTAOUT!F16+TONTAOUT!G16</f>
        <v>0</v>
      </c>
      <c r="J16" s="7" t="s">
        <v>16</v>
      </c>
      <c r="K16" s="7" t="s">
        <v>16</v>
      </c>
      <c r="L16" s="8">
        <f>IF(M16=0,0,($C$45-M16))</f>
        <v>0</v>
      </c>
      <c r="M16" s="8"/>
      <c r="N16" s="8">
        <v>270000</v>
      </c>
      <c r="O16" s="27">
        <v>42750</v>
      </c>
    </row>
    <row r="17" spans="1:16" x14ac:dyDescent="0.25">
      <c r="A17" s="1" t="s">
        <v>29</v>
      </c>
      <c r="B17" s="1" t="s">
        <v>115</v>
      </c>
      <c r="C17" s="8">
        <f t="shared" si="1"/>
        <v>0</v>
      </c>
      <c r="D17" s="8">
        <f t="shared" si="0"/>
        <v>0</v>
      </c>
      <c r="E17" s="7" t="s">
        <v>16</v>
      </c>
      <c r="F17" s="8"/>
      <c r="G17" s="8"/>
      <c r="H17" s="7" t="s">
        <v>16</v>
      </c>
      <c r="I17" s="8">
        <f>TONTAOUT!F17+TONTAOUT!G17</f>
        <v>0</v>
      </c>
      <c r="J17" s="7" t="s">
        <v>16</v>
      </c>
      <c r="K17" s="7" t="s">
        <v>16</v>
      </c>
      <c r="L17" s="8">
        <f>IF(M17=0,0,($C$45-M17))</f>
        <v>0</v>
      </c>
      <c r="M17" s="8"/>
      <c r="N17" s="8"/>
      <c r="O17" s="27"/>
    </row>
    <row r="18" spans="1:16" x14ac:dyDescent="0.25">
      <c r="A18" s="1" t="s">
        <v>125</v>
      </c>
      <c r="B18" s="1" t="s">
        <v>126</v>
      </c>
      <c r="C18" s="8">
        <f t="shared" si="1"/>
        <v>0</v>
      </c>
      <c r="D18" s="8">
        <f t="shared" si="0"/>
        <v>0</v>
      </c>
      <c r="E18" s="7" t="s">
        <v>16</v>
      </c>
      <c r="F18" s="8"/>
      <c r="G18" s="8"/>
      <c r="H18" s="7" t="s">
        <v>16</v>
      </c>
      <c r="I18" s="8">
        <f>TONTAOUT!F18+TONTAOUT!G18</f>
        <v>0</v>
      </c>
      <c r="J18" s="7" t="s">
        <v>16</v>
      </c>
      <c r="K18" s="7" t="s">
        <v>16</v>
      </c>
      <c r="L18" s="8">
        <f>IF(M18=0,0,($C$45-M18))</f>
        <v>0</v>
      </c>
      <c r="M18" s="8"/>
      <c r="N18" s="8">
        <v>152000</v>
      </c>
      <c r="O18" s="27">
        <v>42876</v>
      </c>
      <c r="P18" t="s">
        <v>161</v>
      </c>
    </row>
    <row r="19" spans="1:16" x14ac:dyDescent="0.25">
      <c r="A19" s="1" t="s">
        <v>30</v>
      </c>
      <c r="B19" s="1" t="s">
        <v>128</v>
      </c>
      <c r="C19" s="8">
        <f t="shared" si="1"/>
        <v>0</v>
      </c>
      <c r="D19" s="8">
        <f t="shared" si="0"/>
        <v>0</v>
      </c>
      <c r="E19" s="7" t="s">
        <v>16</v>
      </c>
      <c r="F19" s="8"/>
      <c r="G19" s="8"/>
      <c r="H19" s="7" t="s">
        <v>16</v>
      </c>
      <c r="I19" s="8">
        <f>TONTAOUT!F19+TONTAOUT!G19</f>
        <v>0</v>
      </c>
      <c r="J19" s="7" t="s">
        <v>16</v>
      </c>
      <c r="K19" s="7" t="s">
        <v>16</v>
      </c>
      <c r="L19" s="8">
        <f>IF(M19=0,0,($C$45-M19))</f>
        <v>0</v>
      </c>
      <c r="M19" s="8"/>
      <c r="N19" s="8">
        <v>108000</v>
      </c>
      <c r="O19" s="27">
        <v>42476</v>
      </c>
    </row>
    <row r="20" spans="1:16" x14ac:dyDescent="0.25">
      <c r="A20" s="1" t="s">
        <v>32</v>
      </c>
      <c r="B20" s="1" t="s">
        <v>140</v>
      </c>
      <c r="C20" s="8">
        <f t="shared" si="1"/>
        <v>0</v>
      </c>
      <c r="D20" s="8">
        <f t="shared" si="0"/>
        <v>0</v>
      </c>
      <c r="E20" s="7" t="s">
        <v>16</v>
      </c>
      <c r="F20" s="8"/>
      <c r="G20" s="8"/>
      <c r="H20" s="7" t="s">
        <v>16</v>
      </c>
      <c r="I20" s="8">
        <f>TONTAOUT!F20+TONTAOUT!G20</f>
        <v>0</v>
      </c>
      <c r="J20" s="7" t="s">
        <v>16</v>
      </c>
      <c r="K20" s="7" t="s">
        <v>16</v>
      </c>
      <c r="L20" s="8">
        <f>IF(M20=0,0,($C$45-M20))</f>
        <v>0</v>
      </c>
      <c r="M20" s="8"/>
      <c r="N20" s="8"/>
      <c r="O20" s="27"/>
    </row>
    <row r="21" spans="1:16" x14ac:dyDescent="0.25">
      <c r="A21" s="1" t="s">
        <v>143</v>
      </c>
      <c r="B21" s="1" t="s">
        <v>144</v>
      </c>
      <c r="C21" s="8">
        <f t="shared" si="1"/>
        <v>0</v>
      </c>
      <c r="D21" s="8">
        <f t="shared" si="0"/>
        <v>0</v>
      </c>
      <c r="E21" s="7" t="s">
        <v>16</v>
      </c>
      <c r="F21" s="8"/>
      <c r="G21" s="8"/>
      <c r="H21" s="7" t="s">
        <v>16</v>
      </c>
      <c r="I21" s="8">
        <f>TONTAOUT!F21+TONTAOUT!G21</f>
        <v>0</v>
      </c>
      <c r="J21" s="7" t="s">
        <v>16</v>
      </c>
      <c r="K21" s="7" t="s">
        <v>16</v>
      </c>
      <c r="L21" s="8">
        <f>IF(M21=0,0,($C$45-M21))</f>
        <v>0</v>
      </c>
      <c r="M21" s="8"/>
      <c r="N21" s="8">
        <v>100000</v>
      </c>
      <c r="O21" s="27">
        <v>42904</v>
      </c>
      <c r="P21" t="s">
        <v>128</v>
      </c>
    </row>
    <row r="22" spans="1:16" x14ac:dyDescent="0.25">
      <c r="A22" s="1" t="s">
        <v>143</v>
      </c>
      <c r="B22" s="1" t="s">
        <v>144</v>
      </c>
      <c r="C22" s="8">
        <f t="shared" si="1"/>
        <v>0</v>
      </c>
      <c r="D22" s="8">
        <f t="shared" si="0"/>
        <v>0</v>
      </c>
      <c r="E22" s="7" t="s">
        <v>16</v>
      </c>
      <c r="F22" s="8"/>
      <c r="G22" s="8"/>
      <c r="H22" s="7" t="s">
        <v>16</v>
      </c>
      <c r="I22" s="8">
        <f>TONTAOUT!F22+TONTAOUT!G22</f>
        <v>0</v>
      </c>
      <c r="J22" s="7" t="s">
        <v>16</v>
      </c>
      <c r="K22" s="7" t="s">
        <v>16</v>
      </c>
      <c r="L22" s="8">
        <f>IF(M22=0,0,($C$45-M22))</f>
        <v>0</v>
      </c>
      <c r="M22" s="8"/>
      <c r="N22" s="8"/>
      <c r="O22" s="27"/>
    </row>
    <row r="23" spans="1:16" x14ac:dyDescent="0.25">
      <c r="A23" s="1" t="s">
        <v>33</v>
      </c>
      <c r="B23" s="1" t="s">
        <v>145</v>
      </c>
      <c r="C23" s="8">
        <f t="shared" si="1"/>
        <v>0</v>
      </c>
      <c r="D23" s="8">
        <f t="shared" si="0"/>
        <v>0</v>
      </c>
      <c r="E23" s="7" t="s">
        <v>16</v>
      </c>
      <c r="F23" s="8"/>
      <c r="G23" s="8"/>
      <c r="H23" s="7" t="s">
        <v>16</v>
      </c>
      <c r="I23" s="8">
        <f>TONTAOUT!F23+TONTAOUT!G23</f>
        <v>0</v>
      </c>
      <c r="J23" s="7" t="s">
        <v>16</v>
      </c>
      <c r="K23" s="7" t="s">
        <v>16</v>
      </c>
      <c r="L23" s="8">
        <f>IF(M23=0,0,($C$45-M23))</f>
        <v>0</v>
      </c>
      <c r="M23" s="8"/>
      <c r="N23" s="8">
        <v>151000</v>
      </c>
      <c r="O23" s="27">
        <v>42876</v>
      </c>
    </row>
    <row r="24" spans="1:16" x14ac:dyDescent="0.25">
      <c r="A24" s="1" t="s">
        <v>151</v>
      </c>
      <c r="B24" s="1" t="s">
        <v>152</v>
      </c>
      <c r="C24" s="8">
        <f t="shared" si="1"/>
        <v>0</v>
      </c>
      <c r="D24" s="8">
        <f t="shared" si="0"/>
        <v>0</v>
      </c>
      <c r="E24" s="7" t="s">
        <v>16</v>
      </c>
      <c r="F24" s="8"/>
      <c r="G24" s="8"/>
      <c r="H24" s="7" t="s">
        <v>16</v>
      </c>
      <c r="I24" s="8">
        <f>TONTAOUT!F24+TONTAOUT!G24</f>
        <v>0</v>
      </c>
      <c r="J24" s="7" t="s">
        <v>16</v>
      </c>
      <c r="K24" s="7" t="s">
        <v>16</v>
      </c>
      <c r="L24" s="8">
        <f>IF(M24=0,0,($C$45-M24))</f>
        <v>0</v>
      </c>
      <c r="M24" s="8"/>
      <c r="N24" s="8">
        <v>69000</v>
      </c>
      <c r="O24" s="27">
        <v>42932</v>
      </c>
      <c r="P24" t="s">
        <v>192</v>
      </c>
    </row>
    <row r="25" spans="1:16" x14ac:dyDescent="0.25">
      <c r="A25" s="1" t="s">
        <v>36</v>
      </c>
      <c r="B25" s="1" t="s">
        <v>161</v>
      </c>
      <c r="C25" s="8">
        <f t="shared" si="1"/>
        <v>0</v>
      </c>
      <c r="D25" s="8">
        <f t="shared" si="0"/>
        <v>0</v>
      </c>
      <c r="E25" s="7" t="s">
        <v>16</v>
      </c>
      <c r="F25" s="8"/>
      <c r="G25" s="8"/>
      <c r="H25" s="7" t="s">
        <v>16</v>
      </c>
      <c r="I25" s="8">
        <f>TONTAOUT!F25+TONTAOUT!G25</f>
        <v>0</v>
      </c>
      <c r="J25" s="7" t="s">
        <v>16</v>
      </c>
      <c r="K25" s="7" t="s">
        <v>16</v>
      </c>
      <c r="L25" s="8">
        <f>IF(M25=0,0,($C$45-M25))</f>
        <v>0</v>
      </c>
      <c r="M25" s="8"/>
      <c r="N25" s="8">
        <v>271000</v>
      </c>
      <c r="O25" s="27">
        <v>42750</v>
      </c>
    </row>
    <row r="26" spans="1:16" x14ac:dyDescent="0.25">
      <c r="A26" s="1" t="s">
        <v>165</v>
      </c>
      <c r="B26" s="1" t="s">
        <v>166</v>
      </c>
      <c r="C26" s="8">
        <f t="shared" si="1"/>
        <v>0</v>
      </c>
      <c r="D26" s="8">
        <f t="shared" si="0"/>
        <v>0</v>
      </c>
      <c r="E26" s="7" t="s">
        <v>16</v>
      </c>
      <c r="F26" s="8"/>
      <c r="G26" s="8"/>
      <c r="H26" s="7" t="s">
        <v>16</v>
      </c>
      <c r="I26" s="8">
        <f>TONTAOUT!F26+TONTAOUT!G26</f>
        <v>0</v>
      </c>
      <c r="J26" s="7" t="s">
        <v>16</v>
      </c>
      <c r="K26" s="7" t="s">
        <v>16</v>
      </c>
      <c r="L26" s="8">
        <f>IF(M26=0,0,($C$45-M26))</f>
        <v>0</v>
      </c>
      <c r="M26" s="8"/>
      <c r="N26" s="8">
        <v>70000</v>
      </c>
      <c r="O26" s="27">
        <v>42967</v>
      </c>
      <c r="P26" t="s">
        <v>103</v>
      </c>
    </row>
    <row r="27" spans="1:16" x14ac:dyDescent="0.25">
      <c r="A27" s="1" t="s">
        <v>165</v>
      </c>
      <c r="B27" s="1" t="s">
        <v>166</v>
      </c>
      <c r="C27" s="8">
        <f t="shared" si="1"/>
        <v>0</v>
      </c>
      <c r="D27" s="8">
        <f t="shared" si="0"/>
        <v>0</v>
      </c>
      <c r="E27" s="7" t="s">
        <v>16</v>
      </c>
      <c r="F27" s="8"/>
      <c r="G27" s="8"/>
      <c r="H27" s="7" t="s">
        <v>16</v>
      </c>
      <c r="I27" s="8">
        <f>TONTAOUT!F27+TONTAOUT!G27</f>
        <v>0</v>
      </c>
      <c r="J27" s="7" t="s">
        <v>16</v>
      </c>
      <c r="K27" s="7" t="s">
        <v>16</v>
      </c>
      <c r="L27" s="8">
        <f>IF(M27=0,0,($C$45-M27))</f>
        <v>0</v>
      </c>
      <c r="M27" s="8"/>
      <c r="N27" s="8"/>
      <c r="O27" s="27"/>
    </row>
    <row r="28" spans="1:16" x14ac:dyDescent="0.25">
      <c r="A28" s="1" t="s">
        <v>171</v>
      </c>
      <c r="B28" s="1" t="s">
        <v>172</v>
      </c>
      <c r="C28" s="8">
        <f t="shared" si="1"/>
        <v>0</v>
      </c>
      <c r="D28" s="8">
        <f t="shared" si="0"/>
        <v>0</v>
      </c>
      <c r="E28" s="7" t="s">
        <v>16</v>
      </c>
      <c r="F28" s="8"/>
      <c r="G28" s="8"/>
      <c r="H28" s="7" t="s">
        <v>16</v>
      </c>
      <c r="I28" s="8">
        <f>TONTAOUT!F28+TONTAOUT!G28</f>
        <v>0</v>
      </c>
      <c r="J28" s="7" t="s">
        <v>16</v>
      </c>
      <c r="K28" s="7" t="s">
        <v>16</v>
      </c>
      <c r="L28" s="8">
        <f>IF(M28=0,0,($C$45-M28))</f>
        <v>0</v>
      </c>
      <c r="M28" s="8"/>
      <c r="N28" s="8">
        <v>60000</v>
      </c>
      <c r="O28" s="27">
        <v>42967</v>
      </c>
    </row>
    <row r="29" spans="1:16" x14ac:dyDescent="0.25">
      <c r="A29" s="1" t="s">
        <v>175</v>
      </c>
      <c r="B29" s="1" t="s">
        <v>176</v>
      </c>
      <c r="C29" s="8">
        <f t="shared" si="1"/>
        <v>0</v>
      </c>
      <c r="D29" s="8">
        <f t="shared" si="0"/>
        <v>0</v>
      </c>
      <c r="E29" s="7" t="s">
        <v>16</v>
      </c>
      <c r="F29" s="8"/>
      <c r="G29" s="8"/>
      <c r="H29" s="7" t="s">
        <v>16</v>
      </c>
      <c r="I29" s="8">
        <f>TONTAOUT!F29+TONTAOUT!G29</f>
        <v>0</v>
      </c>
      <c r="J29" s="7" t="s">
        <v>16</v>
      </c>
      <c r="K29" s="7" t="s">
        <v>16</v>
      </c>
      <c r="L29" s="8">
        <f>IF(M29=0,0,($C$45-M29))</f>
        <v>0</v>
      </c>
      <c r="M29" s="8"/>
      <c r="N29" s="8"/>
      <c r="O29" s="27"/>
    </row>
    <row r="30" spans="1:16" x14ac:dyDescent="0.25">
      <c r="A30" s="1" t="s">
        <v>175</v>
      </c>
      <c r="B30" s="1" t="s">
        <v>176</v>
      </c>
      <c r="C30" s="8">
        <f t="shared" si="1"/>
        <v>0</v>
      </c>
      <c r="D30" s="8">
        <f t="shared" si="0"/>
        <v>0</v>
      </c>
      <c r="E30" s="7" t="s">
        <v>16</v>
      </c>
      <c r="F30" s="8"/>
      <c r="G30" s="8"/>
      <c r="H30" s="7" t="s">
        <v>16</v>
      </c>
      <c r="I30" s="8">
        <f>TONTAOUT!F30+TONTAOUT!G30</f>
        <v>0</v>
      </c>
      <c r="J30" s="7" t="s">
        <v>16</v>
      </c>
      <c r="K30" s="7" t="s">
        <v>16</v>
      </c>
      <c r="L30" s="8">
        <f>IF(M30=0,0,($C$45-M30))</f>
        <v>0</v>
      </c>
      <c r="M30" s="8"/>
      <c r="N30" s="8"/>
      <c r="O30" s="27"/>
    </row>
    <row r="31" spans="1:16" x14ac:dyDescent="0.25">
      <c r="A31" s="1"/>
      <c r="B31" s="1"/>
      <c r="C31" s="8"/>
      <c r="D31" s="8"/>
      <c r="E31" s="7"/>
      <c r="F31" s="8"/>
      <c r="G31" s="8"/>
      <c r="H31" s="8"/>
      <c r="J31" s="7"/>
      <c r="K31" s="7"/>
      <c r="L31" s="7"/>
      <c r="M31" s="8"/>
      <c r="N31" s="8"/>
    </row>
    <row r="32" spans="1:16" ht="18" x14ac:dyDescent="0.25">
      <c r="A32" s="9" t="s">
        <v>38</v>
      </c>
      <c r="B32" s="9"/>
      <c r="C32" s="10">
        <f>SUM(C6:C31)</f>
        <v>0</v>
      </c>
      <c r="D32" s="10">
        <f>SUM(D6:D31)</f>
        <v>0</v>
      </c>
      <c r="E32" s="10"/>
      <c r="F32" s="10">
        <f>SUM(F6:F31)</f>
        <v>0</v>
      </c>
      <c r="G32" s="10">
        <f>SUM(G6:G31)</f>
        <v>0</v>
      </c>
      <c r="H32" s="10"/>
      <c r="I32" s="10">
        <f>SUM(I6:I31)</f>
        <v>0</v>
      </c>
      <c r="J32" s="10"/>
      <c r="K32" s="10"/>
      <c r="L32" s="10">
        <f>SUM(L6:L31)</f>
        <v>0</v>
      </c>
      <c r="M32" s="10">
        <f>SUM(M6:M31)</f>
        <v>0</v>
      </c>
      <c r="N32" s="10">
        <f>SUM(N6:N31)</f>
        <v>2067000</v>
      </c>
    </row>
    <row r="34" spans="1:19" ht="29.25" x14ac:dyDescent="0.25">
      <c r="C34" s="6" t="s">
        <v>196</v>
      </c>
      <c r="D34" s="6" t="s">
        <v>12</v>
      </c>
      <c r="E34" s="6" t="s">
        <v>203</v>
      </c>
      <c r="F34" s="6" t="s">
        <v>207</v>
      </c>
      <c r="G34" s="6" t="s">
        <v>208</v>
      </c>
      <c r="I34" s="10"/>
    </row>
    <row r="36" spans="1:19" ht="18" x14ac:dyDescent="0.25">
      <c r="B36" s="10" t="s">
        <v>39</v>
      </c>
      <c r="C36" s="10">
        <f>SUMIFS(C6:C31,E6:E31,"ESPECES")</f>
        <v>0</v>
      </c>
      <c r="D36" s="10">
        <f>SUMIFS(I6:I31,J6:J31,"ESPECES")</f>
        <v>0</v>
      </c>
      <c r="E36" s="10">
        <f>SUMIFS(F5:F30,H5:H30,"ESPECES")</f>
        <v>0</v>
      </c>
      <c r="F36" s="10">
        <f>SUMIFS(L5:L30,K5:K30,"ESPECES")</f>
        <v>0</v>
      </c>
      <c r="G36" s="10">
        <f>C36+D36-E36-F36</f>
        <v>0</v>
      </c>
      <c r="J36" s="10"/>
      <c r="K36" s="10"/>
      <c r="L36" s="10"/>
    </row>
    <row r="37" spans="1:19" ht="18" x14ac:dyDescent="0.25">
      <c r="B37" s="10" t="s">
        <v>19</v>
      </c>
      <c r="C37" s="10">
        <f>SUMIFS(C6:C31,E6:E31,"BANQUE")</f>
        <v>0</v>
      </c>
      <c r="D37" s="10">
        <f>SUMIFS(I6:I31,J6:J31,"BANQUE")</f>
        <v>0</v>
      </c>
      <c r="E37" s="10">
        <f>SUMIFS(F5:F30,H5:H30,"BANQUE")</f>
        <v>0</v>
      </c>
      <c r="F37" s="10">
        <f>SUMIFS(L5:L30,K5:K30,"BANQUE")</f>
        <v>0</v>
      </c>
      <c r="G37" s="10">
        <f>C37+D37-E37-F37</f>
        <v>0</v>
      </c>
      <c r="J37" s="10"/>
      <c r="K37" s="10"/>
      <c r="L37" s="10"/>
    </row>
    <row r="38" spans="1:19" ht="18" x14ac:dyDescent="0.25">
      <c r="B38" s="10"/>
      <c r="C38" s="10"/>
      <c r="D38" s="10"/>
      <c r="E38" s="10"/>
      <c r="F38" s="10"/>
      <c r="J38" s="10"/>
      <c r="K38" s="10"/>
      <c r="L38" s="10"/>
    </row>
    <row r="39" spans="1:19" ht="18" x14ac:dyDescent="0.25">
      <c r="B39" s="10" t="s">
        <v>38</v>
      </c>
      <c r="C39" s="10">
        <f>+C36+C37</f>
        <v>0</v>
      </c>
      <c r="D39" s="10">
        <f>+D36+D37</f>
        <v>0</v>
      </c>
      <c r="E39" s="10">
        <f t="shared" ref="E39:G39" si="2">+E36+E37</f>
        <v>0</v>
      </c>
      <c r="F39" s="10">
        <f t="shared" si="2"/>
        <v>0</v>
      </c>
      <c r="G39" s="10">
        <f t="shared" si="2"/>
        <v>0</v>
      </c>
    </row>
    <row r="40" spans="1:19" ht="18" x14ac:dyDescent="0.25">
      <c r="B40" s="10"/>
      <c r="C40" s="10"/>
      <c r="D40" s="10"/>
      <c r="E40" s="10"/>
      <c r="F40" s="10"/>
      <c r="G40" s="10"/>
    </row>
    <row r="41" spans="1:19" ht="18" x14ac:dyDescent="0.25">
      <c r="B41" s="10"/>
      <c r="C41" s="10"/>
      <c r="F41" s="10"/>
    </row>
    <row r="42" spans="1:19" ht="18" x14ac:dyDescent="0.25">
      <c r="B42" s="10" t="s">
        <v>201</v>
      </c>
      <c r="C42" s="10">
        <f>M32</f>
        <v>0</v>
      </c>
      <c r="D42" s="10"/>
    </row>
    <row r="43" spans="1:19" ht="18" x14ac:dyDescent="0.25">
      <c r="B43" s="10" t="s">
        <v>197</v>
      </c>
      <c r="C43" s="10">
        <f>G32</f>
        <v>0</v>
      </c>
      <c r="D43" s="10"/>
    </row>
    <row r="45" spans="1:19" s="2" customFormat="1" ht="18" x14ac:dyDescent="0.25">
      <c r="A45"/>
      <c r="B45" s="6" t="s">
        <v>7</v>
      </c>
      <c r="C45" s="10">
        <v>1000000</v>
      </c>
      <c r="D45"/>
      <c r="G45"/>
      <c r="I45"/>
      <c r="J45" s="3"/>
      <c r="K45" s="3"/>
      <c r="M45"/>
      <c r="N45"/>
      <c r="R45"/>
      <c r="S45"/>
    </row>
    <row r="46" spans="1:19" s="2" customFormat="1" ht="29.25" x14ac:dyDescent="0.25">
      <c r="A46"/>
      <c r="B46" s="33" t="s">
        <v>209</v>
      </c>
      <c r="C46" s="34">
        <f>C39+I39+M39</f>
        <v>0</v>
      </c>
      <c r="D46"/>
      <c r="G46"/>
      <c r="I46"/>
      <c r="J46" s="3"/>
      <c r="K46" s="3"/>
      <c r="M46"/>
      <c r="N46"/>
      <c r="R46"/>
      <c r="S46"/>
    </row>
  </sheetData>
  <autoFilter ref="A5:P30"/>
  <mergeCells count="1">
    <mergeCell ref="C4:I4"/>
  </mergeCells>
  <dataValidations count="1">
    <dataValidation type="list" allowBlank="1" showInputMessage="1" showErrorMessage="1" sqref="H6:H30 E6:E31 J6:K31 L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3</vt:i4>
      </vt:variant>
    </vt:vector>
  </HeadingPairs>
  <TitlesOfParts>
    <vt:vector size="14" baseType="lpstr">
      <vt:lpstr>LISTADHERENT</vt:lpstr>
      <vt:lpstr>MODEPAID</vt:lpstr>
      <vt:lpstr>TONTJANV</vt:lpstr>
      <vt:lpstr>TONTFEV</vt:lpstr>
      <vt:lpstr>TONTMARS</vt:lpstr>
      <vt:lpstr>TONTAVRIL</vt:lpstr>
      <vt:lpstr>TONTMAI</vt:lpstr>
      <vt:lpstr>TONTJUIN</vt:lpstr>
      <vt:lpstr>TONTJUIL</vt:lpstr>
      <vt:lpstr>TONTAOUT</vt:lpstr>
      <vt:lpstr>TONTSEPT</vt:lpstr>
      <vt:lpstr>LISTADHERENT!Impression_des_titres</vt:lpstr>
      <vt:lpstr>MODEPAID!MODEPAID</vt:lpstr>
      <vt:lpstr>VALMODEPAID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Antoine Djuombessy</cp:lastModifiedBy>
  <dcterms:created xsi:type="dcterms:W3CDTF">2016-12-19T08:36:25Z</dcterms:created>
  <dcterms:modified xsi:type="dcterms:W3CDTF">2017-09-05T06:37:50Z</dcterms:modified>
</cp:coreProperties>
</file>