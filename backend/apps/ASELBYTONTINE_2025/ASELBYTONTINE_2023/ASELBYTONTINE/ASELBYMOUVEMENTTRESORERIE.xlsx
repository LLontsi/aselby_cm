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/>
  </bookViews>
  <sheets>
    <sheet name="COMPTE TRESORERIE" sheetId="3" r:id="rId1"/>
    <sheet name="MVTJUIN2017" sheetId="2" r:id="rId2"/>
    <sheet name="MVTJUIL2017" sheetId="5" r:id="rId3"/>
    <sheet name="MVTAOUT2017" sheetId="6" r:id="rId4"/>
    <sheet name="MVTSEPT2017" sheetId="7" r:id="rId5"/>
    <sheet name="MVTOCT2017" sheetId="10" r:id="rId6"/>
    <sheet name="MVTNOV2017" sheetId="11" r:id="rId7"/>
    <sheet name="MVTDEC2017" sheetId="12" r:id="rId8"/>
    <sheet name="MVTJANV2018" sheetId="13" r:id="rId9"/>
    <sheet name="MVTFEV2018" sheetId="14" r:id="rId10"/>
    <sheet name="MVTMARS2018" sheetId="15" r:id="rId11"/>
    <sheet name="MVTAVRIL2018" sheetId="16" r:id="rId12"/>
    <sheet name="MVTMAI2018" sheetId="17" r:id="rId13"/>
    <sheet name="MVTJUIN2018" sheetId="18" r:id="rId14"/>
    <sheet name="MVTJUIL2018" sheetId="19" r:id="rId15"/>
    <sheet name="MVTAOUT2018" sheetId="20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BANQUE" localSheetId="0">#REF!</definedName>
    <definedName name="BANQUE" localSheetId="3">#REF!</definedName>
    <definedName name="BANQUE" localSheetId="15">#REF!</definedName>
    <definedName name="BANQUE" localSheetId="11">#REF!</definedName>
    <definedName name="BANQUE" localSheetId="7">#REF!</definedName>
    <definedName name="BANQUE" localSheetId="8">#REF!</definedName>
    <definedName name="BANQUE" localSheetId="2">#REF!</definedName>
    <definedName name="BANQUE" localSheetId="14">#REF!</definedName>
    <definedName name="BANQUE" localSheetId="12">#REF!</definedName>
    <definedName name="BANQUE" localSheetId="10">#REF!</definedName>
    <definedName name="BANQUE" localSheetId="6">#REF!</definedName>
    <definedName name="BANQUE" localSheetId="4">#REF!</definedName>
    <definedName name="BANQUE">#REF!</definedName>
    <definedName name="MODEPAID">[1]Feuil2!$A$1:$A$3</definedName>
    <definedName name="MODEVERSEMENT" localSheetId="0">#REF!</definedName>
    <definedName name="MODEVERSEMENT" localSheetId="3">#REF!</definedName>
    <definedName name="MODEVERSEMENT" localSheetId="15">#REF!</definedName>
    <definedName name="MODEVERSEMENT" localSheetId="11">#REF!</definedName>
    <definedName name="MODEVERSEMENT" localSheetId="7">#REF!</definedName>
    <definedName name="MODEVERSEMENT" localSheetId="8">#REF!</definedName>
    <definedName name="MODEVERSEMENT" localSheetId="2">#REF!</definedName>
    <definedName name="MODEVERSEMENT" localSheetId="14">#REF!</definedName>
    <definedName name="MODEVERSEMENT" localSheetId="12">#REF!</definedName>
    <definedName name="MODEVERSEMENT" localSheetId="10">#REF!</definedName>
    <definedName name="MODEVERSEMENT" localSheetId="6">#REF!</definedName>
    <definedName name="MODEVERSEMENT" localSheetId="4">#REF!</definedName>
    <definedName name="MODEVERSEMENT">#REF!</definedName>
    <definedName name="MODEVERSEMENTS">[2]MODEVERSEMENT!$A$1:$A$3</definedName>
    <definedName name="VALMODEPAID">[3]MODEPAID!$A$1:$A$3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7" l="1"/>
  <c r="C19" i="7"/>
  <c r="G15" i="7"/>
  <c r="C15" i="7"/>
  <c r="H11" i="7"/>
  <c r="B11" i="7"/>
  <c r="H6" i="7"/>
  <c r="B7" i="7"/>
  <c r="B6" i="7"/>
  <c r="H7" i="7" l="1"/>
  <c r="G16" i="7"/>
  <c r="C16" i="7"/>
  <c r="G20" i="7"/>
  <c r="C20" i="7"/>
  <c r="G24" i="20" l="1"/>
  <c r="C24" i="20"/>
  <c r="H22" i="20"/>
  <c r="B22" i="20"/>
  <c r="C20" i="20"/>
  <c r="G19" i="20"/>
  <c r="C19" i="20"/>
  <c r="G15" i="20"/>
  <c r="C15" i="20"/>
  <c r="H11" i="20"/>
  <c r="B11" i="20"/>
  <c r="B9" i="20"/>
  <c r="H7" i="20"/>
  <c r="B7" i="20"/>
  <c r="H6" i="20"/>
  <c r="B6" i="20"/>
  <c r="G24" i="19"/>
  <c r="C24" i="19"/>
  <c r="H22" i="19"/>
  <c r="B22" i="19"/>
  <c r="C20" i="19"/>
  <c r="G19" i="19"/>
  <c r="C19" i="19"/>
  <c r="G15" i="19"/>
  <c r="C15" i="19"/>
  <c r="H11" i="19"/>
  <c r="B11" i="19"/>
  <c r="B9" i="19"/>
  <c r="H7" i="19"/>
  <c r="B7" i="19"/>
  <c r="H6" i="19"/>
  <c r="B6" i="19"/>
  <c r="G24" i="18"/>
  <c r="C24" i="18"/>
  <c r="H22" i="18"/>
  <c r="B22" i="18"/>
  <c r="C20" i="18"/>
  <c r="G19" i="18"/>
  <c r="C19" i="18"/>
  <c r="G15" i="18"/>
  <c r="C15" i="18"/>
  <c r="H11" i="18"/>
  <c r="B11" i="18"/>
  <c r="B9" i="18"/>
  <c r="H7" i="18"/>
  <c r="B7" i="18"/>
  <c r="H6" i="18"/>
  <c r="B6" i="18"/>
  <c r="G24" i="17"/>
  <c r="C24" i="17"/>
  <c r="H22" i="17"/>
  <c r="B22" i="17"/>
  <c r="C20" i="17"/>
  <c r="G19" i="17"/>
  <c r="C19" i="17"/>
  <c r="G15" i="17"/>
  <c r="C15" i="17"/>
  <c r="H11" i="17"/>
  <c r="B11" i="17"/>
  <c r="B9" i="17"/>
  <c r="H7" i="17"/>
  <c r="B7" i="17"/>
  <c r="H6" i="17"/>
  <c r="B6" i="17"/>
  <c r="G24" i="16"/>
  <c r="C24" i="16"/>
  <c r="H22" i="16"/>
  <c r="B22" i="16"/>
  <c r="C20" i="16"/>
  <c r="G19" i="16"/>
  <c r="C19" i="16"/>
  <c r="G15" i="16"/>
  <c r="C15" i="16"/>
  <c r="H11" i="16"/>
  <c r="B11" i="16"/>
  <c r="B9" i="16"/>
  <c r="H7" i="16"/>
  <c r="B7" i="16"/>
  <c r="H6" i="16"/>
  <c r="B6" i="16"/>
  <c r="G24" i="15"/>
  <c r="C24" i="15"/>
  <c r="H22" i="15"/>
  <c r="B22" i="15"/>
  <c r="C20" i="15"/>
  <c r="G19" i="15"/>
  <c r="C19" i="15"/>
  <c r="G15" i="15"/>
  <c r="C15" i="15"/>
  <c r="H11" i="15"/>
  <c r="B11" i="15"/>
  <c r="B9" i="15"/>
  <c r="H7" i="15"/>
  <c r="B7" i="15"/>
  <c r="H6" i="15"/>
  <c r="B6" i="15"/>
  <c r="G24" i="14"/>
  <c r="C24" i="14"/>
  <c r="H22" i="14"/>
  <c r="B22" i="14"/>
  <c r="C20" i="14"/>
  <c r="G19" i="14"/>
  <c r="C19" i="14"/>
  <c r="G15" i="14"/>
  <c r="C15" i="14"/>
  <c r="H11" i="14"/>
  <c r="B11" i="14"/>
  <c r="B9" i="14"/>
  <c r="H7" i="14"/>
  <c r="B7" i="14"/>
  <c r="H6" i="14"/>
  <c r="B6" i="14"/>
  <c r="G24" i="13"/>
  <c r="C24" i="13"/>
  <c r="H22" i="13"/>
  <c r="B22" i="13"/>
  <c r="C20" i="13"/>
  <c r="G19" i="13"/>
  <c r="C19" i="13"/>
  <c r="G15" i="13"/>
  <c r="C15" i="13"/>
  <c r="H11" i="13"/>
  <c r="B11" i="13"/>
  <c r="B9" i="13"/>
  <c r="H7" i="13"/>
  <c r="B7" i="13"/>
  <c r="H6" i="13"/>
  <c r="B6" i="13"/>
  <c r="G24" i="12"/>
  <c r="C24" i="12"/>
  <c r="H22" i="12"/>
  <c r="B22" i="12"/>
  <c r="C20" i="12"/>
  <c r="G19" i="12"/>
  <c r="C19" i="12"/>
  <c r="G15" i="12"/>
  <c r="C15" i="12"/>
  <c r="H11" i="12"/>
  <c r="B11" i="12"/>
  <c r="B9" i="12"/>
  <c r="H7" i="12"/>
  <c r="B7" i="12"/>
  <c r="H6" i="12"/>
  <c r="B6" i="12"/>
  <c r="G24" i="11"/>
  <c r="C24" i="11"/>
  <c r="H22" i="11"/>
  <c r="B22" i="11"/>
  <c r="C20" i="11"/>
  <c r="G19" i="11"/>
  <c r="C19" i="11"/>
  <c r="G15" i="11"/>
  <c r="C15" i="11"/>
  <c r="H11" i="11"/>
  <c r="B11" i="11"/>
  <c r="B9" i="11"/>
  <c r="H7" i="11"/>
  <c r="B7" i="11"/>
  <c r="H6" i="11"/>
  <c r="B6" i="11"/>
  <c r="G24" i="10"/>
  <c r="C24" i="10"/>
  <c r="H22" i="10"/>
  <c r="B22" i="10"/>
  <c r="C20" i="10"/>
  <c r="G19" i="10"/>
  <c r="C19" i="10"/>
  <c r="G15" i="10"/>
  <c r="C15" i="10"/>
  <c r="H11" i="10"/>
  <c r="B11" i="10"/>
  <c r="B9" i="10"/>
  <c r="H7" i="10"/>
  <c r="B7" i="10"/>
  <c r="H6" i="10"/>
  <c r="B6" i="10"/>
  <c r="B13" i="6"/>
  <c r="C24" i="6" l="1"/>
  <c r="C32" i="6"/>
  <c r="G20" i="6"/>
  <c r="H8" i="6"/>
  <c r="B8" i="6"/>
  <c r="F8" i="5"/>
  <c r="B8" i="5"/>
  <c r="F8" i="2"/>
  <c r="B8" i="2"/>
  <c r="B9" i="7" l="1"/>
  <c r="G24" i="7"/>
  <c r="C24" i="7"/>
  <c r="H22" i="7"/>
  <c r="B22" i="7"/>
  <c r="H6" i="6" l="1"/>
  <c r="B9" i="5" l="1"/>
  <c r="B6" i="6" l="1"/>
  <c r="B25" i="6"/>
  <c r="H25" i="6" s="1"/>
  <c r="B11" i="6" l="1"/>
  <c r="B12" i="6"/>
  <c r="B7" i="6"/>
  <c r="C30" i="6"/>
  <c r="H26" i="6"/>
  <c r="C23" i="6"/>
  <c r="C22" i="6"/>
  <c r="C19" i="6"/>
  <c r="C18" i="6"/>
  <c r="H7" i="6"/>
  <c r="G71" i="6" l="1"/>
  <c r="G8" i="3" s="1"/>
  <c r="E71" i="5"/>
  <c r="G7" i="3" s="1"/>
  <c r="C71" i="5"/>
  <c r="D7" i="3" s="1"/>
  <c r="F7" i="5"/>
  <c r="B7" i="5"/>
  <c r="F6" i="5"/>
  <c r="B6" i="5"/>
  <c r="C71" i="6" l="1"/>
  <c r="D8" i="3" s="1"/>
  <c r="B71" i="5"/>
  <c r="C7" i="3" s="1"/>
  <c r="F71" i="5"/>
  <c r="H7" i="3" s="1"/>
  <c r="C73" i="5" l="1"/>
  <c r="C71" i="2" l="1"/>
  <c r="D6" i="3" s="1"/>
  <c r="E71" i="2"/>
  <c r="G6" i="3" s="1"/>
  <c r="B6" i="2"/>
  <c r="F7" i="2" l="1"/>
  <c r="F6" i="2"/>
  <c r="B7" i="2"/>
  <c r="B71" i="2" l="1"/>
  <c r="F71" i="2"/>
  <c r="H6" i="3" l="1"/>
  <c r="I6" i="3" s="1"/>
  <c r="I7" i="3" s="1"/>
  <c r="C6" i="3"/>
  <c r="E6" i="3" s="1"/>
  <c r="E7" i="3" s="1"/>
  <c r="B9" i="6" l="1"/>
  <c r="B71" i="6" s="1"/>
  <c r="C8" i="3" l="1"/>
  <c r="E8" i="3" s="1"/>
  <c r="C73" i="6"/>
  <c r="H71" i="6" l="1"/>
  <c r="H8" i="3" s="1"/>
  <c r="I8" i="3" s="1"/>
  <c r="C21" i="19" l="1"/>
  <c r="C21" i="17"/>
  <c r="C21" i="15"/>
  <c r="C21" i="20"/>
  <c r="C21" i="18"/>
  <c r="C21" i="16"/>
  <c r="C21" i="14"/>
  <c r="C21" i="12"/>
  <c r="C21" i="10"/>
  <c r="C21" i="13"/>
  <c r="C21" i="11"/>
  <c r="C21" i="7"/>
  <c r="G21" i="20"/>
  <c r="G21" i="18"/>
  <c r="G21" i="16"/>
  <c r="G21" i="14"/>
  <c r="G21" i="12"/>
  <c r="G21" i="10"/>
  <c r="G21" i="11"/>
  <c r="G21" i="19"/>
  <c r="G21" i="17"/>
  <c r="G21" i="15"/>
  <c r="G21" i="13"/>
  <c r="G21" i="7"/>
  <c r="C17" i="19"/>
  <c r="C71" i="19" s="1"/>
  <c r="D19" i="3" s="1"/>
  <c r="C17" i="17"/>
  <c r="C71" i="17" s="1"/>
  <c r="D17" i="3" s="1"/>
  <c r="C17" i="15"/>
  <c r="C71" i="15" s="1"/>
  <c r="D15" i="3" s="1"/>
  <c r="C17" i="13"/>
  <c r="C71" i="13" s="1"/>
  <c r="D13" i="3" s="1"/>
  <c r="C17" i="11"/>
  <c r="C17" i="20"/>
  <c r="C17" i="10"/>
  <c r="C71" i="10" s="1"/>
  <c r="D10" i="3" s="1"/>
  <c r="C17" i="18"/>
  <c r="C71" i="18" s="1"/>
  <c r="D18" i="3" s="1"/>
  <c r="C17" i="16"/>
  <c r="C71" i="16" s="1"/>
  <c r="D16" i="3" s="1"/>
  <c r="C17" i="14"/>
  <c r="C17" i="12"/>
  <c r="C17" i="7"/>
  <c r="C70" i="7" s="1"/>
  <c r="D9" i="3" s="1"/>
  <c r="G17" i="13"/>
  <c r="G17" i="11"/>
  <c r="G17" i="20"/>
  <c r="G71" i="20" s="1"/>
  <c r="G20" i="3" s="1"/>
  <c r="G17" i="18"/>
  <c r="G71" i="18" s="1"/>
  <c r="G18" i="3" s="1"/>
  <c r="G17" i="16"/>
  <c r="G17" i="14"/>
  <c r="G17" i="12"/>
  <c r="G71" i="12" s="1"/>
  <c r="G12" i="3" s="1"/>
  <c r="G17" i="10"/>
  <c r="G71" i="10" s="1"/>
  <c r="G10" i="3" s="1"/>
  <c r="G17" i="19"/>
  <c r="G17" i="17"/>
  <c r="G71" i="17" s="1"/>
  <c r="G17" i="3" s="1"/>
  <c r="G17" i="15"/>
  <c r="G71" i="15" s="1"/>
  <c r="G15" i="3" s="1"/>
  <c r="G17" i="7"/>
  <c r="G70" i="7" s="1"/>
  <c r="G9" i="3" s="1"/>
  <c r="H8" i="20" l="1"/>
  <c r="H8" i="18"/>
  <c r="H8" i="16"/>
  <c r="H8" i="14"/>
  <c r="H8" i="12"/>
  <c r="H8" i="10"/>
  <c r="H8" i="19"/>
  <c r="H8" i="17"/>
  <c r="H8" i="15"/>
  <c r="H8" i="13"/>
  <c r="H8" i="11"/>
  <c r="H8" i="7"/>
  <c r="B13" i="19"/>
  <c r="B13" i="17"/>
  <c r="B13" i="15"/>
  <c r="B13" i="13"/>
  <c r="B13" i="11"/>
  <c r="B13" i="18"/>
  <c r="B13" i="16"/>
  <c r="B13" i="14"/>
  <c r="B13" i="12"/>
  <c r="B13" i="20"/>
  <c r="B13" i="10"/>
  <c r="B13" i="7"/>
  <c r="C71" i="12"/>
  <c r="D12" i="3" s="1"/>
  <c r="H13" i="17"/>
  <c r="H13" i="15"/>
  <c r="H13" i="20"/>
  <c r="H13" i="18"/>
  <c r="H13" i="16"/>
  <c r="H13" i="14"/>
  <c r="H13" i="12"/>
  <c r="H13" i="10"/>
  <c r="H13" i="19"/>
  <c r="H13" i="13"/>
  <c r="H13" i="11"/>
  <c r="H13" i="7"/>
  <c r="G71" i="14"/>
  <c r="G14" i="3" s="1"/>
  <c r="G71" i="11"/>
  <c r="G11" i="3" s="1"/>
  <c r="C71" i="14"/>
  <c r="D14" i="3" s="1"/>
  <c r="C71" i="20"/>
  <c r="D20" i="3" s="1"/>
  <c r="G71" i="19"/>
  <c r="G19" i="3" s="1"/>
  <c r="G71" i="16"/>
  <c r="G16" i="3" s="1"/>
  <c r="G71" i="13"/>
  <c r="G13" i="3" s="1"/>
  <c r="C71" i="11"/>
  <c r="D11" i="3" s="1"/>
  <c r="B8" i="19" l="1"/>
  <c r="B8" i="13"/>
  <c r="B8" i="11"/>
  <c r="B8" i="20"/>
  <c r="B8" i="18"/>
  <c r="B8" i="16"/>
  <c r="B8" i="14"/>
  <c r="B8" i="12"/>
  <c r="B8" i="10"/>
  <c r="B8" i="17"/>
  <c r="B8" i="15"/>
  <c r="B8" i="7"/>
  <c r="H12" i="7"/>
  <c r="B12" i="7"/>
  <c r="H12" i="19" l="1"/>
  <c r="H71" i="19" s="1"/>
  <c r="H19" i="3" s="1"/>
  <c r="H12" i="17"/>
  <c r="H71" i="17" s="1"/>
  <c r="H17" i="3" s="1"/>
  <c r="H12" i="15"/>
  <c r="H71" i="15" s="1"/>
  <c r="H15" i="3" s="1"/>
  <c r="H12" i="13"/>
  <c r="H71" i="13" s="1"/>
  <c r="H13" i="3" s="1"/>
  <c r="H12" i="11"/>
  <c r="H71" i="11" s="1"/>
  <c r="H11" i="3" s="1"/>
  <c r="H12" i="18"/>
  <c r="H71" i="18" s="1"/>
  <c r="H18" i="3" s="1"/>
  <c r="H12" i="12"/>
  <c r="H71" i="12" s="1"/>
  <c r="H12" i="3" s="1"/>
  <c r="H12" i="10"/>
  <c r="H71" i="10" s="1"/>
  <c r="H10" i="3" s="1"/>
  <c r="H12" i="20"/>
  <c r="H71" i="20" s="1"/>
  <c r="H20" i="3" s="1"/>
  <c r="H12" i="16"/>
  <c r="H71" i="16" s="1"/>
  <c r="H16" i="3" s="1"/>
  <c r="H12" i="14"/>
  <c r="H71" i="14" s="1"/>
  <c r="H14" i="3" s="1"/>
  <c r="H70" i="7"/>
  <c r="H9" i="3" s="1"/>
  <c r="I9" i="3" s="1"/>
  <c r="I10" i="3" s="1"/>
  <c r="B12" i="18"/>
  <c r="B71" i="18" s="1"/>
  <c r="B12" i="14"/>
  <c r="B71" i="14" s="1"/>
  <c r="B12" i="10"/>
  <c r="B71" i="10" s="1"/>
  <c r="B12" i="19"/>
  <c r="B71" i="19" s="1"/>
  <c r="B12" i="17"/>
  <c r="B12" i="15"/>
  <c r="B71" i="15" s="1"/>
  <c r="B12" i="13"/>
  <c r="B12" i="11"/>
  <c r="B71" i="11" s="1"/>
  <c r="B12" i="20"/>
  <c r="B71" i="20" s="1"/>
  <c r="C73" i="20" s="1"/>
  <c r="B12" i="16"/>
  <c r="B12" i="12"/>
  <c r="B71" i="12" s="1"/>
  <c r="B70" i="7"/>
  <c r="B71" i="17"/>
  <c r="C73" i="17" s="1"/>
  <c r="B71" i="13"/>
  <c r="C73" i="13" s="1"/>
  <c r="B71" i="16"/>
  <c r="C73" i="16" s="1"/>
  <c r="I11" i="3" l="1"/>
  <c r="I12" i="3" s="1"/>
  <c r="I13" i="3" s="1"/>
  <c r="I14" i="3" s="1"/>
  <c r="I15" i="3" s="1"/>
  <c r="I16" i="3" s="1"/>
  <c r="I17" i="3" s="1"/>
  <c r="I18" i="3" s="1"/>
  <c r="I19" i="3" s="1"/>
  <c r="I20" i="3" s="1"/>
  <c r="C13" i="3"/>
  <c r="C17" i="3"/>
  <c r="C73" i="19"/>
  <c r="C19" i="3"/>
  <c r="C72" i="7"/>
  <c r="C9" i="3"/>
  <c r="E9" i="3" s="1"/>
  <c r="C73" i="11"/>
  <c r="C11" i="3"/>
  <c r="C20" i="3"/>
  <c r="C73" i="12"/>
  <c r="C12" i="3"/>
  <c r="C73" i="10"/>
  <c r="C10" i="3"/>
  <c r="C14" i="3"/>
  <c r="C73" i="14"/>
  <c r="C15" i="3"/>
  <c r="C73" i="15"/>
  <c r="C73" i="18"/>
  <c r="C18" i="3"/>
  <c r="C16" i="3"/>
  <c r="E10" i="3" l="1"/>
  <c r="E11" i="3" s="1"/>
  <c r="E12" i="3" s="1"/>
  <c r="E13" i="3" s="1"/>
  <c r="E14" i="3" s="1"/>
  <c r="E15" i="3" s="1"/>
  <c r="E16" i="3" s="1"/>
  <c r="E17" i="3" s="1"/>
  <c r="E18" i="3" s="1"/>
  <c r="E19" i="3" s="1"/>
  <c r="E20" i="3" s="1"/>
</calcChain>
</file>

<file path=xl/sharedStrings.xml><?xml version="1.0" encoding="utf-8"?>
<sst xmlns="http://schemas.openxmlformats.org/spreadsheetml/2006/main" count="1005" uniqueCount="113">
  <si>
    <t>DATE</t>
  </si>
  <si>
    <t>LIBELLE</t>
  </si>
  <si>
    <t>TOTAL</t>
  </si>
  <si>
    <t>ENTREE</t>
  </si>
  <si>
    <t>SORTIE</t>
  </si>
  <si>
    <t>APPERITIF DOHOU DAVID</t>
  </si>
  <si>
    <t>NKAMGANG</t>
  </si>
  <si>
    <t>SIME ABEL</t>
  </si>
  <si>
    <t>NJEPJO DELUXE</t>
  </si>
  <si>
    <t>DJOMO J P</t>
  </si>
  <si>
    <t>SEUNOU RICHELOT</t>
  </si>
  <si>
    <t>NKOUTCHO</t>
  </si>
  <si>
    <t>TYAM ERNEST</t>
  </si>
  <si>
    <t>KOUMOU MOISE</t>
  </si>
  <si>
    <t>NGONDIEP CLAUDE</t>
  </si>
  <si>
    <t>SIME MATHIEU</t>
  </si>
  <si>
    <t>DJUOMBESSY ANTOINE</t>
  </si>
  <si>
    <t>COMMISSION</t>
  </si>
  <si>
    <t>KEPSEU FRANCIS</t>
  </si>
  <si>
    <t>BUREAU</t>
  </si>
  <si>
    <t>BENEFICIAIRE T100000</t>
  </si>
  <si>
    <t>SIMO PIERRE</t>
  </si>
  <si>
    <t>HOTCHO BENJAMIN</t>
  </si>
  <si>
    <t>DJOUOKEP SAMUEL</t>
  </si>
  <si>
    <t>COMPTE CAISSE</t>
  </si>
  <si>
    <t>TONTINE 60 000</t>
  </si>
  <si>
    <t>TONTINE 100 000</t>
  </si>
  <si>
    <t>PRÊT FONDS</t>
  </si>
  <si>
    <t>MOUVEMENT TRESORERIE</t>
  </si>
  <si>
    <t>ACHAT INTERET T60 000</t>
  </si>
  <si>
    <t>INTERET T100 000</t>
  </si>
  <si>
    <t>BENEFICIAIRE T13 000</t>
  </si>
  <si>
    <t>COMPTE BANQUE</t>
  </si>
  <si>
    <t>COMPTE TRESORERIE</t>
  </si>
  <si>
    <t>REPORT</t>
  </si>
  <si>
    <t>MOUVEMENT ESPECES</t>
  </si>
  <si>
    <t>PENALITE RETARD</t>
  </si>
  <si>
    <t>REMBOURSEMENT</t>
  </si>
  <si>
    <t>T60 000 DJOMO JP</t>
  </si>
  <si>
    <t>NKAMGANG JD</t>
  </si>
  <si>
    <t>REMBBOURSEMENT PRÊT FONDS</t>
  </si>
  <si>
    <t>REMBOURSEMENT 60 000</t>
  </si>
  <si>
    <t>TYAMERNEST</t>
  </si>
  <si>
    <t>SEUMOU RICHELOT</t>
  </si>
  <si>
    <t>REMBOURSEMENT 100 000</t>
  </si>
  <si>
    <t>REMBOURSEMENT 13 000</t>
  </si>
  <si>
    <t>TONTINE13 000</t>
  </si>
  <si>
    <t>TONTINE 13 000</t>
  </si>
  <si>
    <t>T13 000 CHINGUIE</t>
  </si>
  <si>
    <t>KOUAMOU MOISE</t>
  </si>
  <si>
    <t>NKAMGANG JUSTIN DEJOLIE</t>
  </si>
  <si>
    <t>TIEYAM ERNEST</t>
  </si>
  <si>
    <t>KOUAMO VICTOR PEGUY</t>
  </si>
  <si>
    <t xml:space="preserve"> CHINGUIE</t>
  </si>
  <si>
    <t>FOTSO THOMAS</t>
  </si>
  <si>
    <t>KOUATCHO MESSACK</t>
  </si>
  <si>
    <t>TCHOUANTE FRANCOIS</t>
  </si>
  <si>
    <t>PRÊT T60 000</t>
  </si>
  <si>
    <t>PRÊT T100 000</t>
  </si>
  <si>
    <t>NANKAM APPOLINAIRE</t>
  </si>
  <si>
    <t>NKAMGANG DEJOLIE(CPTEMBAKOP)</t>
  </si>
  <si>
    <t>COMPTE BANQUE CCA</t>
  </si>
  <si>
    <t>SIME PIERRE</t>
  </si>
  <si>
    <t>TONTINE 60 000SIME PIERRE</t>
  </si>
  <si>
    <t>TONTINE 60 000DJOMO JP</t>
  </si>
  <si>
    <t>TONTINE 100 000NDJOMO ETIENNE</t>
  </si>
  <si>
    <t>TONTINE 100 000NDJOMO YOMBI EMMA</t>
  </si>
  <si>
    <t>TONTINE 13 000NDJOMO HENGUE</t>
  </si>
  <si>
    <t>TONTINE 13 000NNGEMENI MAT</t>
  </si>
  <si>
    <t>TONTINE 13 000NBAKOP ACHILLE</t>
  </si>
  <si>
    <t>TONTINE 13 000NTEMDIEU  MAGLOIRE</t>
  </si>
  <si>
    <t>TONTINE 13 000HODIEP JULES</t>
  </si>
  <si>
    <t>DIST INT 13000</t>
  </si>
  <si>
    <t>AIDE UEEBGYDE</t>
  </si>
  <si>
    <t>AIDE BUREAU NAT UEEBG</t>
  </si>
  <si>
    <t>REUNION BUREAU</t>
  </si>
  <si>
    <t>AIDE JOURNEE FEMME BANGOU</t>
  </si>
  <si>
    <t>ACHAT PAGNE FESTIVAL</t>
  </si>
  <si>
    <t>PHOTOCOPIE DIVERSES</t>
  </si>
  <si>
    <t>ACHAT S TYLO</t>
  </si>
  <si>
    <t>COLLATION MOIS AOUT</t>
  </si>
  <si>
    <t>OBSEQUE PIERRE LOTI</t>
  </si>
  <si>
    <t>DECES BELLE MERE MBAKOP</t>
  </si>
  <si>
    <t>KOUAMOU EMMANUEL</t>
  </si>
  <si>
    <t>HODIEP JULES SAISIE</t>
  </si>
  <si>
    <t>TCHOUAMOU JEAN PAUL SAISIE</t>
  </si>
  <si>
    <t>NGONGANG JEAN THEODORE</t>
  </si>
  <si>
    <t>KEPHE DAVID SAISIE</t>
  </si>
  <si>
    <t>SAISIE</t>
  </si>
  <si>
    <t>TCHOUTOU NANA CLAUDE</t>
  </si>
  <si>
    <t>EN CAISSE</t>
  </si>
  <si>
    <t>RECONTITUTION FONDS</t>
  </si>
  <si>
    <t>REMBBOURSEMENT PETIT LOT</t>
  </si>
  <si>
    <t>FRAIS DE COMMUNICATION</t>
  </si>
  <si>
    <t>NKEPSEU DIEUDONNE</t>
  </si>
  <si>
    <t>RETOUR EN CAISSE</t>
  </si>
  <si>
    <t>ACHAT PETIT LOT</t>
  </si>
  <si>
    <t>ACHAT LOT PRINCIPAL</t>
  </si>
  <si>
    <t xml:space="preserve">EMPRUNT FONDS </t>
  </si>
  <si>
    <t>TONTINE 25 000</t>
  </si>
  <si>
    <t>COLLATION</t>
  </si>
  <si>
    <t>TCHOUAMOU JEAN PAUL</t>
  </si>
  <si>
    <t>COMPLEMENT TONTINE T60000</t>
  </si>
  <si>
    <t>DISTRIBUTION INTERET T100000</t>
  </si>
  <si>
    <t>MOUVEMENT BANCAIRE</t>
  </si>
  <si>
    <t>19/20/2018</t>
  </si>
  <si>
    <t>17/20/2018</t>
  </si>
  <si>
    <t>CONTRE PARTIE</t>
  </si>
  <si>
    <t>REMBOURSEMENT COMPLEMENT TONTINE T60000</t>
  </si>
  <si>
    <t>VENTE LOT PRINCIPAL</t>
  </si>
  <si>
    <t>VENTE PETIT LOT</t>
  </si>
  <si>
    <t>SOLDE EN CAISSE</t>
  </si>
  <si>
    <t>SOLDE EN BANQUE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</si>
</sst>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20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3" fontId="2" fillId="0" borderId="0" xfId="0" applyNumberFormat="1" applyFont="1"/>
    <xf numFmtId="14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3" fontId="3" fillId="0" borderId="0" xfId="0" applyNumberFormat="1" applyFont="1"/>
    <xf numFmtId="3" fontId="4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10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6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5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17UPDATE/ASELBYTONTINE2017/ASELBYTONTINE2500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VTONT2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</sheetNames>
    <sheetDataSet>
      <sheetData sheetId="0">
        <row r="5">
          <cell r="A5" t="str">
            <v>AS201601</v>
          </cell>
        </row>
      </sheetData>
      <sheetData sheetId="1">
        <row r="6">
          <cell r="O6">
            <v>50000</v>
          </cell>
        </row>
      </sheetData>
      <sheetData sheetId="2">
        <row r="19">
          <cell r="K19">
            <v>100000</v>
          </cell>
        </row>
      </sheetData>
      <sheetData sheetId="3">
        <row r="5">
          <cell r="E5">
            <v>202.80994959407681</v>
          </cell>
        </row>
      </sheetData>
      <sheetData sheetId="4">
        <row r="5">
          <cell r="C5">
            <v>0</v>
          </cell>
        </row>
      </sheetData>
      <sheetData sheetId="5">
        <row r="5">
          <cell r="C5">
            <v>1975.5683466088842</v>
          </cell>
        </row>
      </sheetData>
      <sheetData sheetId="6">
        <row r="5">
          <cell r="C5">
            <v>1305.9727084661067</v>
          </cell>
        </row>
      </sheetData>
      <sheetData sheetId="7">
        <row r="5">
          <cell r="C5">
            <v>1053.7629152599034</v>
          </cell>
        </row>
      </sheetData>
      <sheetData sheetId="8">
        <row r="5">
          <cell r="C5">
            <v>2026.7640754185838</v>
          </cell>
        </row>
      </sheetData>
      <sheetData sheetId="9">
        <row r="5">
          <cell r="C5">
            <v>1222.9245356510744</v>
          </cell>
        </row>
        <row r="72">
          <cell r="L72">
            <v>1114500</v>
          </cell>
        </row>
        <row r="73">
          <cell r="L73">
            <v>1879000</v>
          </cell>
        </row>
      </sheetData>
      <sheetData sheetId="10">
        <row r="5">
          <cell r="C5">
            <v>0</v>
          </cell>
        </row>
        <row r="56">
          <cell r="G56">
            <v>16000</v>
          </cell>
        </row>
        <row r="71">
          <cell r="F71">
            <v>283000</v>
          </cell>
        </row>
        <row r="72">
          <cell r="F72">
            <v>521500</v>
          </cell>
        </row>
      </sheetData>
      <sheetData sheetId="11">
        <row r="5">
          <cell r="C5">
            <v>22.721654516142401</v>
          </cell>
        </row>
      </sheetData>
      <sheetData sheetId="12">
        <row r="5">
          <cell r="C5">
            <v>0</v>
          </cell>
        </row>
      </sheetData>
      <sheetData sheetId="13">
        <row r="5">
          <cell r="C5">
            <v>0</v>
          </cell>
        </row>
      </sheetData>
      <sheetData sheetId="14">
        <row r="5">
          <cell r="C5">
            <v>0</v>
          </cell>
        </row>
      </sheetData>
      <sheetData sheetId="15">
        <row r="5">
          <cell r="C5">
            <v>7810.5241855147724</v>
          </cell>
        </row>
      </sheetData>
      <sheetData sheetId="16"/>
      <sheetData sheetId="17"/>
      <sheetData sheetId="18"/>
      <sheetData sheetId="19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N"/>
      <sheetName val="TONTJUIL"/>
      <sheetName val="TONTAOUT"/>
      <sheetName val="TONTSEP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36">
          <cell r="F36">
            <v>875000</v>
          </cell>
        </row>
        <row r="37">
          <cell r="F37">
            <v>2305000</v>
          </cell>
        </row>
      </sheetData>
      <sheetData sheetId="2">
        <row r="36">
          <cell r="C36">
            <v>900000</v>
          </cell>
        </row>
        <row r="37">
          <cell r="C37">
            <v>1700000</v>
          </cell>
        </row>
      </sheetData>
      <sheetData sheetId="3">
        <row r="33">
          <cell r="M33">
            <v>1503499.9999999998</v>
          </cell>
          <cell r="N33">
            <v>21500.000000000029</v>
          </cell>
        </row>
        <row r="37">
          <cell r="C37">
            <v>1200000</v>
          </cell>
        </row>
        <row r="38">
          <cell r="C38">
            <v>1400000</v>
          </cell>
        </row>
        <row r="39">
          <cell r="C39">
            <v>303500</v>
          </cell>
        </row>
        <row r="40">
          <cell r="C40">
            <v>0</v>
          </cell>
        </row>
      </sheetData>
      <sheetData sheetId="4"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MODEPAID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F36">
            <v>540000</v>
          </cell>
        </row>
        <row r="37">
          <cell r="F37">
            <v>1112000</v>
          </cell>
        </row>
      </sheetData>
      <sheetData sheetId="8">
        <row r="36">
          <cell r="C36">
            <v>600000</v>
          </cell>
        </row>
        <row r="37">
          <cell r="C37">
            <v>900000</v>
          </cell>
        </row>
      </sheetData>
      <sheetData sheetId="9">
        <row r="36">
          <cell r="C36">
            <v>900000</v>
          </cell>
          <cell r="H36">
            <v>1870000</v>
          </cell>
        </row>
        <row r="37">
          <cell r="C37">
            <v>600000</v>
          </cell>
        </row>
        <row r="38">
          <cell r="C38">
            <v>306000</v>
          </cell>
        </row>
        <row r="39">
          <cell r="C39">
            <v>0</v>
          </cell>
        </row>
      </sheetData>
      <sheetData sheetId="10"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43">
          <cell r="C43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</sheetNames>
    <sheetDataSet>
      <sheetData sheetId="0"/>
      <sheetData sheetId="1">
        <row r="57">
          <cell r="J57">
            <v>515000</v>
          </cell>
        </row>
        <row r="58">
          <cell r="F58">
            <v>52500.000000000029</v>
          </cell>
        </row>
        <row r="59">
          <cell r="F59">
            <v>151000</v>
          </cell>
        </row>
        <row r="76">
          <cell r="G76">
            <v>761000</v>
          </cell>
        </row>
        <row r="77">
          <cell r="G77">
            <v>448000</v>
          </cell>
        </row>
      </sheetData>
      <sheetData sheetId="2">
        <row r="58">
          <cell r="F58">
            <v>0</v>
          </cell>
        </row>
        <row r="59">
          <cell r="F59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AOUT2017"/>
    </sheetNames>
    <sheetDataSet>
      <sheetData sheetId="0"/>
      <sheetData sheetId="1"/>
      <sheetData sheetId="2">
        <row r="5">
          <cell r="C5">
            <v>0</v>
          </cell>
        </row>
      </sheetData>
      <sheetData sheetId="3">
        <row r="5">
          <cell r="C5">
            <v>70000</v>
          </cell>
        </row>
        <row r="77">
          <cell r="G77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VTAOUT2017"/>
      <sheetName val="MVTAOUT"/>
      <sheetName val="MVTSEPT"/>
    </sheetNames>
    <sheetDataSet>
      <sheetData sheetId="0"/>
      <sheetData sheetId="1"/>
      <sheetData sheetId="2">
        <row r="20">
          <cell r="O20">
            <v>50000</v>
          </cell>
        </row>
        <row r="33">
          <cell r="O33">
            <v>200000</v>
          </cell>
        </row>
        <row r="64">
          <cell r="F64">
            <v>391000</v>
          </cell>
        </row>
      </sheetData>
      <sheetData sheetId="3">
        <row r="53">
          <cell r="F53">
            <v>0</v>
          </cell>
        </row>
        <row r="69">
          <cell r="F69">
            <v>0</v>
          </cell>
          <cell r="G69">
            <v>0</v>
          </cell>
        </row>
        <row r="70">
          <cell r="F70">
            <v>0</v>
          </cell>
          <cell r="G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I4" sqref="I4"/>
    </sheetView>
  </sheetViews>
  <sheetFormatPr baseColWidth="10" defaultRowHeight="15" x14ac:dyDescent="0.25"/>
  <cols>
    <col min="2" max="2" width="23.42578125" bestFit="1" customWidth="1"/>
    <col min="3" max="4" width="14" style="6" customWidth="1"/>
    <col min="5" max="5" width="15.42578125" style="6" customWidth="1"/>
    <col min="6" max="6" width="22.5703125" bestFit="1" customWidth="1"/>
    <col min="7" max="8" width="15.7109375" customWidth="1"/>
    <col min="9" max="9" width="15.28515625" customWidth="1"/>
  </cols>
  <sheetData>
    <row r="1" spans="1:10" ht="21" x14ac:dyDescent="0.35">
      <c r="A1" s="17" t="s">
        <v>33</v>
      </c>
      <c r="B1" s="18"/>
      <c r="C1" s="18"/>
      <c r="D1" s="18"/>
      <c r="E1" s="18"/>
      <c r="F1" s="18"/>
      <c r="G1" s="18"/>
      <c r="H1" s="18"/>
      <c r="I1" s="18"/>
    </row>
    <row r="2" spans="1:10" ht="21" x14ac:dyDescent="0.35">
      <c r="B2" s="5"/>
    </row>
    <row r="3" spans="1:10" ht="21" x14ac:dyDescent="0.35">
      <c r="A3" s="5" t="s">
        <v>0</v>
      </c>
      <c r="B3" s="15" t="s">
        <v>24</v>
      </c>
      <c r="C3" s="16"/>
      <c r="D3" s="16"/>
      <c r="E3" s="16"/>
      <c r="F3" s="15" t="s">
        <v>61</v>
      </c>
      <c r="G3" s="16"/>
      <c r="H3" s="16"/>
      <c r="I3" s="16"/>
    </row>
    <row r="4" spans="1:10" ht="37.5" x14ac:dyDescent="0.3">
      <c r="B4" s="1" t="s">
        <v>1</v>
      </c>
      <c r="C4" s="2" t="s">
        <v>3</v>
      </c>
      <c r="D4" s="2" t="s">
        <v>4</v>
      </c>
      <c r="E4" s="14" t="s">
        <v>111</v>
      </c>
      <c r="F4" s="1" t="s">
        <v>1</v>
      </c>
      <c r="G4" s="2" t="s">
        <v>4</v>
      </c>
      <c r="H4" s="2" t="s">
        <v>3</v>
      </c>
      <c r="I4" s="14" t="s">
        <v>112</v>
      </c>
    </row>
    <row r="5" spans="1:10" ht="18.75" x14ac:dyDescent="0.3">
      <c r="A5" s="1" t="s">
        <v>34</v>
      </c>
      <c r="C5" s="9">
        <v>0</v>
      </c>
      <c r="D5" s="9"/>
      <c r="E5" s="9"/>
      <c r="F5" s="7"/>
      <c r="G5" s="9"/>
      <c r="H5" s="9">
        <v>8418637</v>
      </c>
    </row>
    <row r="6" spans="1:10" ht="18.75" x14ac:dyDescent="0.3">
      <c r="A6" s="3">
        <v>42904</v>
      </c>
      <c r="B6" t="s">
        <v>35</v>
      </c>
      <c r="C6" s="6">
        <f>MVTJUIN2017!$B$71</f>
        <v>2529500</v>
      </c>
      <c r="D6" s="6">
        <f>MVTJUIN2017!$C$71</f>
        <v>2529500</v>
      </c>
      <c r="E6" s="2">
        <f>C5+C6-D6</f>
        <v>0</v>
      </c>
      <c r="F6" t="s">
        <v>104</v>
      </c>
      <c r="G6" s="6">
        <f>MVTJUIN2017!$E$71</f>
        <v>5530500</v>
      </c>
      <c r="H6" s="6">
        <f>MVTJUIN2017!$F$71</f>
        <v>5296000</v>
      </c>
      <c r="I6" s="2">
        <f>H5+H6-G6</f>
        <v>8184137</v>
      </c>
      <c r="J6" s="6"/>
    </row>
    <row r="7" spans="1:10" ht="18.75" x14ac:dyDescent="0.3">
      <c r="A7" s="3">
        <v>42932</v>
      </c>
      <c r="B7" t="s">
        <v>35</v>
      </c>
      <c r="C7" s="6">
        <f>MVTJUIL2017!$B$71</f>
        <v>3573000</v>
      </c>
      <c r="D7" s="6">
        <f>MVTJUIL2017!$C$71</f>
        <v>3573000</v>
      </c>
      <c r="E7" s="2">
        <f>E6+C7-D7</f>
        <v>0</v>
      </c>
      <c r="F7" t="s">
        <v>104</v>
      </c>
      <c r="G7" s="6">
        <f>MVTJUIL2017!$E$71</f>
        <v>3367000</v>
      </c>
      <c r="H7" s="6">
        <f>MVTJUIL2017!$F$71</f>
        <v>3402500</v>
      </c>
      <c r="I7" s="2">
        <f>I6+H7-G7</f>
        <v>8219637</v>
      </c>
    </row>
    <row r="8" spans="1:10" ht="18.75" x14ac:dyDescent="0.3">
      <c r="A8" s="3">
        <v>42967</v>
      </c>
      <c r="B8" t="s">
        <v>35</v>
      </c>
      <c r="C8" s="6">
        <f>MVTAOUT2017!$B$71</f>
        <v>3823000</v>
      </c>
      <c r="D8" s="6">
        <f>MVTAOUT2017!$C$71</f>
        <v>3657500</v>
      </c>
      <c r="E8" s="2">
        <f>E7+C8-D8</f>
        <v>165500</v>
      </c>
      <c r="F8" t="s">
        <v>104</v>
      </c>
      <c r="G8" s="6">
        <f>MVTAOUT2017!$G$71</f>
        <v>2079500</v>
      </c>
      <c r="H8" s="6">
        <f>MVTAOUT2017!$H$71</f>
        <v>2689000</v>
      </c>
      <c r="I8" s="2">
        <f>I7+H8-G8</f>
        <v>8829137</v>
      </c>
    </row>
    <row r="9" spans="1:10" ht="18.75" x14ac:dyDescent="0.3">
      <c r="A9" s="3">
        <v>42999</v>
      </c>
      <c r="B9" t="s">
        <v>35</v>
      </c>
      <c r="C9" s="6">
        <f>MVTSEPT2017!$B$70</f>
        <v>0</v>
      </c>
      <c r="D9" s="6">
        <f>MVTSEPT2017!$C$70</f>
        <v>0</v>
      </c>
      <c r="E9" s="2">
        <f t="shared" ref="E9:E13" si="0">E8+C9-D9</f>
        <v>165500</v>
      </c>
      <c r="F9" t="s">
        <v>104</v>
      </c>
      <c r="G9" s="6">
        <f>MVTSEPT2017!$G$70</f>
        <v>0</v>
      </c>
      <c r="H9" s="6">
        <f>MVTSEPT2017!$H$70</f>
        <v>0</v>
      </c>
      <c r="I9" s="2">
        <f t="shared" ref="I9:I13" si="1">I8+H9-G9</f>
        <v>8829137</v>
      </c>
    </row>
    <row r="10" spans="1:10" ht="18.75" x14ac:dyDescent="0.3">
      <c r="A10" s="3">
        <v>43023</v>
      </c>
      <c r="B10" t="s">
        <v>35</v>
      </c>
      <c r="C10" s="6">
        <f>MVTOCT2017!$B$71</f>
        <v>0</v>
      </c>
      <c r="D10" s="6">
        <f>MVTOCT2017!$C$71</f>
        <v>0</v>
      </c>
      <c r="E10" s="2">
        <f t="shared" si="0"/>
        <v>165500</v>
      </c>
      <c r="F10" t="s">
        <v>104</v>
      </c>
      <c r="G10" s="6">
        <f>MVTOCT2017!$G$71</f>
        <v>0</v>
      </c>
      <c r="H10" s="6">
        <f>MVTOCT2017!$H$71</f>
        <v>0</v>
      </c>
      <c r="I10" s="2">
        <f t="shared" si="1"/>
        <v>8829137</v>
      </c>
    </row>
    <row r="11" spans="1:10" ht="18.75" x14ac:dyDescent="0.3">
      <c r="A11" s="3">
        <v>43058</v>
      </c>
      <c r="B11" t="s">
        <v>35</v>
      </c>
      <c r="C11" s="6">
        <f>MVTNOV2017!$B$71</f>
        <v>0</v>
      </c>
      <c r="D11" s="6">
        <f>MVTNOV2017!$C$71</f>
        <v>0</v>
      </c>
      <c r="E11" s="2">
        <f t="shared" si="0"/>
        <v>165500</v>
      </c>
      <c r="F11" t="s">
        <v>104</v>
      </c>
      <c r="G11" s="6">
        <f>MVTNOV2017!$G$71</f>
        <v>0</v>
      </c>
      <c r="H11" s="6">
        <f>MVTNOV2017!$H$71</f>
        <v>0</v>
      </c>
      <c r="I11" s="2">
        <f t="shared" si="1"/>
        <v>8829137</v>
      </c>
    </row>
    <row r="12" spans="1:10" ht="18.75" x14ac:dyDescent="0.3">
      <c r="A12" s="3">
        <v>43086</v>
      </c>
      <c r="B12" t="s">
        <v>35</v>
      </c>
      <c r="C12" s="6">
        <f>MVTDEC2017!$B$71</f>
        <v>0</v>
      </c>
      <c r="D12" s="6">
        <f>MVTDEC2017!$C$71</f>
        <v>0</v>
      </c>
      <c r="E12" s="2">
        <f t="shared" si="0"/>
        <v>165500</v>
      </c>
      <c r="F12" t="s">
        <v>104</v>
      </c>
      <c r="G12" s="6">
        <f>MVTDEC2017!$G$71</f>
        <v>0</v>
      </c>
      <c r="H12" s="6">
        <f>MVTDEC2017!$H$71</f>
        <v>0</v>
      </c>
      <c r="I12" s="2">
        <f t="shared" si="1"/>
        <v>8829137</v>
      </c>
    </row>
    <row r="13" spans="1:10" ht="18.75" x14ac:dyDescent="0.3">
      <c r="A13" s="3">
        <v>43121</v>
      </c>
      <c r="B13" t="s">
        <v>35</v>
      </c>
      <c r="C13" s="6">
        <f>MVTJANV2018!$B$71</f>
        <v>0</v>
      </c>
      <c r="D13" s="6">
        <f>MVTJANV2018!$C$71</f>
        <v>0</v>
      </c>
      <c r="E13" s="2">
        <f t="shared" si="0"/>
        <v>165500</v>
      </c>
      <c r="F13" t="s">
        <v>104</v>
      </c>
      <c r="G13" s="6">
        <f>MVTJANV2018!$G$71</f>
        <v>0</v>
      </c>
      <c r="H13" s="6">
        <f>MVTJANV2018!$H$71</f>
        <v>0</v>
      </c>
      <c r="I13" s="2">
        <f t="shared" si="1"/>
        <v>8829137</v>
      </c>
    </row>
    <row r="14" spans="1:10" ht="18.75" x14ac:dyDescent="0.3">
      <c r="A14" s="3">
        <v>43149</v>
      </c>
      <c r="B14" t="s">
        <v>35</v>
      </c>
      <c r="C14" s="6">
        <f>MVTFEV2018!$B$71</f>
        <v>0</v>
      </c>
      <c r="D14" s="6">
        <f>MVTFEV2018!$C$71</f>
        <v>0</v>
      </c>
      <c r="E14" s="2">
        <f t="shared" ref="E14:E20" si="2">E13+C14-D14</f>
        <v>165500</v>
      </c>
      <c r="F14" t="s">
        <v>104</v>
      </c>
      <c r="G14" s="6">
        <f>MVTFEV2018!$G$71</f>
        <v>0</v>
      </c>
      <c r="H14" s="6">
        <f>MVTFEV2018!$H$71</f>
        <v>0</v>
      </c>
      <c r="I14" s="2">
        <f t="shared" ref="I14:I20" si="3">I13+H14-G14</f>
        <v>8829137</v>
      </c>
    </row>
    <row r="15" spans="1:10" ht="18.75" x14ac:dyDescent="0.3">
      <c r="A15" s="3">
        <v>43177</v>
      </c>
      <c r="B15" t="s">
        <v>35</v>
      </c>
      <c r="C15" s="6">
        <f>MVTMARS2018!$B$71</f>
        <v>0</v>
      </c>
      <c r="D15" s="6">
        <f>MVTMARS2018!$C$71</f>
        <v>0</v>
      </c>
      <c r="E15" s="2">
        <f t="shared" si="2"/>
        <v>165500</v>
      </c>
      <c r="F15" t="s">
        <v>104</v>
      </c>
      <c r="G15" s="6">
        <f>MVTMARS2018!$G$71</f>
        <v>0</v>
      </c>
      <c r="H15" s="6">
        <f>MVTMARS2018!$H$71</f>
        <v>0</v>
      </c>
      <c r="I15" s="2">
        <f t="shared" si="3"/>
        <v>8829137</v>
      </c>
    </row>
    <row r="16" spans="1:10" ht="18.75" x14ac:dyDescent="0.3">
      <c r="A16" s="3">
        <v>43212</v>
      </c>
      <c r="B16" t="s">
        <v>35</v>
      </c>
      <c r="C16" s="6">
        <f>MVTAVRIL2018!$B$71</f>
        <v>0</v>
      </c>
      <c r="D16" s="6">
        <f>MVTAVRIL2018!$C$71</f>
        <v>0</v>
      </c>
      <c r="E16" s="2">
        <f t="shared" si="2"/>
        <v>165500</v>
      </c>
      <c r="F16" t="s">
        <v>104</v>
      </c>
      <c r="G16" s="6">
        <f>MVTAVRIL2018!$G$71</f>
        <v>0</v>
      </c>
      <c r="H16" s="6">
        <f>MVTAVRIL2018!$H$71</f>
        <v>0</v>
      </c>
      <c r="I16" s="2">
        <f t="shared" si="3"/>
        <v>8829137</v>
      </c>
    </row>
    <row r="17" spans="1:9" ht="18.75" x14ac:dyDescent="0.3">
      <c r="A17" s="3">
        <v>43240</v>
      </c>
      <c r="B17" t="s">
        <v>35</v>
      </c>
      <c r="C17" s="6">
        <f>MVTMAI2018!$B$71</f>
        <v>0</v>
      </c>
      <c r="D17" s="6">
        <f>MVTMAI2018!$C$71</f>
        <v>0</v>
      </c>
      <c r="E17" s="2">
        <f t="shared" si="2"/>
        <v>165500</v>
      </c>
      <c r="F17" t="s">
        <v>104</v>
      </c>
      <c r="G17" s="6">
        <f>MVTMAI2018!$G$71</f>
        <v>0</v>
      </c>
      <c r="H17" s="6">
        <f>MVTMAI2018!$H$71</f>
        <v>0</v>
      </c>
      <c r="I17" s="2">
        <f t="shared" si="3"/>
        <v>8829137</v>
      </c>
    </row>
    <row r="18" spans="1:9" ht="18.75" x14ac:dyDescent="0.3">
      <c r="A18" s="3">
        <v>43268</v>
      </c>
      <c r="B18" t="s">
        <v>35</v>
      </c>
      <c r="C18" s="6">
        <f>MVTJUIN2018!$B$71</f>
        <v>0</v>
      </c>
      <c r="D18" s="6">
        <f>MVTJUIN2018!$C$71</f>
        <v>0</v>
      </c>
      <c r="E18" s="2">
        <f t="shared" si="2"/>
        <v>165500</v>
      </c>
      <c r="F18" t="s">
        <v>104</v>
      </c>
      <c r="G18" s="6">
        <f>MVTJUIN2018!$G$71</f>
        <v>0</v>
      </c>
      <c r="H18" s="6">
        <f>MVTJUIN2018!$H$71</f>
        <v>0</v>
      </c>
      <c r="I18" s="2">
        <f t="shared" si="3"/>
        <v>8829137</v>
      </c>
    </row>
    <row r="19" spans="1:9" ht="18.75" x14ac:dyDescent="0.3">
      <c r="A19" s="3">
        <v>43296</v>
      </c>
      <c r="B19" t="s">
        <v>35</v>
      </c>
      <c r="C19" s="6">
        <f>MVTJUIL2018!$B$71</f>
        <v>0</v>
      </c>
      <c r="D19" s="6">
        <f>MVTJUIL2018!$C$71</f>
        <v>0</v>
      </c>
      <c r="E19" s="2">
        <f t="shared" si="2"/>
        <v>165500</v>
      </c>
      <c r="F19" t="s">
        <v>104</v>
      </c>
      <c r="G19" s="6">
        <f>MVTJUIL2018!$G$71</f>
        <v>0</v>
      </c>
      <c r="H19" s="6">
        <f>MVTJUIL2018!$H$71</f>
        <v>0</v>
      </c>
      <c r="I19" s="2">
        <f t="shared" si="3"/>
        <v>8829137</v>
      </c>
    </row>
    <row r="20" spans="1:9" ht="18.75" x14ac:dyDescent="0.3">
      <c r="A20" s="3">
        <v>43331</v>
      </c>
      <c r="B20" t="s">
        <v>35</v>
      </c>
      <c r="C20" s="6">
        <f>MVTAOUT2018!$B$71</f>
        <v>0</v>
      </c>
      <c r="D20" s="6">
        <f>MVTAOUT2018!$C$71</f>
        <v>0</v>
      </c>
      <c r="E20" s="2">
        <f t="shared" si="2"/>
        <v>165500</v>
      </c>
      <c r="F20" t="s">
        <v>104</v>
      </c>
      <c r="G20" s="6">
        <f>MVTAOUT2018!$G$71</f>
        <v>0</v>
      </c>
      <c r="H20" s="6">
        <f>MVTAOUT2018!$H$71</f>
        <v>0</v>
      </c>
      <c r="I20" s="2">
        <f t="shared" si="3"/>
        <v>8829137</v>
      </c>
    </row>
  </sheetData>
  <mergeCells count="3">
    <mergeCell ref="B3:E3"/>
    <mergeCell ref="F3:I3"/>
    <mergeCell ref="A1:I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selection activeCell="F8" sqref="F8"/>
    </sheetView>
  </sheetViews>
  <sheetFormatPr baseColWidth="10" defaultRowHeight="15" x14ac:dyDescent="0.25"/>
  <cols>
    <col min="1" max="1" width="23.42578125" bestFit="1" customWidth="1"/>
    <col min="2" max="2" width="14" style="6" customWidth="1"/>
    <col min="3" max="3" width="15.42578125" style="6" customWidth="1"/>
    <col min="4" max="4" width="21.42578125" bestFit="1" customWidth="1"/>
    <col min="5" max="5" width="15.7109375" customWidth="1"/>
    <col min="6" max="6" width="15.28515625" customWidth="1"/>
  </cols>
  <sheetData>
    <row r="1" spans="1:6" ht="21" x14ac:dyDescent="0.35">
      <c r="A1" s="5" t="s">
        <v>28</v>
      </c>
    </row>
    <row r="2" spans="1:6" ht="31.5" x14ac:dyDescent="0.6">
      <c r="A2" s="5" t="s">
        <v>0</v>
      </c>
      <c r="B2" s="20">
        <v>42904</v>
      </c>
      <c r="C2" s="20"/>
      <c r="D2" s="20"/>
      <c r="E2" s="20"/>
      <c r="F2" s="20"/>
    </row>
    <row r="3" spans="1:6" ht="21" x14ac:dyDescent="0.35">
      <c r="A3" s="19" t="s">
        <v>24</v>
      </c>
      <c r="B3" s="18"/>
      <c r="C3" s="18"/>
      <c r="D3" s="19" t="s">
        <v>32</v>
      </c>
      <c r="E3" s="18"/>
      <c r="F3" s="18"/>
    </row>
    <row r="4" spans="1:6" ht="18.75" x14ac:dyDescent="0.3">
      <c r="A4" s="1" t="s">
        <v>1</v>
      </c>
      <c r="B4" s="2" t="s">
        <v>3</v>
      </c>
      <c r="C4" s="2" t="s">
        <v>4</v>
      </c>
      <c r="D4" s="1" t="s">
        <v>1</v>
      </c>
      <c r="E4" s="2" t="s">
        <v>4</v>
      </c>
      <c r="F4" s="2" t="s">
        <v>3</v>
      </c>
    </row>
    <row r="5" spans="1:6" x14ac:dyDescent="0.25">
      <c r="F5" s="6"/>
    </row>
    <row r="6" spans="1:6" x14ac:dyDescent="0.25">
      <c r="A6" t="s">
        <v>46</v>
      </c>
      <c r="B6" s="6">
        <f>[2]TONT20000JUIN2017!$L$72-14000</f>
        <v>1100500</v>
      </c>
      <c r="D6" t="s">
        <v>47</v>
      </c>
      <c r="F6" s="6">
        <f>[2]TONT20000JUIN2017!$L$73</f>
        <v>1879000</v>
      </c>
    </row>
    <row r="7" spans="1:6" x14ac:dyDescent="0.25">
      <c r="A7" t="s">
        <v>25</v>
      </c>
      <c r="B7" s="6">
        <f>[4]TONTJUIN!$F$36</f>
        <v>540000</v>
      </c>
      <c r="D7" t="s">
        <v>25</v>
      </c>
      <c r="F7" s="6">
        <f>[4]TONTJUIN!$F$37</f>
        <v>1112000</v>
      </c>
    </row>
    <row r="8" spans="1:6" x14ac:dyDescent="0.25">
      <c r="A8" t="s">
        <v>26</v>
      </c>
      <c r="B8" s="6">
        <f>[3]TONTJUIN!$F$36</f>
        <v>875000</v>
      </c>
      <c r="D8" t="s">
        <v>26</v>
      </c>
      <c r="F8" s="6">
        <f>[3]TONTJUIN!$F$37</f>
        <v>2305000</v>
      </c>
    </row>
    <row r="9" spans="1:6" x14ac:dyDescent="0.25">
      <c r="A9" t="s">
        <v>36</v>
      </c>
      <c r="B9" s="6">
        <v>14000</v>
      </c>
      <c r="F9" s="6"/>
    </row>
    <row r="10" spans="1:6" x14ac:dyDescent="0.25">
      <c r="A10" t="s">
        <v>5</v>
      </c>
      <c r="C10" s="6">
        <v>100000</v>
      </c>
    </row>
    <row r="11" spans="1:6" x14ac:dyDescent="0.25">
      <c r="A11" s="4" t="s">
        <v>29</v>
      </c>
      <c r="D11" s="4" t="s">
        <v>27</v>
      </c>
    </row>
    <row r="12" spans="1:6" x14ac:dyDescent="0.25">
      <c r="A12" s="4"/>
      <c r="D12" s="4"/>
    </row>
    <row r="13" spans="1:6" x14ac:dyDescent="0.25">
      <c r="A13" s="4"/>
      <c r="D13" s="4"/>
    </row>
    <row r="14" spans="1:6" x14ac:dyDescent="0.25">
      <c r="A14" t="s">
        <v>6</v>
      </c>
      <c r="C14" s="6">
        <v>120000</v>
      </c>
      <c r="D14" t="s">
        <v>10</v>
      </c>
      <c r="E14" s="6">
        <v>900000</v>
      </c>
    </row>
    <row r="15" spans="1:6" x14ac:dyDescent="0.25">
      <c r="A15" t="s">
        <v>7</v>
      </c>
      <c r="C15" s="6">
        <v>120000</v>
      </c>
      <c r="D15" t="s">
        <v>14</v>
      </c>
      <c r="E15" s="6">
        <v>2399500</v>
      </c>
    </row>
    <row r="16" spans="1:6" x14ac:dyDescent="0.25">
      <c r="A16" t="s">
        <v>12</v>
      </c>
      <c r="C16" s="6">
        <v>120000</v>
      </c>
      <c r="D16" t="s">
        <v>16</v>
      </c>
      <c r="E16" s="6">
        <v>131000</v>
      </c>
    </row>
    <row r="17" spans="1:5" x14ac:dyDescent="0.25">
      <c r="A17" t="s">
        <v>8</v>
      </c>
      <c r="C17" s="6">
        <v>120000</v>
      </c>
      <c r="D17" t="s">
        <v>21</v>
      </c>
      <c r="E17" s="6">
        <v>400000</v>
      </c>
    </row>
    <row r="18" spans="1:5" x14ac:dyDescent="0.25">
      <c r="A18" t="s">
        <v>9</v>
      </c>
      <c r="C18" s="6">
        <v>120000</v>
      </c>
      <c r="D18" t="s">
        <v>22</v>
      </c>
      <c r="E18" s="6">
        <v>700000</v>
      </c>
    </row>
    <row r="19" spans="1:5" x14ac:dyDescent="0.25">
      <c r="E19" s="6"/>
    </row>
    <row r="20" spans="1:5" x14ac:dyDescent="0.25">
      <c r="E20" s="6"/>
    </row>
    <row r="21" spans="1:5" x14ac:dyDescent="0.25">
      <c r="E21" s="6"/>
    </row>
    <row r="22" spans="1:5" x14ac:dyDescent="0.25">
      <c r="E22" s="6"/>
    </row>
    <row r="23" spans="1:5" x14ac:dyDescent="0.25">
      <c r="E23" s="6"/>
    </row>
    <row r="24" spans="1:5" x14ac:dyDescent="0.25">
      <c r="E24" s="6"/>
    </row>
    <row r="25" spans="1:5" x14ac:dyDescent="0.25">
      <c r="A25" t="s">
        <v>10</v>
      </c>
      <c r="C25" s="6">
        <v>32000</v>
      </c>
      <c r="D25" t="s">
        <v>23</v>
      </c>
      <c r="E25" s="6">
        <v>1000000</v>
      </c>
    </row>
    <row r="26" spans="1:5" x14ac:dyDescent="0.25">
      <c r="A26" t="s">
        <v>11</v>
      </c>
      <c r="C26" s="6">
        <v>120000</v>
      </c>
    </row>
    <row r="27" spans="1:5" x14ac:dyDescent="0.25">
      <c r="A27" s="4" t="s">
        <v>30</v>
      </c>
    </row>
    <row r="28" spans="1:5" x14ac:dyDescent="0.25">
      <c r="A28" t="s">
        <v>12</v>
      </c>
      <c r="C28" s="6">
        <v>200000</v>
      </c>
    </row>
    <row r="29" spans="1:5" x14ac:dyDescent="0.25">
      <c r="A29" t="s">
        <v>6</v>
      </c>
      <c r="C29" s="6">
        <v>200000</v>
      </c>
    </row>
    <row r="30" spans="1:5" x14ac:dyDescent="0.25">
      <c r="A30" t="s">
        <v>13</v>
      </c>
      <c r="C30" s="6">
        <v>31000</v>
      </c>
    </row>
    <row r="31" spans="1:5" x14ac:dyDescent="0.25">
      <c r="A31" s="4" t="s">
        <v>31</v>
      </c>
    </row>
    <row r="32" spans="1:5" x14ac:dyDescent="0.25">
      <c r="A32" t="s">
        <v>14</v>
      </c>
      <c r="C32" s="6">
        <v>115500</v>
      </c>
    </row>
    <row r="33" spans="1:3" x14ac:dyDescent="0.25">
      <c r="A33" t="s">
        <v>15</v>
      </c>
      <c r="C33" s="6">
        <v>140000</v>
      </c>
    </row>
    <row r="34" spans="1:3" x14ac:dyDescent="0.25">
      <c r="A34" s="4" t="s">
        <v>27</v>
      </c>
    </row>
    <row r="35" spans="1:3" x14ac:dyDescent="0.25">
      <c r="A35" t="s">
        <v>16</v>
      </c>
      <c r="C35" s="6">
        <v>569000</v>
      </c>
    </row>
    <row r="36" spans="1:3" x14ac:dyDescent="0.25">
      <c r="A36" s="4" t="s">
        <v>17</v>
      </c>
    </row>
    <row r="37" spans="1:3" x14ac:dyDescent="0.25">
      <c r="A37" t="s">
        <v>18</v>
      </c>
      <c r="C37" s="6">
        <v>15000</v>
      </c>
    </row>
    <row r="38" spans="1:3" x14ac:dyDescent="0.25">
      <c r="A38" t="s">
        <v>19</v>
      </c>
      <c r="C38" s="6">
        <v>33000</v>
      </c>
    </row>
    <row r="39" spans="1:3" x14ac:dyDescent="0.25">
      <c r="A39" s="4" t="s">
        <v>20</v>
      </c>
    </row>
    <row r="40" spans="1:3" x14ac:dyDescent="0.25">
      <c r="A40" t="s">
        <v>18</v>
      </c>
      <c r="C40" s="6">
        <v>374000</v>
      </c>
    </row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spans="1:6" ht="18" customHeight="1" x14ac:dyDescent="0.25"/>
    <row r="66" spans="1:6" ht="18" customHeight="1" x14ac:dyDescent="0.25"/>
    <row r="67" spans="1:6" ht="18" customHeight="1" x14ac:dyDescent="0.25"/>
    <row r="68" spans="1:6" ht="18" customHeight="1" x14ac:dyDescent="0.25"/>
    <row r="69" spans="1:6" ht="18" customHeight="1" x14ac:dyDescent="0.25"/>
    <row r="71" spans="1:6" ht="21" x14ac:dyDescent="0.35">
      <c r="A71" s="5" t="s">
        <v>2</v>
      </c>
      <c r="B71" s="8">
        <f>SUM(B5:B70)</f>
        <v>2529500</v>
      </c>
      <c r="C71" s="8">
        <f>SUM(C5:C70)</f>
        <v>2529500</v>
      </c>
      <c r="D71" s="8"/>
      <c r="E71" s="8">
        <f>SUM(E5:E70)</f>
        <v>5530500</v>
      </c>
      <c r="F71" s="8">
        <f>SUM(F5:F70)</f>
        <v>5296000</v>
      </c>
    </row>
  </sheetData>
  <mergeCells count="3">
    <mergeCell ref="A3:C3"/>
    <mergeCell ref="D3:F3"/>
    <mergeCell ref="B2:F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3"/>
  <sheetViews>
    <sheetView workbookViewId="0">
      <selection activeCell="F8" sqref="F8"/>
    </sheetView>
  </sheetViews>
  <sheetFormatPr baseColWidth="10" defaultRowHeight="15" x14ac:dyDescent="0.25"/>
  <cols>
    <col min="1" max="1" width="23.85546875" bestFit="1" customWidth="1"/>
    <col min="2" max="3" width="13.7109375" style="6" bestFit="1" customWidth="1"/>
    <col min="4" max="4" width="36.85546875" bestFit="1" customWidth="1"/>
    <col min="5" max="6" width="13.7109375" style="6" bestFit="1" customWidth="1"/>
  </cols>
  <sheetData>
    <row r="2" spans="1:6" ht="31.5" x14ac:dyDescent="0.6">
      <c r="A2" s="5" t="s">
        <v>0</v>
      </c>
      <c r="B2" s="20">
        <v>42932</v>
      </c>
      <c r="C2" s="20"/>
      <c r="D2" s="20"/>
      <c r="E2" s="20"/>
      <c r="F2" s="20"/>
    </row>
    <row r="3" spans="1:6" ht="21" x14ac:dyDescent="0.35">
      <c r="A3" s="19" t="s">
        <v>24</v>
      </c>
      <c r="B3" s="18"/>
      <c r="C3" s="18"/>
      <c r="D3" s="19" t="s">
        <v>61</v>
      </c>
      <c r="E3" s="18"/>
      <c r="F3" s="18"/>
    </row>
    <row r="4" spans="1:6" ht="18.75" x14ac:dyDescent="0.3">
      <c r="A4" s="1" t="s">
        <v>1</v>
      </c>
      <c r="B4" s="2" t="s">
        <v>3</v>
      </c>
      <c r="C4" s="2" t="s">
        <v>4</v>
      </c>
      <c r="D4" s="1" t="s">
        <v>1</v>
      </c>
      <c r="E4" s="2" t="s">
        <v>4</v>
      </c>
      <c r="F4" s="2" t="s">
        <v>3</v>
      </c>
    </row>
    <row r="6" spans="1:6" x14ac:dyDescent="0.25">
      <c r="A6" t="s">
        <v>47</v>
      </c>
      <c r="B6" s="6">
        <f>[2]TONT20000JUIL2017!$F$71</f>
        <v>283000</v>
      </c>
      <c r="D6" t="s">
        <v>47</v>
      </c>
      <c r="F6" s="6">
        <f>[2]TONT20000JUIL2017!$F$72</f>
        <v>521500</v>
      </c>
    </row>
    <row r="7" spans="1:6" x14ac:dyDescent="0.25">
      <c r="A7" t="s">
        <v>25</v>
      </c>
      <c r="B7" s="6">
        <f>[4]TONTJUIL!$C$36</f>
        <v>600000</v>
      </c>
      <c r="D7" t="s">
        <v>25</v>
      </c>
      <c r="F7" s="6">
        <f>[4]TONTJUIL!$C$37</f>
        <v>900000</v>
      </c>
    </row>
    <row r="8" spans="1:6" x14ac:dyDescent="0.25">
      <c r="A8" t="s">
        <v>26</v>
      </c>
      <c r="B8" s="6">
        <f>[3]TONTJUIL!$C$36</f>
        <v>900000</v>
      </c>
      <c r="D8" t="s">
        <v>26</v>
      </c>
      <c r="F8" s="6">
        <f>[3]TONTJUIL!$C$37</f>
        <v>1700000</v>
      </c>
    </row>
    <row r="9" spans="1:6" x14ac:dyDescent="0.25">
      <c r="A9" t="s">
        <v>36</v>
      </c>
      <c r="B9" s="6">
        <f>[2]TONT20000JUIL2017!$G$56-1000</f>
        <v>15000</v>
      </c>
      <c r="D9" t="s">
        <v>36</v>
      </c>
    </row>
    <row r="10" spans="1:6" x14ac:dyDescent="0.25">
      <c r="A10" s="10" t="s">
        <v>40</v>
      </c>
      <c r="D10" t="s">
        <v>37</v>
      </c>
    </row>
    <row r="11" spans="1:6" x14ac:dyDescent="0.25">
      <c r="A11" t="s">
        <v>14</v>
      </c>
      <c r="B11" s="6">
        <v>100000</v>
      </c>
      <c r="D11" t="s">
        <v>38</v>
      </c>
      <c r="F11" s="6">
        <v>61000</v>
      </c>
    </row>
    <row r="12" spans="1:6" x14ac:dyDescent="0.25">
      <c r="A12" t="s">
        <v>83</v>
      </c>
      <c r="B12" s="6">
        <v>120000</v>
      </c>
    </row>
    <row r="13" spans="1:6" x14ac:dyDescent="0.25">
      <c r="A13" t="s">
        <v>62</v>
      </c>
      <c r="B13" s="6">
        <v>300000</v>
      </c>
    </row>
    <row r="14" spans="1:6" x14ac:dyDescent="0.25">
      <c r="A14" s="10" t="s">
        <v>44</v>
      </c>
      <c r="D14" t="s">
        <v>48</v>
      </c>
      <c r="F14" s="6">
        <v>20000</v>
      </c>
    </row>
    <row r="15" spans="1:6" x14ac:dyDescent="0.25">
      <c r="A15" t="s">
        <v>50</v>
      </c>
      <c r="B15" s="6">
        <v>204000</v>
      </c>
      <c r="D15" s="10" t="s">
        <v>40</v>
      </c>
    </row>
    <row r="16" spans="1:6" x14ac:dyDescent="0.25">
      <c r="A16" t="s">
        <v>49</v>
      </c>
      <c r="B16" s="6">
        <v>31500</v>
      </c>
      <c r="D16" t="s">
        <v>14</v>
      </c>
      <c r="F16" s="6">
        <v>100000</v>
      </c>
    </row>
    <row r="17" spans="1:6" x14ac:dyDescent="0.25">
      <c r="A17" t="s">
        <v>51</v>
      </c>
      <c r="B17" s="6">
        <v>207000</v>
      </c>
      <c r="D17" t="s">
        <v>59</v>
      </c>
      <c r="F17" s="6">
        <v>100000</v>
      </c>
    </row>
    <row r="18" spans="1:6" x14ac:dyDescent="0.25">
      <c r="A18" t="s">
        <v>52</v>
      </c>
      <c r="B18" s="6">
        <v>36000</v>
      </c>
      <c r="D18" t="s">
        <v>65</v>
      </c>
      <c r="E18" s="6">
        <v>1399000</v>
      </c>
    </row>
    <row r="19" spans="1:6" x14ac:dyDescent="0.25">
      <c r="A19" s="10" t="s">
        <v>88</v>
      </c>
    </row>
    <row r="20" spans="1:6" x14ac:dyDescent="0.25">
      <c r="A20" t="s">
        <v>84</v>
      </c>
      <c r="B20" s="6">
        <v>39000</v>
      </c>
    </row>
    <row r="21" spans="1:6" x14ac:dyDescent="0.25">
      <c r="A21" t="s">
        <v>85</v>
      </c>
      <c r="B21" s="6">
        <v>34000</v>
      </c>
    </row>
    <row r="22" spans="1:6" x14ac:dyDescent="0.25">
      <c r="A22" t="s">
        <v>87</v>
      </c>
      <c r="B22" s="6">
        <v>4000</v>
      </c>
    </row>
    <row r="23" spans="1:6" x14ac:dyDescent="0.25">
      <c r="A23" t="s">
        <v>89</v>
      </c>
      <c r="B23" s="6">
        <v>4000</v>
      </c>
    </row>
    <row r="24" spans="1:6" x14ac:dyDescent="0.25">
      <c r="A24" t="s">
        <v>86</v>
      </c>
      <c r="B24" s="6">
        <v>4000</v>
      </c>
    </row>
    <row r="25" spans="1:6" x14ac:dyDescent="0.25">
      <c r="A25" s="10" t="s">
        <v>45</v>
      </c>
      <c r="D25" t="s">
        <v>66</v>
      </c>
      <c r="E25" s="6">
        <v>1400000</v>
      </c>
    </row>
    <row r="26" spans="1:6" x14ac:dyDescent="0.25">
      <c r="A26" t="s">
        <v>53</v>
      </c>
      <c r="B26" s="6">
        <v>4500</v>
      </c>
      <c r="D26" t="s">
        <v>64</v>
      </c>
      <c r="E26" s="6">
        <v>568000</v>
      </c>
    </row>
    <row r="27" spans="1:6" x14ac:dyDescent="0.25">
      <c r="A27" t="s">
        <v>54</v>
      </c>
      <c r="B27" s="6">
        <v>24500</v>
      </c>
    </row>
    <row r="28" spans="1:6" x14ac:dyDescent="0.25">
      <c r="A28" s="10" t="s">
        <v>41</v>
      </c>
    </row>
    <row r="29" spans="1:6" x14ac:dyDescent="0.25">
      <c r="A29" t="s">
        <v>42</v>
      </c>
      <c r="B29" s="6">
        <v>122500</v>
      </c>
    </row>
    <row r="30" spans="1:6" x14ac:dyDescent="0.25">
      <c r="A30" t="s">
        <v>7</v>
      </c>
      <c r="B30" s="6">
        <v>122500</v>
      </c>
    </row>
    <row r="31" spans="1:6" x14ac:dyDescent="0.25">
      <c r="A31" t="s">
        <v>39</v>
      </c>
      <c r="B31" s="6">
        <v>122000</v>
      </c>
    </row>
    <row r="32" spans="1:6" x14ac:dyDescent="0.25">
      <c r="A32" t="s">
        <v>43</v>
      </c>
      <c r="B32" s="6">
        <v>32500</v>
      </c>
    </row>
    <row r="33" spans="1:6" x14ac:dyDescent="0.25">
      <c r="A33" t="s">
        <v>55</v>
      </c>
      <c r="B33" s="6">
        <v>122000</v>
      </c>
    </row>
    <row r="34" spans="1:6" x14ac:dyDescent="0.25">
      <c r="A34" t="s">
        <v>38</v>
      </c>
      <c r="B34" s="6">
        <v>61500</v>
      </c>
    </row>
    <row r="35" spans="1:6" x14ac:dyDescent="0.25">
      <c r="A35" s="10" t="s">
        <v>57</v>
      </c>
    </row>
    <row r="36" spans="1:6" x14ac:dyDescent="0.25">
      <c r="A36" t="s">
        <v>54</v>
      </c>
      <c r="C36" s="6">
        <v>50000</v>
      </c>
    </row>
    <row r="37" spans="1:6" x14ac:dyDescent="0.25">
      <c r="A37" t="s">
        <v>7</v>
      </c>
      <c r="C37" s="6">
        <v>31000</v>
      </c>
    </row>
    <row r="38" spans="1:6" x14ac:dyDescent="0.25">
      <c r="A38" t="s">
        <v>56</v>
      </c>
      <c r="C38" s="6">
        <v>100000</v>
      </c>
    </row>
    <row r="39" spans="1:6" x14ac:dyDescent="0.25">
      <c r="A39" t="s">
        <v>51</v>
      </c>
      <c r="C39" s="6">
        <v>100000</v>
      </c>
    </row>
    <row r="40" spans="1:6" x14ac:dyDescent="0.25">
      <c r="A40" s="10" t="s">
        <v>58</v>
      </c>
    </row>
    <row r="41" spans="1:6" x14ac:dyDescent="0.25">
      <c r="A41" t="s">
        <v>49</v>
      </c>
      <c r="C41" s="6">
        <v>79500</v>
      </c>
      <c r="E41"/>
      <c r="F41"/>
    </row>
    <row r="42" spans="1:6" x14ac:dyDescent="0.25">
      <c r="A42" t="s">
        <v>50</v>
      </c>
      <c r="C42" s="6">
        <v>100000</v>
      </c>
      <c r="E42"/>
      <c r="F42"/>
    </row>
    <row r="43" spans="1:6" x14ac:dyDescent="0.25">
      <c r="A43" t="s">
        <v>51</v>
      </c>
      <c r="C43" s="6">
        <v>100000</v>
      </c>
    </row>
    <row r="44" spans="1:6" x14ac:dyDescent="0.25">
      <c r="A44" t="s">
        <v>63</v>
      </c>
      <c r="C44" s="6">
        <v>931000</v>
      </c>
    </row>
    <row r="45" spans="1:6" x14ac:dyDescent="0.25">
      <c r="A45" t="s">
        <v>64</v>
      </c>
      <c r="C45" s="6">
        <v>364000</v>
      </c>
    </row>
    <row r="46" spans="1:6" x14ac:dyDescent="0.25">
      <c r="A46" t="s">
        <v>67</v>
      </c>
      <c r="C46" s="6">
        <v>140000</v>
      </c>
    </row>
    <row r="47" spans="1:6" x14ac:dyDescent="0.25">
      <c r="A47" t="s">
        <v>68</v>
      </c>
      <c r="C47" s="6">
        <v>140000</v>
      </c>
    </row>
    <row r="48" spans="1:6" x14ac:dyDescent="0.25">
      <c r="A48" t="s">
        <v>69</v>
      </c>
      <c r="C48" s="6">
        <v>26000</v>
      </c>
    </row>
    <row r="49" spans="1:3" x14ac:dyDescent="0.25">
      <c r="A49" t="s">
        <v>70</v>
      </c>
      <c r="C49" s="6">
        <v>39000</v>
      </c>
    </row>
    <row r="50" spans="1:3" x14ac:dyDescent="0.25">
      <c r="A50" t="s">
        <v>71</v>
      </c>
      <c r="C50" s="6">
        <v>39000</v>
      </c>
    </row>
    <row r="51" spans="1:3" x14ac:dyDescent="0.25">
      <c r="A51" t="s">
        <v>72</v>
      </c>
      <c r="C51" s="6">
        <v>156000</v>
      </c>
    </row>
    <row r="52" spans="1:3" x14ac:dyDescent="0.25">
      <c r="A52" t="s">
        <v>73</v>
      </c>
      <c r="C52" s="6">
        <v>35000</v>
      </c>
    </row>
    <row r="53" spans="1:3" x14ac:dyDescent="0.25">
      <c r="A53" t="s">
        <v>74</v>
      </c>
      <c r="C53" s="6">
        <v>25000</v>
      </c>
    </row>
    <row r="54" spans="1:3" x14ac:dyDescent="0.25">
      <c r="A54" t="s">
        <v>75</v>
      </c>
      <c r="C54" s="6">
        <v>9000</v>
      </c>
    </row>
    <row r="55" spans="1:3" x14ac:dyDescent="0.25">
      <c r="A55" t="s">
        <v>76</v>
      </c>
      <c r="C55" s="6">
        <v>40000</v>
      </c>
    </row>
    <row r="56" spans="1:3" x14ac:dyDescent="0.25">
      <c r="A56" t="s">
        <v>77</v>
      </c>
      <c r="C56" s="6">
        <v>245000</v>
      </c>
    </row>
    <row r="57" spans="1:3" x14ac:dyDescent="0.25">
      <c r="A57" t="s">
        <v>78</v>
      </c>
      <c r="C57" s="6">
        <v>3000</v>
      </c>
    </row>
    <row r="58" spans="1:3" x14ac:dyDescent="0.25">
      <c r="A58" t="s">
        <v>79</v>
      </c>
      <c r="C58" s="6">
        <v>1000</v>
      </c>
    </row>
    <row r="59" spans="1:3" x14ac:dyDescent="0.25">
      <c r="A59" t="s">
        <v>80</v>
      </c>
      <c r="C59" s="6">
        <v>100000</v>
      </c>
    </row>
    <row r="60" spans="1:3" x14ac:dyDescent="0.25">
      <c r="A60" t="s">
        <v>81</v>
      </c>
      <c r="C60" s="6">
        <v>540000</v>
      </c>
    </row>
    <row r="61" spans="1:3" ht="18" customHeight="1" x14ac:dyDescent="0.25">
      <c r="A61" t="s">
        <v>60</v>
      </c>
      <c r="B61" s="6">
        <v>79500</v>
      </c>
    </row>
    <row r="62" spans="1:3" ht="18" customHeight="1" x14ac:dyDescent="0.25">
      <c r="A62" t="s">
        <v>82</v>
      </c>
      <c r="C62" s="6">
        <v>100000</v>
      </c>
    </row>
    <row r="63" spans="1:3" ht="18" customHeight="1" x14ac:dyDescent="0.25">
      <c r="A63" t="s">
        <v>95</v>
      </c>
      <c r="C63" s="6">
        <v>79500</v>
      </c>
    </row>
    <row r="64" spans="1:3" ht="18" customHeight="1" x14ac:dyDescent="0.25"/>
    <row r="65" spans="1:6" ht="18" customHeight="1" x14ac:dyDescent="0.25"/>
    <row r="66" spans="1:6" ht="18" customHeight="1" x14ac:dyDescent="0.25"/>
    <row r="67" spans="1:6" ht="18" customHeight="1" x14ac:dyDescent="0.25"/>
    <row r="68" spans="1:6" ht="18" customHeight="1" x14ac:dyDescent="0.25"/>
    <row r="69" spans="1:6" ht="18" customHeight="1" x14ac:dyDescent="0.25"/>
    <row r="71" spans="1:6" ht="21" x14ac:dyDescent="0.35">
      <c r="A71" s="8"/>
      <c r="B71" s="8">
        <f>SUM(B5:B70)</f>
        <v>3573000</v>
      </c>
      <c r="C71" s="8">
        <f>SUM(C5:C70)</f>
        <v>3573000</v>
      </c>
      <c r="D71" s="8"/>
      <c r="E71" s="8">
        <f>SUM(E5:E70)</f>
        <v>3367000</v>
      </c>
      <c r="F71" s="8">
        <f>SUM(F5:F70)</f>
        <v>3402500</v>
      </c>
    </row>
    <row r="73" spans="1:6" x14ac:dyDescent="0.25">
      <c r="C73" s="6">
        <f>B71-C71</f>
        <v>0</v>
      </c>
    </row>
  </sheetData>
  <mergeCells count="3">
    <mergeCell ref="B2:F2"/>
    <mergeCell ref="A3:C3"/>
    <mergeCell ref="D3:F3"/>
  </mergeCells>
  <dataValidations count="1">
    <dataValidation type="list" allowBlank="1" showInputMessage="1" showErrorMessage="1" sqref="D41:D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3"/>
  <sheetViews>
    <sheetView workbookViewId="0">
      <selection activeCell="K26" sqref="K26"/>
    </sheetView>
  </sheetViews>
  <sheetFormatPr baseColWidth="10" defaultRowHeight="15" x14ac:dyDescent="0.25"/>
  <cols>
    <col min="1" max="1" width="34.7109375" style="6" bestFit="1" customWidth="1"/>
    <col min="2" max="2" width="13.7109375" style="6" bestFit="1" customWidth="1"/>
    <col min="3" max="4" width="14.42578125" style="6" customWidth="1"/>
    <col min="5" max="5" width="30.28515625" style="6" bestFit="1" customWidth="1"/>
    <col min="6" max="6" width="12.28515625" style="6" customWidth="1"/>
    <col min="7" max="8" width="13.7109375" style="6" bestFit="1" customWidth="1"/>
  </cols>
  <sheetData>
    <row r="2" spans="1:8" ht="31.5" x14ac:dyDescent="0.6">
      <c r="A2" s="8" t="s">
        <v>0</v>
      </c>
      <c r="B2" s="20">
        <v>42967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14" t="s">
        <v>1</v>
      </c>
      <c r="B4" s="14" t="s">
        <v>3</v>
      </c>
      <c r="C4" s="14" t="s">
        <v>4</v>
      </c>
      <c r="D4" s="14" t="s">
        <v>107</v>
      </c>
      <c r="E4" s="14" t="s">
        <v>1</v>
      </c>
      <c r="F4" s="14" t="s">
        <v>107</v>
      </c>
      <c r="G4" s="14" t="s">
        <v>4</v>
      </c>
      <c r="H4" s="14" t="s">
        <v>3</v>
      </c>
    </row>
    <row r="6" spans="1:8" x14ac:dyDescent="0.25">
      <c r="A6" s="6" t="s">
        <v>99</v>
      </c>
      <c r="B6" s="6">
        <f>[5]TONTAOUT!$G$76</f>
        <v>761000</v>
      </c>
      <c r="E6" s="6" t="s">
        <v>99</v>
      </c>
      <c r="H6" s="6">
        <f>[5]TONTAOUT!$G$77</f>
        <v>448000</v>
      </c>
    </row>
    <row r="7" spans="1:8" x14ac:dyDescent="0.25">
      <c r="A7" s="6" t="s">
        <v>25</v>
      </c>
      <c r="B7" s="6">
        <f>[4]TONTAOUT!$C$36</f>
        <v>900000</v>
      </c>
      <c r="E7" s="6" t="s">
        <v>25</v>
      </c>
      <c r="H7" s="6">
        <f>[4]TONTAOUT!$C$37</f>
        <v>600000</v>
      </c>
    </row>
    <row r="8" spans="1:8" x14ac:dyDescent="0.25">
      <c r="A8" s="6" t="s">
        <v>26</v>
      </c>
      <c r="B8" s="6">
        <f>[3]TONTAOUT!$C$37</f>
        <v>1200000</v>
      </c>
      <c r="E8" s="6" t="s">
        <v>26</v>
      </c>
      <c r="H8" s="6">
        <f>[3]TONTAOUT!$C$38</f>
        <v>1400000</v>
      </c>
    </row>
    <row r="9" spans="1:8" x14ac:dyDescent="0.25">
      <c r="A9" s="6" t="s">
        <v>36</v>
      </c>
      <c r="B9" s="6">
        <f>[5]TONTAOUT!$F$58</f>
        <v>52500.000000000029</v>
      </c>
    </row>
    <row r="10" spans="1:8" x14ac:dyDescent="0.25">
      <c r="A10" s="11" t="s">
        <v>92</v>
      </c>
      <c r="E10" s="11" t="s">
        <v>92</v>
      </c>
      <c r="F10" s="11"/>
    </row>
    <row r="11" spans="1:8" x14ac:dyDescent="0.25">
      <c r="A11" s="6" t="s">
        <v>99</v>
      </c>
      <c r="B11" s="6">
        <f>[6]AOUT2017!$G$77</f>
        <v>0</v>
      </c>
      <c r="E11" s="6" t="s">
        <v>99</v>
      </c>
    </row>
    <row r="12" spans="1:8" x14ac:dyDescent="0.25">
      <c r="A12" s="6" t="s">
        <v>25</v>
      </c>
      <c r="B12" s="6">
        <f>[4]TONTAOUT!$C$38</f>
        <v>306000</v>
      </c>
      <c r="E12" s="6" t="s">
        <v>25</v>
      </c>
    </row>
    <row r="13" spans="1:8" x14ac:dyDescent="0.25">
      <c r="A13" s="6" t="s">
        <v>26</v>
      </c>
      <c r="B13" s="6">
        <f>[3]TONTAOUT!$C$39</f>
        <v>303500</v>
      </c>
      <c r="E13" s="6" t="s">
        <v>26</v>
      </c>
    </row>
    <row r="14" spans="1:8" x14ac:dyDescent="0.25">
      <c r="A14" s="11" t="s">
        <v>90</v>
      </c>
      <c r="E14" s="11" t="s">
        <v>90</v>
      </c>
      <c r="F14" s="11"/>
    </row>
    <row r="15" spans="1:8" x14ac:dyDescent="0.25">
      <c r="A15" s="6" t="s">
        <v>86</v>
      </c>
      <c r="B15" s="6">
        <v>30000</v>
      </c>
      <c r="E15" s="6" t="s">
        <v>86</v>
      </c>
    </row>
    <row r="16" spans="1:8" x14ac:dyDescent="0.25">
      <c r="A16" s="6" t="s">
        <v>101</v>
      </c>
      <c r="B16" s="6">
        <v>20000</v>
      </c>
      <c r="E16" s="6" t="s">
        <v>101</v>
      </c>
    </row>
    <row r="17" spans="1:8" x14ac:dyDescent="0.25">
      <c r="A17" s="11" t="s">
        <v>97</v>
      </c>
      <c r="E17" s="11" t="s">
        <v>97</v>
      </c>
      <c r="F17" s="11"/>
    </row>
    <row r="18" spans="1:8" x14ac:dyDescent="0.25">
      <c r="A18" s="6" t="s">
        <v>99</v>
      </c>
      <c r="C18" s="6">
        <f>[5]TONTAOUT!$J$57</f>
        <v>515000</v>
      </c>
      <c r="E18" s="6" t="s">
        <v>99</v>
      </c>
    </row>
    <row r="19" spans="1:8" x14ac:dyDescent="0.25">
      <c r="A19" s="6" t="s">
        <v>25</v>
      </c>
      <c r="C19" s="6">
        <f>[4]TONTAOUT!$H$36-G19</f>
        <v>1190500</v>
      </c>
      <c r="E19" s="6" t="s">
        <v>25</v>
      </c>
      <c r="G19" s="6">
        <v>679500</v>
      </c>
    </row>
    <row r="20" spans="1:8" x14ac:dyDescent="0.25">
      <c r="A20" s="6" t="s">
        <v>26</v>
      </c>
      <c r="E20" s="6" t="s">
        <v>26</v>
      </c>
      <c r="G20" s="6">
        <f>[3]TONTAOUT!$C$38</f>
        <v>1400000</v>
      </c>
    </row>
    <row r="21" spans="1:8" x14ac:dyDescent="0.25">
      <c r="A21" s="11" t="s">
        <v>96</v>
      </c>
      <c r="E21" s="11" t="s">
        <v>96</v>
      </c>
      <c r="F21" s="11"/>
    </row>
    <row r="22" spans="1:8" x14ac:dyDescent="0.25">
      <c r="A22" s="6" t="s">
        <v>99</v>
      </c>
      <c r="C22" s="6">
        <f>[5]TONTAOUT!$F$59</f>
        <v>151000</v>
      </c>
      <c r="E22" s="6" t="s">
        <v>99</v>
      </c>
    </row>
    <row r="23" spans="1:8" x14ac:dyDescent="0.25">
      <c r="A23" s="6" t="s">
        <v>25</v>
      </c>
      <c r="C23" s="6">
        <f>[4]TONTAOUT!$C$39</f>
        <v>0</v>
      </c>
      <c r="E23" s="6" t="s">
        <v>25</v>
      </c>
    </row>
    <row r="24" spans="1:8" x14ac:dyDescent="0.25">
      <c r="A24" s="6" t="s">
        <v>26</v>
      </c>
      <c r="C24" s="6">
        <f>[3]TONTAOUT!$C$40</f>
        <v>0</v>
      </c>
      <c r="E24" s="6" t="s">
        <v>26</v>
      </c>
    </row>
    <row r="25" spans="1:8" x14ac:dyDescent="0.25">
      <c r="A25" s="11" t="s">
        <v>40</v>
      </c>
      <c r="B25" s="6">
        <f>[7]MVTAOUT!$O$20+[7]MVTAOUT!$O$33</f>
        <v>250000</v>
      </c>
      <c r="E25" s="11" t="s">
        <v>40</v>
      </c>
      <c r="F25" s="11"/>
      <c r="H25" s="6">
        <f>[7]MVTAOUT!$F$64-B25</f>
        <v>141000</v>
      </c>
    </row>
    <row r="26" spans="1:8" x14ac:dyDescent="0.25">
      <c r="A26" s="11" t="s">
        <v>91</v>
      </c>
      <c r="E26" s="11" t="s">
        <v>91</v>
      </c>
      <c r="F26" s="11"/>
      <c r="H26" s="6">
        <f>[2]FONDSDECAISSE!$K$19</f>
        <v>100000</v>
      </c>
    </row>
    <row r="27" spans="1:8" x14ac:dyDescent="0.25">
      <c r="A27" s="11" t="s">
        <v>98</v>
      </c>
      <c r="C27" s="6">
        <v>150000</v>
      </c>
      <c r="E27" s="11" t="s">
        <v>98</v>
      </c>
      <c r="F27" s="11"/>
    </row>
    <row r="28" spans="1:8" x14ac:dyDescent="0.25">
      <c r="A28" s="11" t="s">
        <v>100</v>
      </c>
      <c r="E28" s="11" t="s">
        <v>100</v>
      </c>
      <c r="F28" s="11"/>
    </row>
    <row r="29" spans="1:8" x14ac:dyDescent="0.25">
      <c r="A29" s="6" t="s">
        <v>94</v>
      </c>
      <c r="C29" s="6">
        <v>100000</v>
      </c>
      <c r="E29" s="6" t="s">
        <v>94</v>
      </c>
    </row>
    <row r="30" spans="1:8" x14ac:dyDescent="0.25">
      <c r="A30" s="11" t="s">
        <v>102</v>
      </c>
      <c r="C30" s="6">
        <f>+[4]TONTAOUT!$H$36-([4]TONTAOUT!$C$36+[4]TONTAOUT!$C$37+[4]TONTAOUT!$C$38)</f>
        <v>64000</v>
      </c>
      <c r="E30" s="11" t="s">
        <v>102</v>
      </c>
      <c r="F30" s="11"/>
    </row>
    <row r="31" spans="1:8" x14ac:dyDescent="0.25">
      <c r="A31" s="11" t="s">
        <v>93</v>
      </c>
      <c r="C31" s="6">
        <v>5000</v>
      </c>
      <c r="E31" s="11" t="s">
        <v>93</v>
      </c>
      <c r="F31" s="11"/>
    </row>
    <row r="32" spans="1:8" x14ac:dyDescent="0.25">
      <c r="A32" s="11" t="s">
        <v>103</v>
      </c>
      <c r="C32" s="6">
        <f>[3]TONTAOUT!$M$33-[3]TONTAOUT!$N$33</f>
        <v>1481999.9999999998</v>
      </c>
      <c r="E32" s="11" t="s">
        <v>103</v>
      </c>
      <c r="F32" s="11"/>
    </row>
    <row r="61" spans="1:1" ht="18" customHeight="1" x14ac:dyDescent="0.25"/>
    <row r="62" spans="1:1" ht="18" customHeight="1" x14ac:dyDescent="0.25">
      <c r="A62" s="11"/>
    </row>
    <row r="63" spans="1:1" ht="18" customHeight="1" x14ac:dyDescent="0.25"/>
    <row r="64" spans="1:1" ht="18" customHeight="1" x14ac:dyDescent="0.25"/>
    <row r="65" spans="1:8" ht="18" customHeight="1" x14ac:dyDescent="0.25">
      <c r="A65" s="11"/>
    </row>
    <row r="66" spans="1:8" ht="18" customHeight="1" x14ac:dyDescent="0.25"/>
    <row r="67" spans="1:8" ht="18" customHeight="1" x14ac:dyDescent="0.25"/>
    <row r="68" spans="1:8" ht="18" customHeight="1" x14ac:dyDescent="0.25"/>
    <row r="69" spans="1:8" ht="18" customHeight="1" x14ac:dyDescent="0.25"/>
    <row r="71" spans="1:8" ht="21" x14ac:dyDescent="0.35">
      <c r="B71" s="8">
        <f>SUM(B5:B70)</f>
        <v>3823000</v>
      </c>
      <c r="C71" s="8">
        <f>SUM(C5:C70)</f>
        <v>3657500</v>
      </c>
      <c r="D71" s="8"/>
      <c r="E71" s="8"/>
      <c r="F71" s="8"/>
      <c r="G71" s="8">
        <f>SUM(G5:G70)</f>
        <v>2079500</v>
      </c>
      <c r="H71" s="8">
        <f>SUM(H5:H70)</f>
        <v>2689000</v>
      </c>
    </row>
    <row r="73" spans="1:8" x14ac:dyDescent="0.25">
      <c r="C73" s="6">
        <f>B71-C71</f>
        <v>165500</v>
      </c>
    </row>
  </sheetData>
  <mergeCells count="3">
    <mergeCell ref="B2:H2"/>
    <mergeCell ref="A3:C3"/>
    <mergeCell ref="E3:H3"/>
  </mergeCells>
  <dataValidations disablePrompts="1" count="1">
    <dataValidation type="list" allowBlank="1" showInputMessage="1" showErrorMessage="1" sqref="E41:F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pane ySplit="4" topLeftCell="A26" activePane="bottomLeft" state="frozen"/>
      <selection pane="bottomLeft" activeCell="C5" sqref="C5"/>
    </sheetView>
  </sheetViews>
  <sheetFormatPr baseColWidth="10" defaultRowHeight="15" x14ac:dyDescent="0.25"/>
  <cols>
    <col min="1" max="1" width="30.28515625" bestFit="1" customWidth="1"/>
    <col min="2" max="2" width="14" style="6" customWidth="1"/>
    <col min="3" max="3" width="15.42578125" style="6" customWidth="1"/>
    <col min="4" max="4" width="14.42578125" style="6" customWidth="1"/>
    <col min="5" max="5" width="30.28515625" bestFit="1" customWidth="1"/>
    <col min="6" max="6" width="14.42578125" style="6" customWidth="1"/>
    <col min="7" max="7" width="15.7109375" customWidth="1"/>
    <col min="8" max="8" width="15.28515625" customWidth="1"/>
  </cols>
  <sheetData>
    <row r="1" spans="1:8" x14ac:dyDescent="0.25">
      <c r="A1" s="6"/>
      <c r="E1" s="6"/>
      <c r="G1" s="6"/>
      <c r="H1" s="6"/>
    </row>
    <row r="2" spans="1:8" ht="31.5" x14ac:dyDescent="0.6">
      <c r="A2" s="8" t="s">
        <v>0</v>
      </c>
      <c r="B2" s="20">
        <v>42995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  <c r="G5" s="6"/>
      <c r="H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G6" s="6"/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G7" s="6"/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G8" s="6"/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  <c r="G9" s="6"/>
      <c r="H9" s="6"/>
    </row>
    <row r="10" spans="1:8" x14ac:dyDescent="0.25">
      <c r="A10" s="11" t="s">
        <v>92</v>
      </c>
      <c r="E10" s="11" t="s">
        <v>92</v>
      </c>
      <c r="G10" s="6"/>
      <c r="H10" s="6"/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G11" s="6"/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G12" s="6"/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G13" s="6"/>
      <c r="H13" s="6">
        <f>[3]TONTSEPT!$D$38</f>
        <v>0</v>
      </c>
    </row>
    <row r="14" spans="1:8" x14ac:dyDescent="0.25">
      <c r="A14" s="11" t="s">
        <v>109</v>
      </c>
      <c r="E14" s="11" t="s">
        <v>109</v>
      </c>
      <c r="G14" s="6"/>
      <c r="H14" s="6"/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</row>
    <row r="16" spans="1:8" x14ac:dyDescent="0.25">
      <c r="A16" s="6" t="s">
        <v>25</v>
      </c>
      <c r="C16" s="6">
        <f>[4]TONTSEPT!$F$36</f>
        <v>0</v>
      </c>
      <c r="E16" s="6" t="s">
        <v>25</v>
      </c>
      <c r="G16" s="6">
        <f>[4]TONTSEPT!$F$37</f>
        <v>0</v>
      </c>
      <c r="H16" s="6"/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  <c r="H17" s="6"/>
    </row>
    <row r="18" spans="1:8" x14ac:dyDescent="0.25">
      <c r="A18" s="11" t="s">
        <v>110</v>
      </c>
      <c r="E18" s="11" t="s">
        <v>110</v>
      </c>
      <c r="G18" s="6"/>
      <c r="H18" s="6"/>
    </row>
    <row r="19" spans="1:8" x14ac:dyDescent="0.25">
      <c r="A19" s="6" t="s">
        <v>99</v>
      </c>
      <c r="C19" s="6">
        <f>[5]TONTSEPT!$I$76</f>
        <v>0</v>
      </c>
      <c r="E19" s="6" t="s">
        <v>99</v>
      </c>
      <c r="G19" s="6">
        <f>[5]TONTSEPT!$I$77</f>
        <v>0</v>
      </c>
      <c r="H19" s="6"/>
    </row>
    <row r="20" spans="1:8" x14ac:dyDescent="0.25">
      <c r="A20" s="6" t="s">
        <v>25</v>
      </c>
      <c r="C20" s="6">
        <f>[4]TONTSEPT!$E$36</f>
        <v>0</v>
      </c>
      <c r="E20" s="6" t="s">
        <v>25</v>
      </c>
      <c r="G20" s="6">
        <f>[4]TONTSEPT!$E$37</f>
        <v>0</v>
      </c>
      <c r="H20" s="6"/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  <c r="H21" s="6"/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H22" s="6">
        <f>[7]MVTSEPT!$G$70</f>
        <v>0</v>
      </c>
    </row>
    <row r="23" spans="1:8" x14ac:dyDescent="0.25">
      <c r="A23" s="11" t="s">
        <v>91</v>
      </c>
      <c r="E23" s="11" t="s">
        <v>91</v>
      </c>
      <c r="G23" s="6"/>
      <c r="H23" s="6"/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  <c r="H24" s="6"/>
    </row>
    <row r="25" spans="1:8" x14ac:dyDescent="0.25">
      <c r="A25" s="11" t="s">
        <v>100</v>
      </c>
      <c r="E25" s="11" t="s">
        <v>100</v>
      </c>
      <c r="G25" s="6"/>
      <c r="H25" s="6"/>
    </row>
    <row r="26" spans="1:8" x14ac:dyDescent="0.25">
      <c r="A26" s="11" t="s">
        <v>102</v>
      </c>
      <c r="E26" s="11" t="s">
        <v>102</v>
      </c>
      <c r="G26" s="6"/>
      <c r="H26" s="6"/>
    </row>
    <row r="27" spans="1:8" x14ac:dyDescent="0.25">
      <c r="A27" s="11" t="s">
        <v>93</v>
      </c>
      <c r="E27" s="11" t="s">
        <v>93</v>
      </c>
      <c r="G27" s="6"/>
      <c r="H27" s="6"/>
    </row>
    <row r="28" spans="1:8" x14ac:dyDescent="0.25">
      <c r="A28" s="11" t="s">
        <v>103</v>
      </c>
      <c r="E28" s="11" t="s">
        <v>103</v>
      </c>
      <c r="G28" s="6"/>
      <c r="H28" s="6"/>
    </row>
    <row r="29" spans="1:8" x14ac:dyDescent="0.25">
      <c r="A29" s="11" t="s">
        <v>108</v>
      </c>
      <c r="E29" s="11" t="s">
        <v>108</v>
      </c>
      <c r="G29" s="6"/>
      <c r="H29" s="6"/>
    </row>
    <row r="30" spans="1:8" x14ac:dyDescent="0.25">
      <c r="A30" s="11" t="s">
        <v>90</v>
      </c>
      <c r="E30" s="11" t="s">
        <v>90</v>
      </c>
      <c r="G30" s="6"/>
      <c r="H30" s="6"/>
    </row>
    <row r="31" spans="1:8" x14ac:dyDescent="0.25">
      <c r="A31" s="6" t="s">
        <v>86</v>
      </c>
      <c r="E31" s="6" t="s">
        <v>86</v>
      </c>
      <c r="G31" s="6"/>
      <c r="H31" s="6"/>
    </row>
    <row r="32" spans="1:8" x14ac:dyDescent="0.25">
      <c r="A32" s="6" t="s">
        <v>101</v>
      </c>
      <c r="E32" s="6" t="s">
        <v>101</v>
      </c>
      <c r="G32" s="6"/>
      <c r="H32" s="6"/>
    </row>
    <row r="33" spans="1:8" x14ac:dyDescent="0.25">
      <c r="A33" s="6"/>
      <c r="E33" s="6"/>
      <c r="G33" s="6"/>
      <c r="H33" s="6"/>
    </row>
    <row r="34" spans="1:8" x14ac:dyDescent="0.25">
      <c r="A34" s="6"/>
      <c r="E34" s="6"/>
      <c r="G34" s="6"/>
      <c r="H34" s="6"/>
    </row>
    <row r="35" spans="1:8" x14ac:dyDescent="0.25">
      <c r="A35" s="6"/>
      <c r="E35" s="6"/>
      <c r="G35" s="6"/>
      <c r="H35" s="6"/>
    </row>
    <row r="36" spans="1:8" x14ac:dyDescent="0.25">
      <c r="A36" s="6"/>
      <c r="E36" s="6"/>
      <c r="G36" s="6"/>
      <c r="H36" s="6"/>
    </row>
    <row r="37" spans="1:8" x14ac:dyDescent="0.25">
      <c r="A37" s="6"/>
      <c r="E37" s="6"/>
      <c r="G37" s="6"/>
      <c r="H37" s="6"/>
    </row>
    <row r="38" spans="1:8" x14ac:dyDescent="0.25">
      <c r="A38" s="6"/>
      <c r="E38" s="6"/>
      <c r="G38" s="6"/>
      <c r="H38" s="6"/>
    </row>
    <row r="39" spans="1:8" x14ac:dyDescent="0.25">
      <c r="A39" s="6"/>
      <c r="E39" s="6"/>
      <c r="G39" s="6"/>
      <c r="H39" s="6"/>
    </row>
    <row r="40" spans="1:8" x14ac:dyDescent="0.25">
      <c r="A40" s="6"/>
      <c r="E40" s="6"/>
      <c r="G40" s="6"/>
      <c r="H40" s="6"/>
    </row>
    <row r="41" spans="1:8" x14ac:dyDescent="0.25">
      <c r="A41" s="6"/>
      <c r="E41" s="6"/>
      <c r="G41" s="6"/>
      <c r="H41" s="6"/>
    </row>
    <row r="42" spans="1:8" x14ac:dyDescent="0.25">
      <c r="A42" s="6"/>
      <c r="E42" s="6"/>
      <c r="G42" s="6"/>
      <c r="H42" s="6"/>
    </row>
    <row r="43" spans="1:8" x14ac:dyDescent="0.25">
      <c r="A43" s="6"/>
      <c r="E43" s="6"/>
      <c r="G43" s="6"/>
      <c r="H43" s="6"/>
    </row>
    <row r="44" spans="1:8" x14ac:dyDescent="0.25">
      <c r="A44" s="6"/>
      <c r="E44" s="6"/>
      <c r="G44" s="6"/>
      <c r="H44" s="6"/>
    </row>
    <row r="45" spans="1:8" x14ac:dyDescent="0.25">
      <c r="A45" s="6"/>
      <c r="E45" s="6"/>
      <c r="G45" s="6"/>
      <c r="H45" s="6"/>
    </row>
    <row r="46" spans="1:8" x14ac:dyDescent="0.25">
      <c r="A46" s="6"/>
      <c r="E46" s="6"/>
      <c r="G46" s="6"/>
      <c r="H46" s="6"/>
    </row>
    <row r="47" spans="1:8" x14ac:dyDescent="0.25">
      <c r="A47" s="6"/>
      <c r="E47" s="6"/>
      <c r="G47" s="6"/>
      <c r="H47" s="6"/>
    </row>
    <row r="48" spans="1:8" x14ac:dyDescent="0.25">
      <c r="A48" s="6"/>
      <c r="E48" s="6"/>
      <c r="G48" s="6"/>
      <c r="H48" s="6"/>
    </row>
    <row r="49" spans="1:8" x14ac:dyDescent="0.25">
      <c r="A49" s="6"/>
      <c r="E49" s="6"/>
      <c r="G49" s="6"/>
      <c r="H49" s="6"/>
    </row>
    <row r="50" spans="1:8" x14ac:dyDescent="0.25">
      <c r="A50" s="6"/>
      <c r="E50" s="6"/>
      <c r="G50" s="6"/>
      <c r="H50" s="6"/>
    </row>
    <row r="51" spans="1:8" x14ac:dyDescent="0.25">
      <c r="A51" s="6"/>
      <c r="E51" s="6"/>
      <c r="G51" s="6"/>
      <c r="H51" s="6"/>
    </row>
    <row r="52" spans="1:8" x14ac:dyDescent="0.25">
      <c r="A52" s="6"/>
      <c r="E52" s="6"/>
      <c r="G52" s="6"/>
      <c r="H52" s="6"/>
    </row>
    <row r="53" spans="1:8" x14ac:dyDescent="0.25">
      <c r="A53" s="6"/>
      <c r="E53" s="6"/>
      <c r="G53" s="6"/>
      <c r="H53" s="6"/>
    </row>
    <row r="54" spans="1:8" x14ac:dyDescent="0.25">
      <c r="A54" s="6"/>
      <c r="E54" s="6"/>
      <c r="G54" s="6"/>
      <c r="H54" s="6"/>
    </row>
    <row r="55" spans="1:8" x14ac:dyDescent="0.25">
      <c r="A55" s="6"/>
      <c r="E55" s="6"/>
      <c r="G55" s="6"/>
      <c r="H55" s="6"/>
    </row>
    <row r="56" spans="1:8" x14ac:dyDescent="0.25">
      <c r="A56" s="6"/>
      <c r="E56" s="6"/>
      <c r="G56" s="6"/>
      <c r="H56" s="6"/>
    </row>
    <row r="57" spans="1:8" x14ac:dyDescent="0.25">
      <c r="A57" s="6"/>
      <c r="E57" s="6"/>
      <c r="G57" s="6"/>
      <c r="H57" s="6"/>
    </row>
    <row r="58" spans="1:8" x14ac:dyDescent="0.25">
      <c r="A58" s="6"/>
      <c r="E58" s="6"/>
      <c r="G58" s="6"/>
      <c r="H58" s="6"/>
    </row>
    <row r="59" spans="1:8" x14ac:dyDescent="0.25">
      <c r="A59" s="6"/>
      <c r="E59" s="6"/>
      <c r="G59" s="6"/>
      <c r="H59" s="6"/>
    </row>
    <row r="60" spans="1:8" ht="18" customHeight="1" x14ac:dyDescent="0.25">
      <c r="A60" s="6"/>
      <c r="E60" s="6"/>
      <c r="G60" s="6"/>
      <c r="H60" s="6"/>
    </row>
    <row r="61" spans="1:8" ht="18" customHeight="1" x14ac:dyDescent="0.25">
      <c r="A61" s="11"/>
      <c r="E61" s="6"/>
      <c r="G61" s="6"/>
      <c r="H61" s="6"/>
    </row>
    <row r="62" spans="1:8" ht="18" customHeight="1" x14ac:dyDescent="0.25">
      <c r="A62" s="6"/>
      <c r="E62" s="6"/>
      <c r="G62" s="6"/>
      <c r="H62" s="6"/>
    </row>
    <row r="63" spans="1:8" ht="18" customHeight="1" x14ac:dyDescent="0.25">
      <c r="A63" s="6"/>
      <c r="E63" s="6"/>
      <c r="G63" s="6"/>
      <c r="H63" s="6"/>
    </row>
    <row r="64" spans="1:8" ht="18" customHeight="1" x14ac:dyDescent="0.25">
      <c r="A64" s="11"/>
      <c r="E64" s="6"/>
      <c r="G64" s="6"/>
      <c r="H64" s="6"/>
    </row>
    <row r="65" spans="1:8" ht="18" customHeight="1" x14ac:dyDescent="0.25">
      <c r="A65" s="6"/>
      <c r="E65" s="6"/>
      <c r="G65" s="6"/>
      <c r="H65" s="6"/>
    </row>
    <row r="66" spans="1:8" ht="18" customHeight="1" x14ac:dyDescent="0.25">
      <c r="A66" s="6"/>
      <c r="E66" s="6"/>
      <c r="G66" s="6"/>
      <c r="H66" s="6"/>
    </row>
    <row r="67" spans="1:8" ht="18" customHeight="1" x14ac:dyDescent="0.25">
      <c r="A67" s="6"/>
      <c r="E67" s="6"/>
      <c r="G67" s="6"/>
      <c r="H67" s="6"/>
    </row>
    <row r="68" spans="1:8" ht="18" customHeight="1" x14ac:dyDescent="0.25">
      <c r="A68" s="6"/>
      <c r="E68" s="6"/>
      <c r="G68" s="6"/>
      <c r="H68" s="6"/>
    </row>
    <row r="69" spans="1:8" x14ac:dyDescent="0.25">
      <c r="A69" s="6"/>
      <c r="E69" s="6"/>
      <c r="G69" s="6"/>
      <c r="H69" s="6"/>
    </row>
    <row r="70" spans="1:8" ht="21" x14ac:dyDescent="0.35">
      <c r="A70" s="6"/>
      <c r="B70" s="8">
        <f>SUM(B5:B69)</f>
        <v>0</v>
      </c>
      <c r="C70" s="8">
        <f>SUM(C5:C69)</f>
        <v>0</v>
      </c>
      <c r="D70" s="8"/>
      <c r="E70" s="8"/>
      <c r="F70" s="8"/>
      <c r="G70" s="8">
        <f>SUM(G5:G69)</f>
        <v>0</v>
      </c>
      <c r="H70" s="8">
        <f>SUM(H5:H69)</f>
        <v>0</v>
      </c>
    </row>
    <row r="71" spans="1:8" x14ac:dyDescent="0.25">
      <c r="A71" s="6"/>
      <c r="E71" s="6"/>
      <c r="G71" s="6"/>
      <c r="H71" s="6"/>
    </row>
    <row r="72" spans="1:8" x14ac:dyDescent="0.25">
      <c r="A72" s="6"/>
      <c r="C72" s="6">
        <f>B70-C70</f>
        <v>0</v>
      </c>
      <c r="E72" s="6"/>
      <c r="G72" s="6"/>
      <c r="H72" s="6"/>
    </row>
  </sheetData>
  <mergeCells count="3">
    <mergeCell ref="B2:H2"/>
    <mergeCell ref="A3:C3"/>
    <mergeCell ref="E3:H3"/>
  </mergeCells>
  <dataValidations disablePrompts="1" count="1">
    <dataValidation type="list" allowBlank="1" showInputMessage="1" showErrorMessage="1" sqref="E40:E41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activeCell="A5" sqref="A5:H32"/>
    </sheetView>
  </sheetViews>
  <sheetFormatPr baseColWidth="10" defaultRowHeight="15" x14ac:dyDescent="0.25"/>
  <cols>
    <col min="1" max="1" width="23.42578125" bestFit="1" customWidth="1"/>
    <col min="2" max="2" width="14" style="6" customWidth="1"/>
    <col min="3" max="3" width="15.42578125" style="6" customWidth="1"/>
    <col min="4" max="4" width="14.42578125" style="6" customWidth="1"/>
    <col min="5" max="5" width="21.42578125" bestFit="1" customWidth="1"/>
    <col min="6" max="6" width="14.42578125" style="6" customWidth="1"/>
    <col min="7" max="7" width="15.7109375" customWidth="1"/>
  </cols>
  <sheetData>
    <row r="1" spans="1:8" x14ac:dyDescent="0.25">
      <c r="A1" s="6"/>
      <c r="E1" s="6"/>
      <c r="G1" s="6"/>
      <c r="H1" s="6"/>
    </row>
    <row r="2" spans="1:8" ht="31.5" x14ac:dyDescent="0.6">
      <c r="A2" s="8" t="s">
        <v>0</v>
      </c>
      <c r="B2" s="20">
        <v>43030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  <c r="G5" s="6"/>
      <c r="H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G6" s="6"/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G7" s="6"/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G8" s="6"/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  <c r="G9" s="6"/>
      <c r="H9" s="6"/>
    </row>
    <row r="10" spans="1:8" x14ac:dyDescent="0.25">
      <c r="A10" s="11" t="s">
        <v>92</v>
      </c>
      <c r="E10" s="11" t="s">
        <v>92</v>
      </c>
      <c r="G10" s="6"/>
      <c r="H10" s="6"/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G11" s="6"/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G12" s="6"/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G13" s="6"/>
      <c r="H13" s="6">
        <f>[3]TONTSEPT!$D$38</f>
        <v>0</v>
      </c>
    </row>
    <row r="14" spans="1:8" x14ac:dyDescent="0.25">
      <c r="A14" s="11" t="s">
        <v>97</v>
      </c>
      <c r="E14" s="11" t="s">
        <v>97</v>
      </c>
      <c r="G14" s="6"/>
      <c r="H14" s="6"/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</row>
    <row r="16" spans="1:8" x14ac:dyDescent="0.25">
      <c r="A16" s="6" t="s">
        <v>25</v>
      </c>
      <c r="E16" s="6" t="s">
        <v>25</v>
      </c>
      <c r="G16" s="6"/>
      <c r="H16" s="6"/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  <c r="H17" s="6"/>
    </row>
    <row r="18" spans="1:8" x14ac:dyDescent="0.25">
      <c r="A18" s="11" t="s">
        <v>96</v>
      </c>
      <c r="E18" s="11" t="s">
        <v>96</v>
      </c>
      <c r="G18" s="6"/>
      <c r="H18" s="6"/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  <c r="H19" s="6"/>
    </row>
    <row r="20" spans="1:8" x14ac:dyDescent="0.25">
      <c r="A20" s="6" t="s">
        <v>25</v>
      </c>
      <c r="C20" s="6">
        <f>[4]TONTSEPT!$C$43</f>
        <v>0</v>
      </c>
      <c r="E20" s="6" t="s">
        <v>25</v>
      </c>
      <c r="G20" s="6"/>
      <c r="H20" s="6"/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  <c r="H21" s="6"/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H22" s="6">
        <f>[7]MVTSEPT!$G$70</f>
        <v>0</v>
      </c>
    </row>
    <row r="23" spans="1:8" x14ac:dyDescent="0.25">
      <c r="A23" s="11" t="s">
        <v>91</v>
      </c>
      <c r="E23" s="11" t="s">
        <v>91</v>
      </c>
      <c r="G23" s="6"/>
      <c r="H23" s="6"/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  <c r="H24" s="6"/>
    </row>
    <row r="25" spans="1:8" x14ac:dyDescent="0.25">
      <c r="A25" s="11" t="s">
        <v>100</v>
      </c>
      <c r="E25" s="11" t="s">
        <v>100</v>
      </c>
      <c r="G25" s="6"/>
      <c r="H25" s="6"/>
    </row>
    <row r="26" spans="1:8" x14ac:dyDescent="0.25">
      <c r="A26" s="11" t="s">
        <v>102</v>
      </c>
      <c r="E26" s="11" t="s">
        <v>102</v>
      </c>
      <c r="G26" s="6"/>
      <c r="H26" s="6"/>
    </row>
    <row r="27" spans="1:8" x14ac:dyDescent="0.25">
      <c r="A27" s="11" t="s">
        <v>93</v>
      </c>
      <c r="E27" s="11" t="s">
        <v>93</v>
      </c>
      <c r="G27" s="6"/>
      <c r="H27" s="6"/>
    </row>
    <row r="28" spans="1:8" x14ac:dyDescent="0.25">
      <c r="A28" s="11" t="s">
        <v>103</v>
      </c>
      <c r="E28" s="11" t="s">
        <v>103</v>
      </c>
      <c r="G28" s="6"/>
      <c r="H28" s="6"/>
    </row>
    <row r="29" spans="1:8" x14ac:dyDescent="0.25">
      <c r="A29" s="11" t="s">
        <v>108</v>
      </c>
      <c r="E29" s="11" t="s">
        <v>108</v>
      </c>
      <c r="G29" s="6"/>
      <c r="H29" s="6"/>
    </row>
    <row r="30" spans="1:8" x14ac:dyDescent="0.25">
      <c r="A30" s="11" t="s">
        <v>90</v>
      </c>
      <c r="E30" s="11" t="s">
        <v>90</v>
      </c>
      <c r="G30" s="6"/>
      <c r="H30" s="6"/>
    </row>
    <row r="31" spans="1:8" x14ac:dyDescent="0.25">
      <c r="A31" s="6" t="s">
        <v>86</v>
      </c>
      <c r="E31" s="6" t="s">
        <v>86</v>
      </c>
      <c r="G31" s="6"/>
      <c r="H31" s="6"/>
    </row>
    <row r="32" spans="1:8" x14ac:dyDescent="0.25">
      <c r="A32" s="6" t="s">
        <v>101</v>
      </c>
      <c r="E32" s="6" t="s">
        <v>101</v>
      </c>
      <c r="G32" s="6"/>
      <c r="H32" s="6"/>
    </row>
    <row r="33" spans="1:8" x14ac:dyDescent="0.25">
      <c r="A33" s="6"/>
      <c r="E33" s="6"/>
      <c r="G33" s="6"/>
      <c r="H33" s="6"/>
    </row>
    <row r="34" spans="1:8" x14ac:dyDescent="0.25">
      <c r="A34" s="6"/>
      <c r="E34" s="6"/>
      <c r="G34" s="6"/>
      <c r="H34" s="6"/>
    </row>
    <row r="35" spans="1:8" x14ac:dyDescent="0.25">
      <c r="A35" s="6"/>
      <c r="E35" s="6"/>
      <c r="G35" s="6"/>
      <c r="H35" s="6"/>
    </row>
    <row r="36" spans="1:8" x14ac:dyDescent="0.25">
      <c r="A36" s="6"/>
      <c r="E36" s="6"/>
      <c r="G36" s="6"/>
      <c r="H36" s="6"/>
    </row>
    <row r="37" spans="1:8" x14ac:dyDescent="0.25">
      <c r="A37" s="6"/>
      <c r="E37" s="6"/>
      <c r="G37" s="6"/>
      <c r="H37" s="6"/>
    </row>
    <row r="38" spans="1:8" x14ac:dyDescent="0.25">
      <c r="A38" s="6"/>
      <c r="E38" s="6"/>
      <c r="G38" s="6"/>
      <c r="H38" s="6"/>
    </row>
    <row r="39" spans="1:8" x14ac:dyDescent="0.25">
      <c r="A39" s="6"/>
      <c r="E39" s="6"/>
      <c r="G39" s="6"/>
      <c r="H39" s="6"/>
    </row>
    <row r="40" spans="1:8" x14ac:dyDescent="0.25">
      <c r="A40" s="6"/>
      <c r="E40" s="6"/>
      <c r="G40" s="6"/>
      <c r="H40" s="6"/>
    </row>
    <row r="41" spans="1:8" x14ac:dyDescent="0.25">
      <c r="A41" s="6"/>
      <c r="E41" s="6"/>
      <c r="G41" s="6"/>
      <c r="H41" s="6"/>
    </row>
    <row r="42" spans="1:8" x14ac:dyDescent="0.25">
      <c r="A42" s="6"/>
      <c r="E42" s="6"/>
      <c r="G42" s="6"/>
      <c r="H42" s="6"/>
    </row>
    <row r="43" spans="1:8" x14ac:dyDescent="0.25">
      <c r="A43" s="6"/>
      <c r="E43" s="6"/>
      <c r="G43" s="6"/>
      <c r="H43" s="6"/>
    </row>
    <row r="44" spans="1:8" x14ac:dyDescent="0.25">
      <c r="A44" s="6"/>
      <c r="E44" s="6"/>
      <c r="G44" s="6"/>
      <c r="H44" s="6"/>
    </row>
    <row r="45" spans="1:8" x14ac:dyDescent="0.25">
      <c r="A45" s="6"/>
      <c r="E45" s="6"/>
      <c r="G45" s="6"/>
      <c r="H45" s="6"/>
    </row>
    <row r="46" spans="1:8" x14ac:dyDescent="0.25">
      <c r="A46" s="6"/>
      <c r="E46" s="6"/>
      <c r="G46" s="6"/>
      <c r="H46" s="6"/>
    </row>
    <row r="47" spans="1:8" x14ac:dyDescent="0.25">
      <c r="A47" s="6"/>
      <c r="E47" s="6"/>
      <c r="G47" s="6"/>
      <c r="H47" s="6"/>
    </row>
    <row r="48" spans="1:8" x14ac:dyDescent="0.25">
      <c r="A48" s="6"/>
      <c r="E48" s="6"/>
      <c r="G48" s="6"/>
      <c r="H48" s="6"/>
    </row>
    <row r="49" spans="1:8" x14ac:dyDescent="0.25">
      <c r="A49" s="6"/>
      <c r="E49" s="6"/>
      <c r="G49" s="6"/>
      <c r="H49" s="6"/>
    </row>
    <row r="50" spans="1:8" x14ac:dyDescent="0.25">
      <c r="A50" s="6"/>
      <c r="E50" s="6"/>
      <c r="G50" s="6"/>
      <c r="H50" s="6"/>
    </row>
    <row r="51" spans="1:8" x14ac:dyDescent="0.25">
      <c r="A51" s="6"/>
      <c r="E51" s="6"/>
      <c r="G51" s="6"/>
      <c r="H51" s="6"/>
    </row>
    <row r="52" spans="1:8" x14ac:dyDescent="0.25">
      <c r="A52" s="6"/>
      <c r="E52" s="6"/>
      <c r="G52" s="6"/>
      <c r="H52" s="6"/>
    </row>
    <row r="53" spans="1:8" x14ac:dyDescent="0.25">
      <c r="A53" s="6"/>
      <c r="E53" s="6"/>
      <c r="G53" s="6"/>
      <c r="H53" s="6"/>
    </row>
    <row r="54" spans="1:8" x14ac:dyDescent="0.25">
      <c r="A54" s="6"/>
      <c r="E54" s="6"/>
      <c r="G54" s="6"/>
      <c r="H54" s="6"/>
    </row>
    <row r="55" spans="1:8" x14ac:dyDescent="0.25">
      <c r="A55" s="6"/>
      <c r="E55" s="6"/>
      <c r="G55" s="6"/>
      <c r="H55" s="6"/>
    </row>
    <row r="56" spans="1:8" x14ac:dyDescent="0.25">
      <c r="A56" s="6"/>
      <c r="E56" s="6"/>
      <c r="G56" s="6"/>
      <c r="H56" s="6"/>
    </row>
    <row r="57" spans="1:8" x14ac:dyDescent="0.25">
      <c r="A57" s="6"/>
      <c r="E57" s="6"/>
      <c r="G57" s="6"/>
      <c r="H57" s="6"/>
    </row>
    <row r="58" spans="1:8" x14ac:dyDescent="0.25">
      <c r="A58" s="6"/>
      <c r="E58" s="6"/>
      <c r="G58" s="6"/>
      <c r="H58" s="6"/>
    </row>
    <row r="59" spans="1:8" x14ac:dyDescent="0.25">
      <c r="A59" s="6"/>
      <c r="E59" s="6"/>
      <c r="G59" s="6"/>
      <c r="H59" s="6"/>
    </row>
    <row r="60" spans="1:8" x14ac:dyDescent="0.25">
      <c r="A60" s="6"/>
      <c r="E60" s="6"/>
      <c r="G60" s="6"/>
      <c r="H60" s="6"/>
    </row>
    <row r="61" spans="1:8" ht="18" customHeight="1" x14ac:dyDescent="0.25">
      <c r="A61" s="6"/>
      <c r="E61" s="6"/>
      <c r="G61" s="6"/>
      <c r="H61" s="6"/>
    </row>
    <row r="62" spans="1:8" ht="18" customHeight="1" x14ac:dyDescent="0.25">
      <c r="A62" s="11"/>
      <c r="E62" s="6"/>
      <c r="G62" s="6"/>
      <c r="H62" s="6"/>
    </row>
    <row r="63" spans="1:8" ht="18" customHeight="1" x14ac:dyDescent="0.25">
      <c r="A63" s="6"/>
      <c r="E63" s="6"/>
      <c r="G63" s="6"/>
      <c r="H63" s="6"/>
    </row>
    <row r="64" spans="1:8" ht="18" customHeight="1" x14ac:dyDescent="0.25">
      <c r="A64" s="6"/>
      <c r="E64" s="6"/>
      <c r="G64" s="6"/>
      <c r="H64" s="6"/>
    </row>
    <row r="65" spans="1:8" ht="18" customHeight="1" x14ac:dyDescent="0.25">
      <c r="A65" s="11"/>
      <c r="E65" s="6"/>
      <c r="G65" s="6"/>
      <c r="H65" s="6"/>
    </row>
    <row r="66" spans="1:8" ht="18" customHeight="1" x14ac:dyDescent="0.25">
      <c r="A66" s="6"/>
      <c r="E66" s="6"/>
      <c r="G66" s="6"/>
      <c r="H66" s="6"/>
    </row>
    <row r="67" spans="1:8" ht="18" customHeight="1" x14ac:dyDescent="0.25">
      <c r="A67" s="6"/>
      <c r="E67" s="6"/>
      <c r="G67" s="6"/>
      <c r="H67" s="6"/>
    </row>
    <row r="68" spans="1:8" ht="18" customHeight="1" x14ac:dyDescent="0.25">
      <c r="A68" s="6"/>
      <c r="E68" s="6"/>
      <c r="G68" s="6"/>
      <c r="H68" s="6"/>
    </row>
    <row r="69" spans="1:8" ht="18" customHeight="1" x14ac:dyDescent="0.25">
      <c r="A69" s="6"/>
      <c r="E69" s="6"/>
      <c r="G69" s="6"/>
      <c r="H69" s="6"/>
    </row>
    <row r="70" spans="1:8" x14ac:dyDescent="0.25">
      <c r="A70" s="6"/>
      <c r="E70" s="6"/>
      <c r="G70" s="6"/>
      <c r="H70" s="6"/>
    </row>
    <row r="71" spans="1:8" ht="21" x14ac:dyDescent="0.35">
      <c r="A71" s="6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2" spans="1:8" x14ac:dyDescent="0.25">
      <c r="A72" s="6"/>
      <c r="E72" s="6"/>
      <c r="G72" s="6"/>
      <c r="H72" s="6"/>
    </row>
    <row r="73" spans="1:8" x14ac:dyDescent="0.25">
      <c r="A73" s="6"/>
      <c r="C73" s="6">
        <f>B71-C71</f>
        <v>0</v>
      </c>
      <c r="E73" s="6"/>
      <c r="G73" s="6"/>
      <c r="H73" s="6"/>
    </row>
  </sheetData>
  <mergeCells count="3">
    <mergeCell ref="E3:H3"/>
    <mergeCell ref="A3:C3"/>
    <mergeCell ref="B2:H2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activeCell="A5" sqref="A5:H32"/>
    </sheetView>
  </sheetViews>
  <sheetFormatPr baseColWidth="10" defaultRowHeight="15" x14ac:dyDescent="0.25"/>
  <cols>
    <col min="1" max="1" width="23.85546875" bestFit="1" customWidth="1"/>
    <col min="2" max="3" width="13.7109375" style="6" bestFit="1" customWidth="1"/>
    <col min="4" max="4" width="14.42578125" style="6" customWidth="1"/>
    <col min="5" max="5" width="36.85546875" bestFit="1" customWidth="1"/>
    <col min="6" max="6" width="14.42578125" style="6" customWidth="1"/>
    <col min="7" max="8" width="13.7109375" style="6" bestFit="1" customWidth="1"/>
  </cols>
  <sheetData>
    <row r="1" spans="1:8" x14ac:dyDescent="0.25">
      <c r="A1" s="6"/>
      <c r="E1" s="6"/>
    </row>
    <row r="2" spans="1:8" ht="31.5" x14ac:dyDescent="0.6">
      <c r="A2" s="8" t="s">
        <v>0</v>
      </c>
      <c r="B2" s="20">
        <v>43058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</row>
    <row r="10" spans="1:8" x14ac:dyDescent="0.25">
      <c r="A10" s="11" t="s">
        <v>92</v>
      </c>
      <c r="E10" s="11" t="s">
        <v>92</v>
      </c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H13" s="6">
        <f>[3]TONTSEPT!$D$38</f>
        <v>0</v>
      </c>
    </row>
    <row r="14" spans="1:8" x14ac:dyDescent="0.25">
      <c r="A14" s="11" t="s">
        <v>97</v>
      </c>
      <c r="E14" s="11" t="s">
        <v>97</v>
      </c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  <c r="H15"/>
    </row>
    <row r="16" spans="1:8" x14ac:dyDescent="0.25">
      <c r="A16" s="6" t="s">
        <v>25</v>
      </c>
      <c r="E16" s="6" t="s">
        <v>25</v>
      </c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</row>
    <row r="18" spans="1:8" x14ac:dyDescent="0.25">
      <c r="A18" s="11" t="s">
        <v>96</v>
      </c>
      <c r="E18" s="11" t="s">
        <v>96</v>
      </c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</row>
    <row r="20" spans="1:8" x14ac:dyDescent="0.25">
      <c r="A20" s="6" t="s">
        <v>25</v>
      </c>
      <c r="C20" s="6">
        <f>[4]TONTSEPT!$C$43</f>
        <v>0</v>
      </c>
      <c r="E20" s="6" t="s">
        <v>25</v>
      </c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G22"/>
      <c r="H22" s="6">
        <f>[7]MVTSEPT!$G$70</f>
        <v>0</v>
      </c>
    </row>
    <row r="23" spans="1:8" x14ac:dyDescent="0.25">
      <c r="A23" s="11" t="s">
        <v>91</v>
      </c>
      <c r="E23" s="11" t="s">
        <v>91</v>
      </c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</row>
    <row r="25" spans="1:8" x14ac:dyDescent="0.25">
      <c r="A25" s="11" t="s">
        <v>100</v>
      </c>
      <c r="E25" s="11" t="s">
        <v>100</v>
      </c>
    </row>
    <row r="26" spans="1:8" x14ac:dyDescent="0.25">
      <c r="A26" s="11" t="s">
        <v>102</v>
      </c>
      <c r="E26" s="11" t="s">
        <v>102</v>
      </c>
    </row>
    <row r="27" spans="1:8" x14ac:dyDescent="0.25">
      <c r="A27" s="11" t="s">
        <v>93</v>
      </c>
      <c r="E27" s="11" t="s">
        <v>93</v>
      </c>
    </row>
    <row r="28" spans="1:8" x14ac:dyDescent="0.25">
      <c r="A28" s="11" t="s">
        <v>103</v>
      </c>
      <c r="E28" s="11" t="s">
        <v>103</v>
      </c>
    </row>
    <row r="29" spans="1:8" x14ac:dyDescent="0.25">
      <c r="A29" s="11" t="s">
        <v>108</v>
      </c>
      <c r="E29" s="11" t="s">
        <v>108</v>
      </c>
    </row>
    <row r="30" spans="1:8" x14ac:dyDescent="0.25">
      <c r="A30" s="11" t="s">
        <v>90</v>
      </c>
      <c r="E30" s="11" t="s">
        <v>90</v>
      </c>
    </row>
    <row r="31" spans="1:8" x14ac:dyDescent="0.25">
      <c r="A31" s="6" t="s">
        <v>86</v>
      </c>
      <c r="E31" s="6" t="s">
        <v>86</v>
      </c>
    </row>
    <row r="32" spans="1:8" x14ac:dyDescent="0.25">
      <c r="A32" s="6" t="s">
        <v>101</v>
      </c>
      <c r="E32" s="6" t="s">
        <v>101</v>
      </c>
    </row>
    <row r="33" spans="1:5" x14ac:dyDescent="0.25">
      <c r="A33" s="6"/>
      <c r="E33" s="6"/>
    </row>
    <row r="34" spans="1:5" x14ac:dyDescent="0.25">
      <c r="A34" s="6"/>
      <c r="E34" s="6"/>
    </row>
    <row r="35" spans="1:5" x14ac:dyDescent="0.25">
      <c r="A35" s="6"/>
      <c r="E35" s="6"/>
    </row>
    <row r="36" spans="1:5" x14ac:dyDescent="0.25">
      <c r="A36" s="6"/>
      <c r="E36" s="6"/>
    </row>
    <row r="37" spans="1:5" x14ac:dyDescent="0.25">
      <c r="A37" s="6"/>
      <c r="E37" s="6"/>
    </row>
    <row r="38" spans="1:5" x14ac:dyDescent="0.25">
      <c r="A38" s="6"/>
      <c r="E38" s="6"/>
    </row>
    <row r="39" spans="1:5" x14ac:dyDescent="0.25">
      <c r="A39" s="6"/>
      <c r="E39" s="6"/>
    </row>
    <row r="40" spans="1:5" x14ac:dyDescent="0.25">
      <c r="A40" s="6"/>
      <c r="E40" s="6"/>
    </row>
    <row r="41" spans="1:5" x14ac:dyDescent="0.25">
      <c r="A41" s="6"/>
      <c r="E41" s="6"/>
    </row>
    <row r="42" spans="1:5" x14ac:dyDescent="0.25">
      <c r="A42" s="6"/>
      <c r="E42" s="6"/>
    </row>
    <row r="43" spans="1:5" x14ac:dyDescent="0.25">
      <c r="A43" s="6"/>
      <c r="E43" s="6"/>
    </row>
    <row r="44" spans="1:5" x14ac:dyDescent="0.25">
      <c r="A44" s="6"/>
      <c r="E44" s="6"/>
    </row>
    <row r="45" spans="1:5" x14ac:dyDescent="0.25">
      <c r="A45" s="6"/>
      <c r="E45" s="6"/>
    </row>
    <row r="46" spans="1:5" x14ac:dyDescent="0.25">
      <c r="A46" s="6"/>
      <c r="E46" s="6"/>
    </row>
    <row r="47" spans="1:5" x14ac:dyDescent="0.25">
      <c r="A47" s="6"/>
      <c r="E47" s="6"/>
    </row>
    <row r="48" spans="1:5" x14ac:dyDescent="0.25">
      <c r="A48" s="6"/>
      <c r="E48" s="6"/>
    </row>
    <row r="49" spans="1:5" x14ac:dyDescent="0.25">
      <c r="A49" s="6"/>
      <c r="E49" s="6"/>
    </row>
    <row r="50" spans="1:5" x14ac:dyDescent="0.25">
      <c r="A50" s="6"/>
      <c r="E50" s="6"/>
    </row>
    <row r="51" spans="1:5" x14ac:dyDescent="0.25">
      <c r="A51" s="6"/>
      <c r="E51" s="6"/>
    </row>
    <row r="52" spans="1:5" x14ac:dyDescent="0.25">
      <c r="A52" s="6"/>
      <c r="E52" s="6"/>
    </row>
    <row r="53" spans="1:5" x14ac:dyDescent="0.25">
      <c r="A53" s="6"/>
      <c r="E53" s="6"/>
    </row>
    <row r="54" spans="1:5" x14ac:dyDescent="0.25">
      <c r="A54" s="6"/>
      <c r="E54" s="6"/>
    </row>
    <row r="55" spans="1:5" x14ac:dyDescent="0.25">
      <c r="A55" s="6"/>
      <c r="E55" s="6"/>
    </row>
    <row r="56" spans="1:5" x14ac:dyDescent="0.25">
      <c r="A56" s="6"/>
      <c r="E56" s="6"/>
    </row>
    <row r="57" spans="1:5" x14ac:dyDescent="0.25">
      <c r="A57" s="6"/>
      <c r="E57" s="6"/>
    </row>
    <row r="58" spans="1:5" x14ac:dyDescent="0.25">
      <c r="A58" s="6"/>
      <c r="E58" s="6"/>
    </row>
    <row r="59" spans="1:5" x14ac:dyDescent="0.25">
      <c r="A59" s="6"/>
      <c r="E59" s="6"/>
    </row>
    <row r="60" spans="1:5" x14ac:dyDescent="0.25">
      <c r="A60" s="6"/>
      <c r="E60" s="6"/>
    </row>
    <row r="61" spans="1:5" ht="18" customHeight="1" x14ac:dyDescent="0.25">
      <c r="A61" s="6"/>
      <c r="E61" s="6"/>
    </row>
    <row r="62" spans="1:5" ht="18" customHeight="1" x14ac:dyDescent="0.25">
      <c r="A62" s="11"/>
      <c r="E62" s="6"/>
    </row>
    <row r="63" spans="1:5" ht="18" customHeight="1" x14ac:dyDescent="0.25">
      <c r="A63" s="6"/>
      <c r="E63" s="6"/>
    </row>
    <row r="64" spans="1:5" ht="18" customHeight="1" x14ac:dyDescent="0.25">
      <c r="A64" s="6"/>
      <c r="E64" s="6"/>
    </row>
    <row r="65" spans="1:8" ht="18" customHeight="1" x14ac:dyDescent="0.25">
      <c r="A65" s="11"/>
      <c r="E65" s="6"/>
    </row>
    <row r="66" spans="1:8" ht="18" customHeight="1" x14ac:dyDescent="0.25">
      <c r="A66" s="6"/>
      <c r="E66" s="6"/>
    </row>
    <row r="67" spans="1:8" ht="18" customHeight="1" x14ac:dyDescent="0.25">
      <c r="A67" s="6"/>
      <c r="E67" s="6"/>
    </row>
    <row r="68" spans="1:8" ht="18" customHeight="1" x14ac:dyDescent="0.25">
      <c r="A68" s="6"/>
      <c r="E68" s="6"/>
    </row>
    <row r="69" spans="1:8" ht="18" customHeight="1" x14ac:dyDescent="0.25">
      <c r="A69" s="6"/>
      <c r="E69" s="6"/>
    </row>
    <row r="70" spans="1:8" x14ac:dyDescent="0.25">
      <c r="A70" s="6"/>
      <c r="E70" s="6"/>
    </row>
    <row r="71" spans="1:8" ht="21" x14ac:dyDescent="0.35">
      <c r="A71" s="6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2" spans="1:8" x14ac:dyDescent="0.25">
      <c r="A72" s="6"/>
      <c r="E72" s="6"/>
    </row>
    <row r="73" spans="1:8" x14ac:dyDescent="0.25">
      <c r="A73" s="6"/>
      <c r="C73" s="6">
        <f>B71-C71</f>
        <v>0</v>
      </c>
      <c r="E73" s="6"/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3"/>
  <sheetViews>
    <sheetView workbookViewId="0">
      <selection activeCell="A5" sqref="A5:H32"/>
    </sheetView>
  </sheetViews>
  <sheetFormatPr baseColWidth="10" defaultRowHeight="15" x14ac:dyDescent="0.25"/>
  <cols>
    <col min="1" max="1" width="34.7109375" style="6" bestFit="1" customWidth="1"/>
    <col min="2" max="2" width="13.7109375" style="6" bestFit="1" customWidth="1"/>
    <col min="3" max="4" width="14.42578125" style="6" customWidth="1"/>
    <col min="5" max="5" width="30.28515625" style="6" bestFit="1" customWidth="1"/>
    <col min="6" max="6" width="14.42578125" style="6" customWidth="1"/>
    <col min="7" max="8" width="13.7109375" style="6" bestFit="1" customWidth="1"/>
  </cols>
  <sheetData>
    <row r="2" spans="1:8" ht="31.5" x14ac:dyDescent="0.6">
      <c r="A2" s="8" t="s">
        <v>0</v>
      </c>
      <c r="B2" s="20">
        <v>43086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6" spans="1:8" x14ac:dyDescent="0.25">
      <c r="A6" s="6" t="s">
        <v>99</v>
      </c>
      <c r="B6" s="6">
        <f>[5]TONTSEPT!$G$76</f>
        <v>0</v>
      </c>
      <c r="E6" s="6" t="s">
        <v>99</v>
      </c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</row>
    <row r="10" spans="1:8" x14ac:dyDescent="0.25">
      <c r="A10" s="11" t="s">
        <v>92</v>
      </c>
      <c r="E10" s="11" t="s">
        <v>92</v>
      </c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H13" s="6">
        <f>[3]TONTSEPT!$D$38</f>
        <v>0</v>
      </c>
    </row>
    <row r="14" spans="1:8" x14ac:dyDescent="0.25">
      <c r="A14" s="11" t="s">
        <v>97</v>
      </c>
      <c r="E14" s="11" t="s">
        <v>97</v>
      </c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  <c r="H15"/>
    </row>
    <row r="16" spans="1:8" x14ac:dyDescent="0.25">
      <c r="A16" s="6" t="s">
        <v>25</v>
      </c>
      <c r="E16" s="6" t="s">
        <v>25</v>
      </c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</row>
    <row r="18" spans="1:8" x14ac:dyDescent="0.25">
      <c r="A18" s="11" t="s">
        <v>96</v>
      </c>
      <c r="E18" s="11" t="s">
        <v>96</v>
      </c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</row>
    <row r="20" spans="1:8" x14ac:dyDescent="0.25">
      <c r="A20" s="6" t="s">
        <v>25</v>
      </c>
      <c r="C20" s="6">
        <f>[4]TONTSEPT!$C$43</f>
        <v>0</v>
      </c>
      <c r="E20" s="6" t="s">
        <v>25</v>
      </c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G22"/>
      <c r="H22" s="6">
        <f>[7]MVTSEPT!$G$70</f>
        <v>0</v>
      </c>
    </row>
    <row r="23" spans="1:8" x14ac:dyDescent="0.25">
      <c r="A23" s="11" t="s">
        <v>91</v>
      </c>
      <c r="E23" s="11" t="s">
        <v>91</v>
      </c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</row>
    <row r="25" spans="1:8" x14ac:dyDescent="0.25">
      <c r="A25" s="11" t="s">
        <v>100</v>
      </c>
      <c r="E25" s="11" t="s">
        <v>100</v>
      </c>
    </row>
    <row r="26" spans="1:8" x14ac:dyDescent="0.25">
      <c r="A26" s="11" t="s">
        <v>102</v>
      </c>
      <c r="E26" s="11" t="s">
        <v>102</v>
      </c>
    </row>
    <row r="27" spans="1:8" x14ac:dyDescent="0.25">
      <c r="A27" s="11" t="s">
        <v>93</v>
      </c>
      <c r="E27" s="11" t="s">
        <v>93</v>
      </c>
    </row>
    <row r="28" spans="1:8" x14ac:dyDescent="0.25">
      <c r="A28" s="11" t="s">
        <v>103</v>
      </c>
      <c r="E28" s="11" t="s">
        <v>103</v>
      </c>
    </row>
    <row r="29" spans="1:8" x14ac:dyDescent="0.25">
      <c r="A29" s="11" t="s">
        <v>108</v>
      </c>
      <c r="E29" s="11" t="s">
        <v>108</v>
      </c>
    </row>
    <row r="30" spans="1:8" x14ac:dyDescent="0.25">
      <c r="A30" s="11" t="s">
        <v>90</v>
      </c>
      <c r="E30" s="11" t="s">
        <v>90</v>
      </c>
    </row>
    <row r="31" spans="1:8" x14ac:dyDescent="0.25">
      <c r="A31" s="6" t="s">
        <v>86</v>
      </c>
      <c r="E31" s="6" t="s">
        <v>86</v>
      </c>
    </row>
    <row r="32" spans="1:8" x14ac:dyDescent="0.25">
      <c r="A32" s="6" t="s">
        <v>101</v>
      </c>
      <c r="E32" s="6" t="s">
        <v>101</v>
      </c>
    </row>
    <row r="61" spans="1:1" ht="18" customHeight="1" x14ac:dyDescent="0.25"/>
    <row r="62" spans="1:1" ht="18" customHeight="1" x14ac:dyDescent="0.25">
      <c r="A62" s="11"/>
    </row>
    <row r="63" spans="1:1" ht="18" customHeight="1" x14ac:dyDescent="0.25"/>
    <row r="64" spans="1:1" ht="18" customHeight="1" x14ac:dyDescent="0.25"/>
    <row r="65" spans="1:8" ht="18" customHeight="1" x14ac:dyDescent="0.25">
      <c r="A65" s="11"/>
    </row>
    <row r="66" spans="1:8" ht="18" customHeight="1" x14ac:dyDescent="0.25"/>
    <row r="67" spans="1:8" ht="18" customHeight="1" x14ac:dyDescent="0.25"/>
    <row r="68" spans="1:8" ht="18" customHeight="1" x14ac:dyDescent="0.25"/>
    <row r="69" spans="1:8" ht="18" customHeight="1" x14ac:dyDescent="0.25"/>
    <row r="71" spans="1:8" ht="21" x14ac:dyDescent="0.35"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3" spans="1:8" x14ac:dyDescent="0.25">
      <c r="C73" s="6">
        <f>B71-C71</f>
        <v>0</v>
      </c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activeCell="A5" sqref="A5:H32"/>
    </sheetView>
  </sheetViews>
  <sheetFormatPr baseColWidth="10" defaultRowHeight="15" x14ac:dyDescent="0.25"/>
  <cols>
    <col min="1" max="1" width="23.42578125" bestFit="1" customWidth="1"/>
    <col min="2" max="2" width="14" style="6" customWidth="1"/>
    <col min="3" max="3" width="15.42578125" style="6" customWidth="1"/>
    <col min="4" max="4" width="14.42578125" style="6" customWidth="1"/>
    <col min="5" max="5" width="21.42578125" bestFit="1" customWidth="1"/>
    <col min="6" max="6" width="14.42578125" style="6" customWidth="1"/>
    <col min="7" max="7" width="15.7109375" customWidth="1"/>
    <col min="8" max="8" width="15.28515625" customWidth="1"/>
  </cols>
  <sheetData>
    <row r="1" spans="1:8" x14ac:dyDescent="0.25">
      <c r="A1" s="6"/>
      <c r="E1" s="6"/>
      <c r="G1" s="6"/>
      <c r="H1" s="6"/>
    </row>
    <row r="2" spans="1:8" ht="31.5" x14ac:dyDescent="0.6">
      <c r="A2" s="8" t="s">
        <v>0</v>
      </c>
      <c r="B2" s="20">
        <v>43121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  <c r="G5" s="6"/>
      <c r="H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G6" s="6"/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G7" s="6"/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G8" s="6"/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  <c r="G9" s="6"/>
      <c r="H9" s="6"/>
    </row>
    <row r="10" spans="1:8" x14ac:dyDescent="0.25">
      <c r="A10" s="11" t="s">
        <v>92</v>
      </c>
      <c r="E10" s="11" t="s">
        <v>92</v>
      </c>
      <c r="G10" s="6"/>
      <c r="H10" s="6"/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G11" s="6"/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G12" s="6"/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G13" s="6"/>
      <c r="H13" s="6">
        <f>[3]TONTSEPT!$D$38</f>
        <v>0</v>
      </c>
    </row>
    <row r="14" spans="1:8" x14ac:dyDescent="0.25">
      <c r="A14" s="11" t="s">
        <v>97</v>
      </c>
      <c r="E14" s="11" t="s">
        <v>97</v>
      </c>
      <c r="G14" s="6"/>
      <c r="H14" s="6"/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</row>
    <row r="16" spans="1:8" x14ac:dyDescent="0.25">
      <c r="A16" s="6" t="s">
        <v>25</v>
      </c>
      <c r="E16" s="6" t="s">
        <v>25</v>
      </c>
      <c r="G16" s="6"/>
      <c r="H16" s="6"/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  <c r="H17" s="6"/>
    </row>
    <row r="18" spans="1:8" x14ac:dyDescent="0.25">
      <c r="A18" s="11" t="s">
        <v>96</v>
      </c>
      <c r="E18" s="11" t="s">
        <v>96</v>
      </c>
      <c r="G18" s="6"/>
      <c r="H18" s="6"/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  <c r="H19" s="6"/>
    </row>
    <row r="20" spans="1:8" x14ac:dyDescent="0.25">
      <c r="A20" s="6" t="s">
        <v>25</v>
      </c>
      <c r="C20" s="6">
        <f>[4]TONTSEPT!$C$43</f>
        <v>0</v>
      </c>
      <c r="E20" s="6" t="s">
        <v>25</v>
      </c>
      <c r="G20" s="6"/>
      <c r="H20" s="6"/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  <c r="H21" s="6"/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H22" s="6">
        <f>[7]MVTSEPT!$G$70</f>
        <v>0</v>
      </c>
    </row>
    <row r="23" spans="1:8" x14ac:dyDescent="0.25">
      <c r="A23" s="11" t="s">
        <v>91</v>
      </c>
      <c r="E23" s="11" t="s">
        <v>91</v>
      </c>
      <c r="G23" s="6"/>
      <c r="H23" s="6"/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  <c r="H24" s="6"/>
    </row>
    <row r="25" spans="1:8" x14ac:dyDescent="0.25">
      <c r="A25" s="11" t="s">
        <v>100</v>
      </c>
      <c r="E25" s="11" t="s">
        <v>100</v>
      </c>
      <c r="G25" s="6"/>
      <c r="H25" s="6"/>
    </row>
    <row r="26" spans="1:8" x14ac:dyDescent="0.25">
      <c r="A26" s="11" t="s">
        <v>102</v>
      </c>
      <c r="E26" s="11" t="s">
        <v>102</v>
      </c>
      <c r="G26" s="6"/>
      <c r="H26" s="6"/>
    </row>
    <row r="27" spans="1:8" x14ac:dyDescent="0.25">
      <c r="A27" s="11" t="s">
        <v>93</v>
      </c>
      <c r="E27" s="11" t="s">
        <v>93</v>
      </c>
      <c r="G27" s="6"/>
      <c r="H27" s="6"/>
    </row>
    <row r="28" spans="1:8" x14ac:dyDescent="0.25">
      <c r="A28" s="11" t="s">
        <v>103</v>
      </c>
      <c r="E28" s="11" t="s">
        <v>103</v>
      </c>
      <c r="G28" s="6"/>
      <c r="H28" s="6"/>
    </row>
    <row r="29" spans="1:8" x14ac:dyDescent="0.25">
      <c r="A29" s="11" t="s">
        <v>108</v>
      </c>
      <c r="E29" s="11" t="s">
        <v>108</v>
      </c>
      <c r="G29" s="6"/>
      <c r="H29" s="6"/>
    </row>
    <row r="30" spans="1:8" x14ac:dyDescent="0.25">
      <c r="A30" s="11" t="s">
        <v>90</v>
      </c>
      <c r="E30" s="11" t="s">
        <v>90</v>
      </c>
      <c r="G30" s="6"/>
      <c r="H30" s="6"/>
    </row>
    <row r="31" spans="1:8" x14ac:dyDescent="0.25">
      <c r="A31" s="6" t="s">
        <v>86</v>
      </c>
      <c r="E31" s="6" t="s">
        <v>86</v>
      </c>
      <c r="G31" s="6"/>
      <c r="H31" s="6"/>
    </row>
    <row r="32" spans="1:8" x14ac:dyDescent="0.25">
      <c r="A32" s="6" t="s">
        <v>101</v>
      </c>
      <c r="E32" s="6" t="s">
        <v>101</v>
      </c>
      <c r="G32" s="6"/>
      <c r="H32" s="6"/>
    </row>
    <row r="33" spans="1:8" x14ac:dyDescent="0.25">
      <c r="A33" s="6"/>
      <c r="E33" s="6"/>
      <c r="G33" s="6"/>
      <c r="H33" s="6"/>
    </row>
    <row r="34" spans="1:8" x14ac:dyDescent="0.25">
      <c r="A34" s="6"/>
      <c r="E34" s="6"/>
      <c r="G34" s="6"/>
      <c r="H34" s="6"/>
    </row>
    <row r="35" spans="1:8" x14ac:dyDescent="0.25">
      <c r="A35" s="6"/>
      <c r="E35" s="6"/>
      <c r="G35" s="6"/>
      <c r="H35" s="6"/>
    </row>
    <row r="36" spans="1:8" x14ac:dyDescent="0.25">
      <c r="A36" s="6"/>
      <c r="E36" s="6"/>
      <c r="G36" s="6"/>
      <c r="H36" s="6"/>
    </row>
    <row r="37" spans="1:8" x14ac:dyDescent="0.25">
      <c r="A37" s="6"/>
      <c r="E37" s="6"/>
      <c r="G37" s="6"/>
      <c r="H37" s="6"/>
    </row>
    <row r="38" spans="1:8" x14ac:dyDescent="0.25">
      <c r="A38" s="6"/>
      <c r="E38" s="6"/>
      <c r="G38" s="6"/>
      <c r="H38" s="6"/>
    </row>
    <row r="39" spans="1:8" x14ac:dyDescent="0.25">
      <c r="A39" s="6"/>
      <c r="E39" s="6"/>
      <c r="G39" s="6"/>
      <c r="H39" s="6"/>
    </row>
    <row r="40" spans="1:8" x14ac:dyDescent="0.25">
      <c r="A40" s="6"/>
      <c r="E40" s="6"/>
      <c r="G40" s="6"/>
      <c r="H40" s="6"/>
    </row>
    <row r="41" spans="1:8" x14ac:dyDescent="0.25">
      <c r="A41" s="6"/>
      <c r="E41" s="6"/>
      <c r="G41" s="6"/>
      <c r="H41" s="6"/>
    </row>
    <row r="42" spans="1:8" x14ac:dyDescent="0.25">
      <c r="A42" s="6"/>
      <c r="E42" s="6"/>
      <c r="G42" s="6"/>
      <c r="H42" s="6"/>
    </row>
    <row r="43" spans="1:8" x14ac:dyDescent="0.25">
      <c r="A43" s="6"/>
      <c r="E43" s="6"/>
      <c r="G43" s="6"/>
      <c r="H43" s="6"/>
    </row>
    <row r="44" spans="1:8" x14ac:dyDescent="0.25">
      <c r="A44" s="6"/>
      <c r="E44" s="6"/>
      <c r="G44" s="6"/>
      <c r="H44" s="6"/>
    </row>
    <row r="45" spans="1:8" x14ac:dyDescent="0.25">
      <c r="A45" s="6"/>
      <c r="E45" s="6"/>
      <c r="G45" s="6"/>
      <c r="H45" s="6"/>
    </row>
    <row r="46" spans="1:8" x14ac:dyDescent="0.25">
      <c r="A46" s="6"/>
      <c r="E46" s="6"/>
      <c r="G46" s="6"/>
      <c r="H46" s="6"/>
    </row>
    <row r="47" spans="1:8" x14ac:dyDescent="0.25">
      <c r="A47" s="6"/>
      <c r="E47" s="6"/>
      <c r="G47" s="6"/>
      <c r="H47" s="6"/>
    </row>
    <row r="48" spans="1:8" x14ac:dyDescent="0.25">
      <c r="A48" s="6"/>
      <c r="E48" s="6"/>
      <c r="G48" s="6"/>
      <c r="H48" s="6"/>
    </row>
    <row r="49" spans="1:8" x14ac:dyDescent="0.25">
      <c r="A49" s="6"/>
      <c r="E49" s="6"/>
      <c r="G49" s="6"/>
      <c r="H49" s="6"/>
    </row>
    <row r="50" spans="1:8" x14ac:dyDescent="0.25">
      <c r="A50" s="6"/>
      <c r="E50" s="6"/>
      <c r="G50" s="6"/>
      <c r="H50" s="6"/>
    </row>
    <row r="51" spans="1:8" x14ac:dyDescent="0.25">
      <c r="A51" s="6"/>
      <c r="E51" s="6"/>
      <c r="G51" s="6"/>
      <c r="H51" s="6"/>
    </row>
    <row r="52" spans="1:8" x14ac:dyDescent="0.25">
      <c r="A52" s="6"/>
      <c r="E52" s="6"/>
      <c r="G52" s="6"/>
      <c r="H52" s="6"/>
    </row>
    <row r="53" spans="1:8" x14ac:dyDescent="0.25">
      <c r="A53" s="6"/>
      <c r="E53" s="6"/>
      <c r="G53" s="6"/>
      <c r="H53" s="6"/>
    </row>
    <row r="54" spans="1:8" x14ac:dyDescent="0.25">
      <c r="A54" s="6"/>
      <c r="E54" s="6"/>
      <c r="G54" s="6"/>
      <c r="H54" s="6"/>
    </row>
    <row r="55" spans="1:8" x14ac:dyDescent="0.25">
      <c r="A55" s="6"/>
      <c r="E55" s="6"/>
      <c r="G55" s="6"/>
      <c r="H55" s="6"/>
    </row>
    <row r="56" spans="1:8" x14ac:dyDescent="0.25">
      <c r="A56" s="6"/>
      <c r="E56" s="6"/>
      <c r="G56" s="6"/>
      <c r="H56" s="6"/>
    </row>
    <row r="57" spans="1:8" x14ac:dyDescent="0.25">
      <c r="A57" s="6"/>
      <c r="E57" s="6"/>
      <c r="G57" s="6"/>
      <c r="H57" s="6"/>
    </row>
    <row r="58" spans="1:8" x14ac:dyDescent="0.25">
      <c r="A58" s="6"/>
      <c r="E58" s="6"/>
      <c r="G58" s="6"/>
      <c r="H58" s="6"/>
    </row>
    <row r="59" spans="1:8" x14ac:dyDescent="0.25">
      <c r="A59" s="6"/>
      <c r="E59" s="6"/>
      <c r="G59" s="6"/>
      <c r="H59" s="6"/>
    </row>
    <row r="60" spans="1:8" x14ac:dyDescent="0.25">
      <c r="A60" s="6"/>
      <c r="E60" s="6"/>
      <c r="G60" s="6"/>
      <c r="H60" s="6"/>
    </row>
    <row r="61" spans="1:8" ht="18" customHeight="1" x14ac:dyDescent="0.25">
      <c r="A61" s="6"/>
      <c r="E61" s="6"/>
      <c r="G61" s="6"/>
      <c r="H61" s="6"/>
    </row>
    <row r="62" spans="1:8" ht="18" customHeight="1" x14ac:dyDescent="0.25">
      <c r="A62" s="11"/>
      <c r="E62" s="6"/>
      <c r="G62" s="6"/>
      <c r="H62" s="6"/>
    </row>
    <row r="63" spans="1:8" ht="18" customHeight="1" x14ac:dyDescent="0.25">
      <c r="A63" s="6"/>
      <c r="E63" s="6"/>
      <c r="G63" s="6"/>
      <c r="H63" s="6"/>
    </row>
    <row r="64" spans="1:8" ht="18" customHeight="1" x14ac:dyDescent="0.25">
      <c r="A64" s="6"/>
      <c r="E64" s="6"/>
      <c r="G64" s="6"/>
      <c r="H64" s="6"/>
    </row>
    <row r="65" spans="1:8" ht="18" customHeight="1" x14ac:dyDescent="0.25">
      <c r="A65" s="11"/>
      <c r="E65" s="6"/>
      <c r="G65" s="6"/>
      <c r="H65" s="6"/>
    </row>
    <row r="66" spans="1:8" ht="18" customHeight="1" x14ac:dyDescent="0.25">
      <c r="A66" s="6"/>
      <c r="E66" s="6"/>
      <c r="G66" s="6"/>
      <c r="H66" s="6"/>
    </row>
    <row r="67" spans="1:8" ht="18" customHeight="1" x14ac:dyDescent="0.25">
      <c r="A67" s="6"/>
      <c r="E67" s="6"/>
      <c r="G67" s="6"/>
      <c r="H67" s="6"/>
    </row>
    <row r="68" spans="1:8" ht="18" customHeight="1" x14ac:dyDescent="0.25">
      <c r="A68" s="6"/>
      <c r="E68" s="6"/>
      <c r="G68" s="6"/>
      <c r="H68" s="6"/>
    </row>
    <row r="69" spans="1:8" ht="18" customHeight="1" x14ac:dyDescent="0.25">
      <c r="A69" s="6"/>
      <c r="E69" s="6"/>
      <c r="G69" s="6"/>
      <c r="H69" s="6"/>
    </row>
    <row r="70" spans="1:8" x14ac:dyDescent="0.25">
      <c r="A70" s="6"/>
      <c r="E70" s="6"/>
      <c r="G70" s="6"/>
      <c r="H70" s="6"/>
    </row>
    <row r="71" spans="1:8" ht="21" x14ac:dyDescent="0.35">
      <c r="A71" s="6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2" spans="1:8" x14ac:dyDescent="0.25">
      <c r="A72" s="6"/>
      <c r="E72" s="6"/>
      <c r="G72" s="6"/>
      <c r="H72" s="6"/>
    </row>
    <row r="73" spans="1:8" x14ac:dyDescent="0.25">
      <c r="A73" s="6"/>
      <c r="C73" s="6">
        <f>B71-C71</f>
        <v>0</v>
      </c>
      <c r="E73" s="6"/>
      <c r="G73" s="6"/>
      <c r="H73" s="6"/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A28" workbookViewId="0">
      <selection activeCell="A5" sqref="A5:H32"/>
    </sheetView>
  </sheetViews>
  <sheetFormatPr baseColWidth="10" defaultRowHeight="15" x14ac:dyDescent="0.25"/>
  <cols>
    <col min="1" max="1" width="23.42578125" bestFit="1" customWidth="1"/>
    <col min="2" max="2" width="14" style="6" customWidth="1"/>
    <col min="3" max="3" width="15.42578125" style="6" customWidth="1"/>
    <col min="4" max="4" width="14.42578125" style="6" customWidth="1"/>
    <col min="5" max="5" width="21.42578125" bestFit="1" customWidth="1"/>
    <col min="6" max="6" width="14.42578125" style="6" customWidth="1"/>
    <col min="7" max="7" width="15.7109375" customWidth="1"/>
    <col min="8" max="8" width="15.28515625" customWidth="1"/>
  </cols>
  <sheetData>
    <row r="1" spans="1:8" x14ac:dyDescent="0.25">
      <c r="A1" s="6"/>
      <c r="E1" s="6"/>
      <c r="G1" s="6"/>
      <c r="H1" s="6"/>
    </row>
    <row r="2" spans="1:8" ht="31.5" x14ac:dyDescent="0.6">
      <c r="A2" s="8" t="s">
        <v>0</v>
      </c>
      <c r="B2" s="20">
        <v>43149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  <c r="G5" s="6"/>
      <c r="H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G6" s="6"/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G7" s="6"/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G8" s="6"/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  <c r="G9" s="6"/>
      <c r="H9" s="6"/>
    </row>
    <row r="10" spans="1:8" x14ac:dyDescent="0.25">
      <c r="A10" s="11" t="s">
        <v>92</v>
      </c>
      <c r="E10" s="11" t="s">
        <v>92</v>
      </c>
      <c r="G10" s="6"/>
      <c r="H10" s="6"/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G11" s="6"/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G12" s="6"/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G13" s="6"/>
      <c r="H13" s="6">
        <f>[3]TONTSEPT!$D$38</f>
        <v>0</v>
      </c>
    </row>
    <row r="14" spans="1:8" x14ac:dyDescent="0.25">
      <c r="A14" s="11" t="s">
        <v>97</v>
      </c>
      <c r="E14" s="11" t="s">
        <v>97</v>
      </c>
      <c r="G14" s="6"/>
      <c r="H14" s="6"/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</row>
    <row r="16" spans="1:8" x14ac:dyDescent="0.25">
      <c r="A16" s="6" t="s">
        <v>25</v>
      </c>
      <c r="E16" s="6" t="s">
        <v>25</v>
      </c>
      <c r="G16" s="6"/>
      <c r="H16" s="6"/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  <c r="H17" s="6"/>
    </row>
    <row r="18" spans="1:8" x14ac:dyDescent="0.25">
      <c r="A18" s="11" t="s">
        <v>96</v>
      </c>
      <c r="E18" s="11" t="s">
        <v>96</v>
      </c>
      <c r="G18" s="6"/>
      <c r="H18" s="6"/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  <c r="H19" s="6"/>
    </row>
    <row r="20" spans="1:8" x14ac:dyDescent="0.25">
      <c r="A20" s="6" t="s">
        <v>25</v>
      </c>
      <c r="C20" s="6">
        <f>[4]TONTSEPT!$C$43</f>
        <v>0</v>
      </c>
      <c r="E20" s="6" t="s">
        <v>25</v>
      </c>
      <c r="G20" s="6"/>
      <c r="H20" s="6"/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  <c r="H21" s="6"/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H22" s="6">
        <f>[7]MVTSEPT!$G$70</f>
        <v>0</v>
      </c>
    </row>
    <row r="23" spans="1:8" x14ac:dyDescent="0.25">
      <c r="A23" s="11" t="s">
        <v>91</v>
      </c>
      <c r="E23" s="11" t="s">
        <v>91</v>
      </c>
      <c r="G23" s="6"/>
      <c r="H23" s="6"/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  <c r="H24" s="6"/>
    </row>
    <row r="25" spans="1:8" x14ac:dyDescent="0.25">
      <c r="A25" s="11" t="s">
        <v>100</v>
      </c>
      <c r="E25" s="11" t="s">
        <v>100</v>
      </c>
      <c r="G25" s="6"/>
      <c r="H25" s="6"/>
    </row>
    <row r="26" spans="1:8" x14ac:dyDescent="0.25">
      <c r="A26" s="11" t="s">
        <v>102</v>
      </c>
      <c r="E26" s="11" t="s">
        <v>102</v>
      </c>
      <c r="G26" s="6"/>
      <c r="H26" s="6"/>
    </row>
    <row r="27" spans="1:8" x14ac:dyDescent="0.25">
      <c r="A27" s="11" t="s">
        <v>93</v>
      </c>
      <c r="E27" s="11" t="s">
        <v>93</v>
      </c>
      <c r="G27" s="6"/>
      <c r="H27" s="6"/>
    </row>
    <row r="28" spans="1:8" x14ac:dyDescent="0.25">
      <c r="A28" s="11" t="s">
        <v>103</v>
      </c>
      <c r="E28" s="11" t="s">
        <v>103</v>
      </c>
      <c r="G28" s="6"/>
      <c r="H28" s="6"/>
    </row>
    <row r="29" spans="1:8" x14ac:dyDescent="0.25">
      <c r="A29" s="11" t="s">
        <v>108</v>
      </c>
      <c r="E29" s="11" t="s">
        <v>108</v>
      </c>
      <c r="G29" s="6"/>
      <c r="H29" s="6"/>
    </row>
    <row r="30" spans="1:8" x14ac:dyDescent="0.25">
      <c r="A30" s="11" t="s">
        <v>90</v>
      </c>
      <c r="E30" s="11" t="s">
        <v>90</v>
      </c>
      <c r="G30" s="6"/>
      <c r="H30" s="6"/>
    </row>
    <row r="31" spans="1:8" x14ac:dyDescent="0.25">
      <c r="A31" s="6" t="s">
        <v>86</v>
      </c>
      <c r="E31" s="6" t="s">
        <v>86</v>
      </c>
      <c r="G31" s="6"/>
      <c r="H31" s="6"/>
    </row>
    <row r="32" spans="1:8" x14ac:dyDescent="0.25">
      <c r="A32" s="6" t="s">
        <v>101</v>
      </c>
      <c r="E32" s="6" t="s">
        <v>101</v>
      </c>
      <c r="G32" s="6"/>
      <c r="H32" s="6"/>
    </row>
    <row r="33" spans="1:8" x14ac:dyDescent="0.25">
      <c r="A33" s="6"/>
      <c r="E33" s="6"/>
      <c r="G33" s="6"/>
      <c r="H33" s="6"/>
    </row>
    <row r="34" spans="1:8" x14ac:dyDescent="0.25">
      <c r="A34" s="6"/>
      <c r="E34" s="6"/>
      <c r="G34" s="6"/>
      <c r="H34" s="6"/>
    </row>
    <row r="35" spans="1:8" x14ac:dyDescent="0.25">
      <c r="A35" s="6"/>
      <c r="E35" s="6"/>
      <c r="G35" s="6"/>
      <c r="H35" s="6"/>
    </row>
    <row r="36" spans="1:8" x14ac:dyDescent="0.25">
      <c r="A36" s="6"/>
      <c r="E36" s="6"/>
      <c r="G36" s="6"/>
      <c r="H36" s="6"/>
    </row>
    <row r="37" spans="1:8" x14ac:dyDescent="0.25">
      <c r="A37" s="6"/>
      <c r="E37" s="6"/>
      <c r="G37" s="6"/>
      <c r="H37" s="6"/>
    </row>
    <row r="38" spans="1:8" x14ac:dyDescent="0.25">
      <c r="A38" s="6"/>
      <c r="E38" s="6"/>
      <c r="G38" s="6"/>
      <c r="H38" s="6"/>
    </row>
    <row r="39" spans="1:8" x14ac:dyDescent="0.25">
      <c r="A39" s="6"/>
      <c r="E39" s="6"/>
      <c r="G39" s="6"/>
      <c r="H39" s="6"/>
    </row>
    <row r="40" spans="1:8" x14ac:dyDescent="0.25">
      <c r="A40" s="6"/>
      <c r="E40" s="6"/>
      <c r="G40" s="6"/>
      <c r="H40" s="6"/>
    </row>
    <row r="41" spans="1:8" x14ac:dyDescent="0.25">
      <c r="A41" s="6"/>
      <c r="E41" s="6"/>
      <c r="G41" s="6"/>
      <c r="H41" s="6"/>
    </row>
    <row r="42" spans="1:8" x14ac:dyDescent="0.25">
      <c r="A42" s="6"/>
      <c r="E42" s="6"/>
      <c r="G42" s="6"/>
      <c r="H42" s="6"/>
    </row>
    <row r="43" spans="1:8" x14ac:dyDescent="0.25">
      <c r="A43" s="6"/>
      <c r="E43" s="6"/>
      <c r="G43" s="6"/>
      <c r="H43" s="6"/>
    </row>
    <row r="44" spans="1:8" x14ac:dyDescent="0.25">
      <c r="A44" s="6"/>
      <c r="E44" s="6"/>
      <c r="G44" s="6"/>
      <c r="H44" s="6"/>
    </row>
    <row r="45" spans="1:8" x14ac:dyDescent="0.25">
      <c r="A45" s="6"/>
      <c r="E45" s="6"/>
      <c r="G45" s="6"/>
      <c r="H45" s="6"/>
    </row>
    <row r="46" spans="1:8" x14ac:dyDescent="0.25">
      <c r="A46" s="6"/>
      <c r="E46" s="6"/>
      <c r="G46" s="6"/>
      <c r="H46" s="6"/>
    </row>
    <row r="47" spans="1:8" x14ac:dyDescent="0.25">
      <c r="A47" s="6"/>
      <c r="E47" s="6"/>
      <c r="G47" s="6"/>
      <c r="H47" s="6"/>
    </row>
    <row r="48" spans="1:8" x14ac:dyDescent="0.25">
      <c r="A48" s="6"/>
      <c r="E48" s="6"/>
      <c r="G48" s="6"/>
      <c r="H48" s="6"/>
    </row>
    <row r="49" spans="1:8" x14ac:dyDescent="0.25">
      <c r="A49" s="6"/>
      <c r="E49" s="6"/>
      <c r="G49" s="6"/>
      <c r="H49" s="6"/>
    </row>
    <row r="50" spans="1:8" x14ac:dyDescent="0.25">
      <c r="A50" s="6"/>
      <c r="E50" s="6"/>
      <c r="G50" s="6"/>
      <c r="H50" s="6"/>
    </row>
    <row r="51" spans="1:8" x14ac:dyDescent="0.25">
      <c r="A51" s="6"/>
      <c r="E51" s="6"/>
      <c r="G51" s="6"/>
      <c r="H51" s="6"/>
    </row>
    <row r="52" spans="1:8" x14ac:dyDescent="0.25">
      <c r="A52" s="6"/>
      <c r="E52" s="6"/>
      <c r="G52" s="6"/>
      <c r="H52" s="6"/>
    </row>
    <row r="53" spans="1:8" x14ac:dyDescent="0.25">
      <c r="A53" s="6"/>
      <c r="E53" s="6"/>
      <c r="G53" s="6"/>
      <c r="H53" s="6"/>
    </row>
    <row r="54" spans="1:8" x14ac:dyDescent="0.25">
      <c r="A54" s="6"/>
      <c r="E54" s="6"/>
      <c r="G54" s="6"/>
      <c r="H54" s="6"/>
    </row>
    <row r="55" spans="1:8" x14ac:dyDescent="0.25">
      <c r="A55" s="6"/>
      <c r="E55" s="6"/>
      <c r="G55" s="6"/>
      <c r="H55" s="6"/>
    </row>
    <row r="56" spans="1:8" x14ac:dyDescent="0.25">
      <c r="A56" s="6"/>
      <c r="E56" s="6"/>
      <c r="G56" s="6"/>
      <c r="H56" s="6"/>
    </row>
    <row r="57" spans="1:8" x14ac:dyDescent="0.25">
      <c r="A57" s="6"/>
      <c r="E57" s="6"/>
      <c r="G57" s="6"/>
      <c r="H57" s="6"/>
    </row>
    <row r="58" spans="1:8" x14ac:dyDescent="0.25">
      <c r="A58" s="6"/>
      <c r="E58" s="6"/>
      <c r="G58" s="6"/>
      <c r="H58" s="6"/>
    </row>
    <row r="59" spans="1:8" x14ac:dyDescent="0.25">
      <c r="A59" s="6"/>
      <c r="E59" s="6"/>
      <c r="G59" s="6"/>
      <c r="H59" s="6"/>
    </row>
    <row r="60" spans="1:8" x14ac:dyDescent="0.25">
      <c r="A60" s="6"/>
      <c r="E60" s="6"/>
      <c r="G60" s="6"/>
      <c r="H60" s="6"/>
    </row>
    <row r="61" spans="1:8" ht="18" customHeight="1" x14ac:dyDescent="0.25">
      <c r="A61" s="6"/>
      <c r="E61" s="6"/>
      <c r="G61" s="6"/>
      <c r="H61" s="6"/>
    </row>
    <row r="62" spans="1:8" ht="18" customHeight="1" x14ac:dyDescent="0.25">
      <c r="A62" s="11"/>
      <c r="E62" s="6"/>
      <c r="G62" s="6"/>
      <c r="H62" s="6"/>
    </row>
    <row r="63" spans="1:8" ht="18" customHeight="1" x14ac:dyDescent="0.25">
      <c r="A63" s="6"/>
      <c r="E63" s="6"/>
      <c r="G63" s="6"/>
      <c r="H63" s="6"/>
    </row>
    <row r="64" spans="1:8" ht="18" customHeight="1" x14ac:dyDescent="0.25">
      <c r="A64" s="6"/>
      <c r="E64" s="6"/>
      <c r="G64" s="6"/>
      <c r="H64" s="6"/>
    </row>
    <row r="65" spans="1:8" ht="18" customHeight="1" x14ac:dyDescent="0.25">
      <c r="A65" s="11"/>
      <c r="E65" s="6"/>
      <c r="G65" s="6"/>
      <c r="H65" s="6"/>
    </row>
    <row r="66" spans="1:8" ht="18" customHeight="1" x14ac:dyDescent="0.25">
      <c r="A66" s="6"/>
      <c r="E66" s="6"/>
      <c r="G66" s="6"/>
      <c r="H66" s="6"/>
    </row>
    <row r="67" spans="1:8" ht="18" customHeight="1" x14ac:dyDescent="0.25">
      <c r="A67" s="6"/>
      <c r="E67" s="6"/>
      <c r="G67" s="6"/>
      <c r="H67" s="6"/>
    </row>
    <row r="68" spans="1:8" ht="18" customHeight="1" x14ac:dyDescent="0.25">
      <c r="A68" s="6"/>
      <c r="E68" s="6"/>
      <c r="G68" s="6"/>
      <c r="H68" s="6"/>
    </row>
    <row r="69" spans="1:8" ht="18" customHeight="1" x14ac:dyDescent="0.25">
      <c r="A69" s="6"/>
      <c r="E69" s="6"/>
      <c r="G69" s="6"/>
      <c r="H69" s="6"/>
    </row>
    <row r="70" spans="1:8" x14ac:dyDescent="0.25">
      <c r="A70" s="6"/>
      <c r="E70" s="6"/>
      <c r="G70" s="6"/>
      <c r="H70" s="6"/>
    </row>
    <row r="71" spans="1:8" ht="21" x14ac:dyDescent="0.35">
      <c r="A71" s="6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2" spans="1:8" x14ac:dyDescent="0.25">
      <c r="A72" s="6"/>
      <c r="E72" s="6"/>
      <c r="G72" s="6"/>
      <c r="H72" s="6"/>
    </row>
    <row r="73" spans="1:8" x14ac:dyDescent="0.25">
      <c r="A73" s="6"/>
      <c r="C73" s="6">
        <f>B71-C71</f>
        <v>0</v>
      </c>
      <c r="E73" s="6"/>
      <c r="G73" s="6"/>
      <c r="H73" s="6"/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3"/>
  <sheetViews>
    <sheetView topLeftCell="A66" workbookViewId="0">
      <selection activeCell="B69" sqref="B69"/>
    </sheetView>
  </sheetViews>
  <sheetFormatPr baseColWidth="10" defaultRowHeight="15" x14ac:dyDescent="0.25"/>
  <cols>
    <col min="1" max="1" width="23.85546875" bestFit="1" customWidth="1"/>
    <col min="2" max="3" width="13.7109375" style="6" bestFit="1" customWidth="1"/>
    <col min="4" max="4" width="14.42578125" style="6" customWidth="1"/>
    <col min="5" max="5" width="36.85546875" bestFit="1" customWidth="1"/>
    <col min="6" max="6" width="14.42578125" style="6" customWidth="1"/>
    <col min="7" max="8" width="13.7109375" style="6" bestFit="1" customWidth="1"/>
  </cols>
  <sheetData>
    <row r="2" spans="1:8" ht="31.5" x14ac:dyDescent="0.6">
      <c r="A2" s="5" t="s">
        <v>0</v>
      </c>
      <c r="B2" s="20">
        <v>43177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18"/>
      <c r="C3" s="18"/>
      <c r="D3" s="12"/>
      <c r="E3" s="19" t="s">
        <v>61</v>
      </c>
      <c r="F3" s="19"/>
      <c r="G3" s="18"/>
      <c r="H3" s="18"/>
    </row>
    <row r="4" spans="1:8" ht="37.5" x14ac:dyDescent="0.3">
      <c r="A4" s="1" t="s">
        <v>1</v>
      </c>
      <c r="B4" s="2" t="s">
        <v>3</v>
      </c>
      <c r="C4" s="2" t="s">
        <v>4</v>
      </c>
      <c r="D4" s="14" t="s">
        <v>107</v>
      </c>
      <c r="E4" s="1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</row>
    <row r="10" spans="1:8" x14ac:dyDescent="0.25">
      <c r="A10" s="11" t="s">
        <v>92</v>
      </c>
      <c r="E10" s="11" t="s">
        <v>92</v>
      </c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H13" s="6">
        <f>[3]TONTSEPT!$D$38</f>
        <v>0</v>
      </c>
    </row>
    <row r="14" spans="1:8" x14ac:dyDescent="0.25">
      <c r="A14" s="11" t="s">
        <v>97</v>
      </c>
      <c r="E14" s="11" t="s">
        <v>97</v>
      </c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  <c r="H15"/>
    </row>
    <row r="16" spans="1:8" x14ac:dyDescent="0.25">
      <c r="A16" s="6" t="s">
        <v>25</v>
      </c>
      <c r="E16" s="6" t="s">
        <v>25</v>
      </c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</row>
    <row r="18" spans="1:8" x14ac:dyDescent="0.25">
      <c r="A18" s="11" t="s">
        <v>96</v>
      </c>
      <c r="E18" s="11" t="s">
        <v>96</v>
      </c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</row>
    <row r="20" spans="1:8" x14ac:dyDescent="0.25">
      <c r="A20" s="6" t="s">
        <v>25</v>
      </c>
      <c r="C20" s="6">
        <f>[4]TONTSEPT!$C$43</f>
        <v>0</v>
      </c>
      <c r="E20" s="6" t="s">
        <v>25</v>
      </c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G22"/>
      <c r="H22" s="6">
        <f>[7]MVTSEPT!$G$70</f>
        <v>0</v>
      </c>
    </row>
    <row r="23" spans="1:8" x14ac:dyDescent="0.25">
      <c r="A23" s="11" t="s">
        <v>91</v>
      </c>
      <c r="E23" s="11" t="s">
        <v>91</v>
      </c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</row>
    <row r="25" spans="1:8" x14ac:dyDescent="0.25">
      <c r="A25" s="11" t="s">
        <v>100</v>
      </c>
      <c r="E25" s="11" t="s">
        <v>100</v>
      </c>
    </row>
    <row r="26" spans="1:8" x14ac:dyDescent="0.25">
      <c r="A26" s="11" t="s">
        <v>102</v>
      </c>
      <c r="E26" s="11" t="s">
        <v>102</v>
      </c>
    </row>
    <row r="27" spans="1:8" x14ac:dyDescent="0.25">
      <c r="A27" s="11" t="s">
        <v>93</v>
      </c>
      <c r="E27" s="11" t="s">
        <v>93</v>
      </c>
    </row>
    <row r="28" spans="1:8" x14ac:dyDescent="0.25">
      <c r="A28" s="11" t="s">
        <v>103</v>
      </c>
      <c r="E28" s="11" t="s">
        <v>103</v>
      </c>
    </row>
    <row r="29" spans="1:8" x14ac:dyDescent="0.25">
      <c r="A29" s="11" t="s">
        <v>108</v>
      </c>
      <c r="E29" s="11" t="s">
        <v>108</v>
      </c>
    </row>
    <row r="30" spans="1:8" x14ac:dyDescent="0.25">
      <c r="A30" s="11" t="s">
        <v>90</v>
      </c>
      <c r="E30" s="11" t="s">
        <v>90</v>
      </c>
    </row>
    <row r="31" spans="1:8" x14ac:dyDescent="0.25">
      <c r="A31" s="6" t="s">
        <v>86</v>
      </c>
      <c r="E31" s="6" t="s">
        <v>86</v>
      </c>
    </row>
    <row r="32" spans="1:8" x14ac:dyDescent="0.25">
      <c r="A32" s="6" t="s">
        <v>101</v>
      </c>
      <c r="E32" s="6" t="s">
        <v>101</v>
      </c>
    </row>
    <row r="35" spans="1:8" x14ac:dyDescent="0.25">
      <c r="A35" s="10"/>
    </row>
    <row r="40" spans="1:8" x14ac:dyDescent="0.25">
      <c r="A40" s="10"/>
    </row>
    <row r="41" spans="1:8" x14ac:dyDescent="0.25">
      <c r="G41"/>
      <c r="H41"/>
    </row>
    <row r="42" spans="1:8" x14ac:dyDescent="0.25">
      <c r="G42"/>
      <c r="H42"/>
    </row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spans="1:8" ht="18" customHeight="1" x14ac:dyDescent="0.25"/>
    <row r="66" spans="1:8" ht="18" customHeight="1" x14ac:dyDescent="0.25"/>
    <row r="67" spans="1:8" ht="18" customHeight="1" x14ac:dyDescent="0.25"/>
    <row r="68" spans="1:8" ht="18" customHeight="1" x14ac:dyDescent="0.25"/>
    <row r="69" spans="1:8" ht="18" customHeight="1" x14ac:dyDescent="0.25"/>
    <row r="71" spans="1:8" ht="21" x14ac:dyDescent="0.35">
      <c r="A71" s="8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3" spans="1:8" x14ac:dyDescent="0.25">
      <c r="C73" s="6">
        <f>B71-C71</f>
        <v>0</v>
      </c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3"/>
  <sheetViews>
    <sheetView topLeftCell="A25" workbookViewId="0">
      <selection activeCell="A5" sqref="A5:H32"/>
    </sheetView>
  </sheetViews>
  <sheetFormatPr baseColWidth="10" defaultRowHeight="15" x14ac:dyDescent="0.25"/>
  <cols>
    <col min="1" max="1" width="34.7109375" style="6" bestFit="1" customWidth="1"/>
    <col min="2" max="2" width="13.7109375" style="6" bestFit="1" customWidth="1"/>
    <col min="3" max="4" width="14.42578125" style="6" customWidth="1"/>
    <col min="5" max="5" width="30.28515625" style="6" bestFit="1" customWidth="1"/>
    <col min="6" max="6" width="14.42578125" style="6" customWidth="1"/>
    <col min="7" max="8" width="13.7109375" style="6" bestFit="1" customWidth="1"/>
  </cols>
  <sheetData>
    <row r="2" spans="1:8" ht="31.5" x14ac:dyDescent="0.6">
      <c r="A2" s="8" t="s">
        <v>0</v>
      </c>
      <c r="B2" s="20">
        <v>43212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6" spans="1:8" x14ac:dyDescent="0.25">
      <c r="A6" s="6" t="s">
        <v>99</v>
      </c>
      <c r="B6" s="6">
        <f>[5]TONTSEPT!$G$76</f>
        <v>0</v>
      </c>
      <c r="E6" s="6" t="s">
        <v>99</v>
      </c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</row>
    <row r="10" spans="1:8" x14ac:dyDescent="0.25">
      <c r="A10" s="11" t="s">
        <v>92</v>
      </c>
      <c r="E10" s="11" t="s">
        <v>92</v>
      </c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H13" s="6">
        <f>[3]TONTSEPT!$D$38</f>
        <v>0</v>
      </c>
    </row>
    <row r="14" spans="1:8" x14ac:dyDescent="0.25">
      <c r="A14" s="11" t="s">
        <v>97</v>
      </c>
      <c r="E14" s="11" t="s">
        <v>97</v>
      </c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  <c r="H15"/>
    </row>
    <row r="16" spans="1:8" x14ac:dyDescent="0.25">
      <c r="A16" s="6" t="s">
        <v>25</v>
      </c>
      <c r="E16" s="6" t="s">
        <v>25</v>
      </c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</row>
    <row r="18" spans="1:8" x14ac:dyDescent="0.25">
      <c r="A18" s="11" t="s">
        <v>96</v>
      </c>
      <c r="E18" s="11" t="s">
        <v>96</v>
      </c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</row>
    <row r="20" spans="1:8" x14ac:dyDescent="0.25">
      <c r="A20" s="6" t="s">
        <v>25</v>
      </c>
      <c r="C20" s="6">
        <f>[4]TONTSEPT!$C$43</f>
        <v>0</v>
      </c>
      <c r="E20" s="6" t="s">
        <v>25</v>
      </c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G22"/>
      <c r="H22" s="6">
        <f>[7]MVTSEPT!$G$70</f>
        <v>0</v>
      </c>
    </row>
    <row r="23" spans="1:8" x14ac:dyDescent="0.25">
      <c r="A23" s="11" t="s">
        <v>91</v>
      </c>
      <c r="E23" s="11" t="s">
        <v>91</v>
      </c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</row>
    <row r="25" spans="1:8" x14ac:dyDescent="0.25">
      <c r="A25" s="11" t="s">
        <v>100</v>
      </c>
      <c r="E25" s="11" t="s">
        <v>100</v>
      </c>
    </row>
    <row r="26" spans="1:8" x14ac:dyDescent="0.25">
      <c r="A26" s="11" t="s">
        <v>102</v>
      </c>
      <c r="E26" s="11" t="s">
        <v>102</v>
      </c>
    </row>
    <row r="27" spans="1:8" x14ac:dyDescent="0.25">
      <c r="A27" s="11" t="s">
        <v>93</v>
      </c>
      <c r="E27" s="11" t="s">
        <v>93</v>
      </c>
    </row>
    <row r="28" spans="1:8" x14ac:dyDescent="0.25">
      <c r="A28" s="11" t="s">
        <v>103</v>
      </c>
      <c r="E28" s="11" t="s">
        <v>103</v>
      </c>
    </row>
    <row r="29" spans="1:8" x14ac:dyDescent="0.25">
      <c r="A29" s="11" t="s">
        <v>108</v>
      </c>
      <c r="E29" s="11" t="s">
        <v>108</v>
      </c>
    </row>
    <row r="30" spans="1:8" x14ac:dyDescent="0.25">
      <c r="A30" s="11" t="s">
        <v>90</v>
      </c>
      <c r="E30" s="11" t="s">
        <v>90</v>
      </c>
    </row>
    <row r="31" spans="1:8" x14ac:dyDescent="0.25">
      <c r="A31" s="6" t="s">
        <v>86</v>
      </c>
      <c r="E31" s="6" t="s">
        <v>86</v>
      </c>
    </row>
    <row r="32" spans="1:8" x14ac:dyDescent="0.25">
      <c r="A32" s="6" t="s">
        <v>101</v>
      </c>
      <c r="E32" s="6" t="s">
        <v>101</v>
      </c>
    </row>
    <row r="61" spans="1:1" ht="18" customHeight="1" x14ac:dyDescent="0.25"/>
    <row r="62" spans="1:1" ht="18" customHeight="1" x14ac:dyDescent="0.25">
      <c r="A62" s="11"/>
    </row>
    <row r="63" spans="1:1" ht="18" customHeight="1" x14ac:dyDescent="0.25"/>
    <row r="64" spans="1:1" ht="18" customHeight="1" x14ac:dyDescent="0.25"/>
    <row r="65" spans="1:8" ht="18" customHeight="1" x14ac:dyDescent="0.25">
      <c r="A65" s="11"/>
    </row>
    <row r="66" spans="1:8" ht="18" customHeight="1" x14ac:dyDescent="0.25"/>
    <row r="67" spans="1:8" ht="18" customHeight="1" x14ac:dyDescent="0.25"/>
    <row r="68" spans="1:8" ht="18" customHeight="1" x14ac:dyDescent="0.25"/>
    <row r="69" spans="1:8" ht="18" customHeight="1" x14ac:dyDescent="0.25"/>
    <row r="71" spans="1:8" ht="21" x14ac:dyDescent="0.35"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3" spans="1:8" x14ac:dyDescent="0.25">
      <c r="C73" s="6">
        <f>B71-C71</f>
        <v>0</v>
      </c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A25" workbookViewId="0">
      <selection activeCell="A5" sqref="A5:H32"/>
    </sheetView>
  </sheetViews>
  <sheetFormatPr baseColWidth="10" defaultRowHeight="15" x14ac:dyDescent="0.25"/>
  <cols>
    <col min="1" max="1" width="23.42578125" bestFit="1" customWidth="1"/>
    <col min="2" max="2" width="14" style="6" customWidth="1"/>
    <col min="3" max="3" width="15.42578125" style="6" customWidth="1"/>
    <col min="4" max="4" width="14.42578125" style="6" customWidth="1"/>
    <col min="5" max="5" width="21.42578125" bestFit="1" customWidth="1"/>
    <col min="6" max="6" width="14.42578125" style="6" customWidth="1"/>
    <col min="7" max="7" width="15.7109375" customWidth="1"/>
    <col min="8" max="8" width="15.28515625" customWidth="1"/>
  </cols>
  <sheetData>
    <row r="1" spans="1:8" x14ac:dyDescent="0.25">
      <c r="A1" s="6"/>
      <c r="E1" s="6"/>
      <c r="G1" s="6"/>
      <c r="H1" s="6"/>
    </row>
    <row r="2" spans="1:8" ht="31.5" x14ac:dyDescent="0.6">
      <c r="A2" s="8" t="s">
        <v>0</v>
      </c>
      <c r="B2" s="20">
        <v>43240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  <c r="G5" s="6"/>
      <c r="H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G6" s="6"/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G7" s="6"/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G8" s="6"/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  <c r="G9" s="6"/>
      <c r="H9" s="6"/>
    </row>
    <row r="10" spans="1:8" x14ac:dyDescent="0.25">
      <c r="A10" s="11" t="s">
        <v>92</v>
      </c>
      <c r="E10" s="11" t="s">
        <v>92</v>
      </c>
      <c r="G10" s="6"/>
      <c r="H10" s="6"/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G11" s="6"/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G12" s="6"/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G13" s="6"/>
      <c r="H13" s="6">
        <f>[3]TONTSEPT!$D$38</f>
        <v>0</v>
      </c>
    </row>
    <row r="14" spans="1:8" x14ac:dyDescent="0.25">
      <c r="A14" s="11" t="s">
        <v>97</v>
      </c>
      <c r="E14" s="11" t="s">
        <v>97</v>
      </c>
      <c r="G14" s="6"/>
      <c r="H14" s="6"/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</row>
    <row r="16" spans="1:8" x14ac:dyDescent="0.25">
      <c r="A16" s="6" t="s">
        <v>25</v>
      </c>
      <c r="E16" s="6" t="s">
        <v>25</v>
      </c>
      <c r="G16" s="6"/>
      <c r="H16" s="6"/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  <c r="H17" s="6"/>
    </row>
    <row r="18" spans="1:8" x14ac:dyDescent="0.25">
      <c r="A18" s="11" t="s">
        <v>96</v>
      </c>
      <c r="E18" s="11" t="s">
        <v>96</v>
      </c>
      <c r="G18" s="6"/>
      <c r="H18" s="6"/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  <c r="H19" s="6"/>
    </row>
    <row r="20" spans="1:8" x14ac:dyDescent="0.25">
      <c r="A20" s="6" t="s">
        <v>25</v>
      </c>
      <c r="C20" s="6">
        <f>[4]TONTSEPT!$C$43</f>
        <v>0</v>
      </c>
      <c r="E20" s="6" t="s">
        <v>25</v>
      </c>
      <c r="G20" s="6"/>
      <c r="H20" s="6"/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  <c r="H21" s="6"/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H22" s="6">
        <f>[7]MVTSEPT!$G$70</f>
        <v>0</v>
      </c>
    </row>
    <row r="23" spans="1:8" x14ac:dyDescent="0.25">
      <c r="A23" s="11" t="s">
        <v>91</v>
      </c>
      <c r="E23" s="11" t="s">
        <v>91</v>
      </c>
      <c r="G23" s="6"/>
      <c r="H23" s="6"/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  <c r="H24" s="6"/>
    </row>
    <row r="25" spans="1:8" x14ac:dyDescent="0.25">
      <c r="A25" s="11" t="s">
        <v>100</v>
      </c>
      <c r="E25" s="11" t="s">
        <v>100</v>
      </c>
      <c r="G25" s="6"/>
      <c r="H25" s="6"/>
    </row>
    <row r="26" spans="1:8" x14ac:dyDescent="0.25">
      <c r="A26" s="11" t="s">
        <v>102</v>
      </c>
      <c r="E26" s="11" t="s">
        <v>102</v>
      </c>
      <c r="G26" s="6"/>
      <c r="H26" s="6"/>
    </row>
    <row r="27" spans="1:8" x14ac:dyDescent="0.25">
      <c r="A27" s="11" t="s">
        <v>93</v>
      </c>
      <c r="E27" s="11" t="s">
        <v>93</v>
      </c>
      <c r="G27" s="6"/>
      <c r="H27" s="6"/>
    </row>
    <row r="28" spans="1:8" x14ac:dyDescent="0.25">
      <c r="A28" s="11" t="s">
        <v>103</v>
      </c>
      <c r="E28" s="11" t="s">
        <v>103</v>
      </c>
      <c r="G28" s="6"/>
      <c r="H28" s="6"/>
    </row>
    <row r="29" spans="1:8" x14ac:dyDescent="0.25">
      <c r="A29" s="11" t="s">
        <v>108</v>
      </c>
      <c r="E29" s="11" t="s">
        <v>108</v>
      </c>
      <c r="G29" s="6"/>
      <c r="H29" s="6"/>
    </row>
    <row r="30" spans="1:8" x14ac:dyDescent="0.25">
      <c r="A30" s="11" t="s">
        <v>90</v>
      </c>
      <c r="E30" s="11" t="s">
        <v>90</v>
      </c>
      <c r="G30" s="6"/>
      <c r="H30" s="6"/>
    </row>
    <row r="31" spans="1:8" x14ac:dyDescent="0.25">
      <c r="A31" s="6" t="s">
        <v>86</v>
      </c>
      <c r="E31" s="6" t="s">
        <v>86</v>
      </c>
      <c r="G31" s="6"/>
      <c r="H31" s="6"/>
    </row>
    <row r="32" spans="1:8" x14ac:dyDescent="0.25">
      <c r="A32" s="6" t="s">
        <v>101</v>
      </c>
      <c r="E32" s="6" t="s">
        <v>101</v>
      </c>
      <c r="G32" s="6"/>
      <c r="H32" s="6"/>
    </row>
    <row r="33" spans="1:8" x14ac:dyDescent="0.25">
      <c r="A33" s="6"/>
      <c r="E33" s="6"/>
      <c r="G33" s="6"/>
      <c r="H33" s="6"/>
    </row>
    <row r="34" spans="1:8" x14ac:dyDescent="0.25">
      <c r="A34" s="6"/>
      <c r="E34" s="6"/>
      <c r="G34" s="6"/>
      <c r="H34" s="6"/>
    </row>
    <row r="35" spans="1:8" x14ac:dyDescent="0.25">
      <c r="A35" s="6"/>
      <c r="E35" s="6"/>
      <c r="G35" s="6"/>
      <c r="H35" s="6"/>
    </row>
    <row r="36" spans="1:8" x14ac:dyDescent="0.25">
      <c r="A36" s="6"/>
      <c r="E36" s="6"/>
      <c r="G36" s="6"/>
      <c r="H36" s="6"/>
    </row>
    <row r="37" spans="1:8" x14ac:dyDescent="0.25">
      <c r="A37" s="6"/>
      <c r="E37" s="6"/>
      <c r="G37" s="6"/>
      <c r="H37" s="6"/>
    </row>
    <row r="38" spans="1:8" x14ac:dyDescent="0.25">
      <c r="A38" s="6"/>
      <c r="E38" s="6"/>
      <c r="G38" s="6"/>
      <c r="H38" s="6"/>
    </row>
    <row r="39" spans="1:8" x14ac:dyDescent="0.25">
      <c r="A39" s="6"/>
      <c r="E39" s="6"/>
      <c r="G39" s="6"/>
      <c r="H39" s="6"/>
    </row>
    <row r="40" spans="1:8" x14ac:dyDescent="0.25">
      <c r="A40" s="6"/>
      <c r="E40" s="6"/>
      <c r="G40" s="6"/>
      <c r="H40" s="6"/>
    </row>
    <row r="41" spans="1:8" x14ac:dyDescent="0.25">
      <c r="A41" s="6"/>
      <c r="E41" s="6"/>
      <c r="G41" s="6"/>
      <c r="H41" s="6"/>
    </row>
    <row r="42" spans="1:8" x14ac:dyDescent="0.25">
      <c r="A42" s="6"/>
      <c r="E42" s="6"/>
      <c r="G42" s="6"/>
      <c r="H42" s="6"/>
    </row>
    <row r="43" spans="1:8" x14ac:dyDescent="0.25">
      <c r="A43" s="6"/>
      <c r="E43" s="6"/>
      <c r="G43" s="6"/>
      <c r="H43" s="6"/>
    </row>
    <row r="44" spans="1:8" x14ac:dyDescent="0.25">
      <c r="A44" s="6"/>
      <c r="E44" s="6"/>
      <c r="G44" s="6"/>
      <c r="H44" s="6"/>
    </row>
    <row r="45" spans="1:8" x14ac:dyDescent="0.25">
      <c r="A45" s="6"/>
      <c r="E45" s="6"/>
      <c r="G45" s="6"/>
      <c r="H45" s="6"/>
    </row>
    <row r="46" spans="1:8" x14ac:dyDescent="0.25">
      <c r="A46" s="6"/>
      <c r="E46" s="6"/>
      <c r="G46" s="6"/>
      <c r="H46" s="6"/>
    </row>
    <row r="47" spans="1:8" x14ac:dyDescent="0.25">
      <c r="A47" s="6"/>
      <c r="E47" s="6"/>
      <c r="G47" s="6"/>
      <c r="H47" s="6"/>
    </row>
    <row r="48" spans="1:8" x14ac:dyDescent="0.25">
      <c r="A48" s="6"/>
      <c r="E48" s="6"/>
      <c r="G48" s="6"/>
      <c r="H48" s="6"/>
    </row>
    <row r="49" spans="1:8" x14ac:dyDescent="0.25">
      <c r="A49" s="6"/>
      <c r="E49" s="6"/>
      <c r="G49" s="6"/>
      <c r="H49" s="6"/>
    </row>
    <row r="50" spans="1:8" x14ac:dyDescent="0.25">
      <c r="A50" s="6"/>
      <c r="E50" s="6"/>
      <c r="G50" s="6"/>
      <c r="H50" s="6"/>
    </row>
    <row r="51" spans="1:8" x14ac:dyDescent="0.25">
      <c r="A51" s="6"/>
      <c r="E51" s="6"/>
      <c r="G51" s="6"/>
      <c r="H51" s="6"/>
    </row>
    <row r="52" spans="1:8" x14ac:dyDescent="0.25">
      <c r="A52" s="6"/>
      <c r="E52" s="6"/>
      <c r="G52" s="6"/>
      <c r="H52" s="6"/>
    </row>
    <row r="53" spans="1:8" x14ac:dyDescent="0.25">
      <c r="A53" s="6"/>
      <c r="E53" s="6"/>
      <c r="G53" s="6"/>
      <c r="H53" s="6"/>
    </row>
    <row r="54" spans="1:8" x14ac:dyDescent="0.25">
      <c r="A54" s="6"/>
      <c r="E54" s="6"/>
      <c r="G54" s="6"/>
      <c r="H54" s="6"/>
    </row>
    <row r="55" spans="1:8" x14ac:dyDescent="0.25">
      <c r="A55" s="6"/>
      <c r="E55" s="6"/>
      <c r="G55" s="6"/>
      <c r="H55" s="6"/>
    </row>
    <row r="56" spans="1:8" x14ac:dyDescent="0.25">
      <c r="A56" s="6"/>
      <c r="E56" s="6"/>
      <c r="G56" s="6"/>
      <c r="H56" s="6"/>
    </row>
    <row r="57" spans="1:8" x14ac:dyDescent="0.25">
      <c r="A57" s="6"/>
      <c r="E57" s="6"/>
      <c r="G57" s="6"/>
      <c r="H57" s="6"/>
    </row>
    <row r="58" spans="1:8" x14ac:dyDescent="0.25">
      <c r="A58" s="6"/>
      <c r="E58" s="6"/>
      <c r="G58" s="6"/>
      <c r="H58" s="6"/>
    </row>
    <row r="59" spans="1:8" x14ac:dyDescent="0.25">
      <c r="A59" s="6"/>
      <c r="E59" s="6"/>
      <c r="G59" s="6"/>
      <c r="H59" s="6"/>
    </row>
    <row r="60" spans="1:8" x14ac:dyDescent="0.25">
      <c r="A60" s="6"/>
      <c r="E60" s="6"/>
      <c r="G60" s="6"/>
      <c r="H60" s="6"/>
    </row>
    <row r="61" spans="1:8" ht="18" customHeight="1" x14ac:dyDescent="0.25">
      <c r="A61" s="6"/>
      <c r="E61" s="6"/>
      <c r="G61" s="6"/>
      <c r="H61" s="6"/>
    </row>
    <row r="62" spans="1:8" ht="18" customHeight="1" x14ac:dyDescent="0.25">
      <c r="A62" s="11"/>
      <c r="E62" s="6"/>
      <c r="G62" s="6"/>
      <c r="H62" s="6"/>
    </row>
    <row r="63" spans="1:8" ht="18" customHeight="1" x14ac:dyDescent="0.25">
      <c r="A63" s="6"/>
      <c r="E63" s="6"/>
      <c r="G63" s="6"/>
      <c r="H63" s="6"/>
    </row>
    <row r="64" spans="1:8" ht="18" customHeight="1" x14ac:dyDescent="0.25">
      <c r="A64" s="6"/>
      <c r="E64" s="6"/>
      <c r="G64" s="6"/>
      <c r="H64" s="6"/>
    </row>
    <row r="65" spans="1:8" ht="18" customHeight="1" x14ac:dyDescent="0.25">
      <c r="A65" s="11"/>
      <c r="E65" s="6"/>
      <c r="G65" s="6"/>
      <c r="H65" s="6"/>
    </row>
    <row r="66" spans="1:8" ht="18" customHeight="1" x14ac:dyDescent="0.25">
      <c r="A66" s="6"/>
      <c r="E66" s="6"/>
      <c r="G66" s="6"/>
      <c r="H66" s="6"/>
    </row>
    <row r="67" spans="1:8" ht="18" customHeight="1" x14ac:dyDescent="0.25">
      <c r="A67" s="6"/>
      <c r="E67" s="6"/>
      <c r="G67" s="6"/>
      <c r="H67" s="6"/>
    </row>
    <row r="68" spans="1:8" ht="18" customHeight="1" x14ac:dyDescent="0.25">
      <c r="A68" s="6"/>
      <c r="E68" s="6"/>
      <c r="G68" s="6"/>
      <c r="H68" s="6"/>
    </row>
    <row r="69" spans="1:8" ht="18" customHeight="1" x14ac:dyDescent="0.25">
      <c r="A69" s="6"/>
      <c r="E69" s="6"/>
      <c r="G69" s="6"/>
      <c r="H69" s="6"/>
    </row>
    <row r="70" spans="1:8" x14ac:dyDescent="0.25">
      <c r="A70" s="6"/>
      <c r="E70" s="6"/>
      <c r="G70" s="6"/>
      <c r="H70" s="6"/>
    </row>
    <row r="71" spans="1:8" ht="21" x14ac:dyDescent="0.35">
      <c r="A71" s="6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2" spans="1:8" x14ac:dyDescent="0.25">
      <c r="A72" s="6"/>
      <c r="E72" s="6"/>
      <c r="G72" s="6"/>
      <c r="H72" s="6"/>
    </row>
    <row r="73" spans="1:8" x14ac:dyDescent="0.25">
      <c r="A73" s="6"/>
      <c r="C73" s="6">
        <f>B71-C71</f>
        <v>0</v>
      </c>
      <c r="E73" s="6"/>
      <c r="G73" s="6"/>
      <c r="H73" s="6"/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A28" workbookViewId="0">
      <selection activeCell="A5" sqref="A5:H32"/>
    </sheetView>
  </sheetViews>
  <sheetFormatPr baseColWidth="10" defaultRowHeight="15" x14ac:dyDescent="0.25"/>
  <cols>
    <col min="1" max="1" width="23.42578125" bestFit="1" customWidth="1"/>
    <col min="2" max="2" width="14" style="6" customWidth="1"/>
    <col min="3" max="3" width="15.42578125" style="6" customWidth="1"/>
    <col min="4" max="4" width="14.42578125" style="6" customWidth="1"/>
    <col min="5" max="5" width="21.42578125" bestFit="1" customWidth="1"/>
    <col min="6" max="6" width="14.42578125" style="6" customWidth="1"/>
    <col min="7" max="7" width="15.7109375" customWidth="1"/>
    <col min="8" max="8" width="15.28515625" customWidth="1"/>
  </cols>
  <sheetData>
    <row r="1" spans="1:8" x14ac:dyDescent="0.25">
      <c r="A1" s="6"/>
      <c r="E1" s="6"/>
      <c r="G1" s="6"/>
      <c r="H1" s="6"/>
    </row>
    <row r="2" spans="1:8" ht="31.5" x14ac:dyDescent="0.6">
      <c r="A2" s="8" t="s">
        <v>0</v>
      </c>
      <c r="B2" s="20" t="s">
        <v>106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  <c r="G5" s="6"/>
      <c r="H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G6" s="6"/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G7" s="6"/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G8" s="6"/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  <c r="G9" s="6"/>
      <c r="H9" s="6"/>
    </row>
    <row r="10" spans="1:8" x14ac:dyDescent="0.25">
      <c r="A10" s="11" t="s">
        <v>92</v>
      </c>
      <c r="E10" s="11" t="s">
        <v>92</v>
      </c>
      <c r="G10" s="6"/>
      <c r="H10" s="6"/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G11" s="6"/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G12" s="6"/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G13" s="6"/>
      <c r="H13" s="6">
        <f>[3]TONTSEPT!$D$38</f>
        <v>0</v>
      </c>
    </row>
    <row r="14" spans="1:8" x14ac:dyDescent="0.25">
      <c r="A14" s="11" t="s">
        <v>97</v>
      </c>
      <c r="E14" s="11" t="s">
        <v>97</v>
      </c>
      <c r="G14" s="6"/>
      <c r="H14" s="6"/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</row>
    <row r="16" spans="1:8" x14ac:dyDescent="0.25">
      <c r="A16" s="6" t="s">
        <v>25</v>
      </c>
      <c r="E16" s="6" t="s">
        <v>25</v>
      </c>
      <c r="G16" s="6"/>
      <c r="H16" s="6"/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  <c r="H17" s="6"/>
    </row>
    <row r="18" spans="1:8" x14ac:dyDescent="0.25">
      <c r="A18" s="11" t="s">
        <v>96</v>
      </c>
      <c r="E18" s="11" t="s">
        <v>96</v>
      </c>
      <c r="G18" s="6"/>
      <c r="H18" s="6"/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  <c r="H19" s="6"/>
    </row>
    <row r="20" spans="1:8" x14ac:dyDescent="0.25">
      <c r="A20" s="6" t="s">
        <v>25</v>
      </c>
      <c r="C20" s="6">
        <f>[4]TONTSEPT!$C$43</f>
        <v>0</v>
      </c>
      <c r="E20" s="6" t="s">
        <v>25</v>
      </c>
      <c r="G20" s="6"/>
      <c r="H20" s="6"/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  <c r="H21" s="6"/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H22" s="6">
        <f>[7]MVTSEPT!$G$70</f>
        <v>0</v>
      </c>
    </row>
    <row r="23" spans="1:8" x14ac:dyDescent="0.25">
      <c r="A23" s="11" t="s">
        <v>91</v>
      </c>
      <c r="E23" s="11" t="s">
        <v>91</v>
      </c>
      <c r="G23" s="6"/>
      <c r="H23" s="6"/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  <c r="H24" s="6"/>
    </row>
    <row r="25" spans="1:8" x14ac:dyDescent="0.25">
      <c r="A25" s="11" t="s">
        <v>100</v>
      </c>
      <c r="E25" s="11" t="s">
        <v>100</v>
      </c>
      <c r="G25" s="6"/>
      <c r="H25" s="6"/>
    </row>
    <row r="26" spans="1:8" x14ac:dyDescent="0.25">
      <c r="A26" s="11" t="s">
        <v>102</v>
      </c>
      <c r="E26" s="11" t="s">
        <v>102</v>
      </c>
      <c r="G26" s="6"/>
      <c r="H26" s="6"/>
    </row>
    <row r="27" spans="1:8" x14ac:dyDescent="0.25">
      <c r="A27" s="11" t="s">
        <v>93</v>
      </c>
      <c r="E27" s="11" t="s">
        <v>93</v>
      </c>
      <c r="G27" s="6"/>
      <c r="H27" s="6"/>
    </row>
    <row r="28" spans="1:8" x14ac:dyDescent="0.25">
      <c r="A28" s="11" t="s">
        <v>103</v>
      </c>
      <c r="E28" s="11" t="s">
        <v>103</v>
      </c>
      <c r="G28" s="6"/>
      <c r="H28" s="6"/>
    </row>
    <row r="29" spans="1:8" x14ac:dyDescent="0.25">
      <c r="A29" s="11" t="s">
        <v>108</v>
      </c>
      <c r="E29" s="11" t="s">
        <v>108</v>
      </c>
      <c r="G29" s="6"/>
      <c r="H29" s="6"/>
    </row>
    <row r="30" spans="1:8" x14ac:dyDescent="0.25">
      <c r="A30" s="11" t="s">
        <v>90</v>
      </c>
      <c r="E30" s="11" t="s">
        <v>90</v>
      </c>
      <c r="G30" s="6"/>
      <c r="H30" s="6"/>
    </row>
    <row r="31" spans="1:8" x14ac:dyDescent="0.25">
      <c r="A31" s="6" t="s">
        <v>86</v>
      </c>
      <c r="E31" s="6" t="s">
        <v>86</v>
      </c>
      <c r="G31" s="6"/>
      <c r="H31" s="6"/>
    </row>
    <row r="32" spans="1:8" x14ac:dyDescent="0.25">
      <c r="A32" s="6" t="s">
        <v>101</v>
      </c>
      <c r="E32" s="6" t="s">
        <v>101</v>
      </c>
      <c r="G32" s="6"/>
      <c r="H32" s="6"/>
    </row>
    <row r="33" spans="1:8" x14ac:dyDescent="0.25">
      <c r="A33" s="6"/>
      <c r="E33" s="6"/>
      <c r="G33" s="6"/>
      <c r="H33" s="6"/>
    </row>
    <row r="34" spans="1:8" x14ac:dyDescent="0.25">
      <c r="A34" s="6"/>
      <c r="E34" s="6"/>
      <c r="G34" s="6"/>
      <c r="H34" s="6"/>
    </row>
    <row r="35" spans="1:8" x14ac:dyDescent="0.25">
      <c r="A35" s="6"/>
      <c r="E35" s="6"/>
      <c r="G35" s="6"/>
      <c r="H35" s="6"/>
    </row>
    <row r="36" spans="1:8" x14ac:dyDescent="0.25">
      <c r="A36" s="6"/>
      <c r="E36" s="6"/>
      <c r="G36" s="6"/>
      <c r="H36" s="6"/>
    </row>
    <row r="37" spans="1:8" x14ac:dyDescent="0.25">
      <c r="A37" s="6"/>
      <c r="E37" s="6"/>
      <c r="G37" s="6"/>
      <c r="H37" s="6"/>
    </row>
    <row r="38" spans="1:8" x14ac:dyDescent="0.25">
      <c r="A38" s="6"/>
      <c r="E38" s="6"/>
      <c r="G38" s="6"/>
      <c r="H38" s="6"/>
    </row>
    <row r="39" spans="1:8" x14ac:dyDescent="0.25">
      <c r="A39" s="6"/>
      <c r="E39" s="6"/>
      <c r="G39" s="6"/>
      <c r="H39" s="6"/>
    </row>
    <row r="40" spans="1:8" x14ac:dyDescent="0.25">
      <c r="A40" s="6"/>
      <c r="E40" s="6"/>
      <c r="G40" s="6"/>
      <c r="H40" s="6"/>
    </row>
    <row r="41" spans="1:8" x14ac:dyDescent="0.25">
      <c r="A41" s="6"/>
      <c r="E41" s="6"/>
      <c r="G41" s="6"/>
      <c r="H41" s="6"/>
    </row>
    <row r="42" spans="1:8" x14ac:dyDescent="0.25">
      <c r="A42" s="6"/>
      <c r="E42" s="6"/>
      <c r="G42" s="6"/>
      <c r="H42" s="6"/>
    </row>
    <row r="43" spans="1:8" x14ac:dyDescent="0.25">
      <c r="A43" s="6"/>
      <c r="E43" s="6"/>
      <c r="G43" s="6"/>
      <c r="H43" s="6"/>
    </row>
    <row r="44" spans="1:8" x14ac:dyDescent="0.25">
      <c r="A44" s="6"/>
      <c r="E44" s="6"/>
      <c r="G44" s="6"/>
      <c r="H44" s="6"/>
    </row>
    <row r="45" spans="1:8" x14ac:dyDescent="0.25">
      <c r="A45" s="6"/>
      <c r="E45" s="6"/>
      <c r="G45" s="6"/>
      <c r="H45" s="6"/>
    </row>
    <row r="46" spans="1:8" x14ac:dyDescent="0.25">
      <c r="A46" s="6"/>
      <c r="E46" s="6"/>
      <c r="G46" s="6"/>
      <c r="H46" s="6"/>
    </row>
    <row r="47" spans="1:8" x14ac:dyDescent="0.25">
      <c r="A47" s="6"/>
      <c r="E47" s="6"/>
      <c r="G47" s="6"/>
      <c r="H47" s="6"/>
    </row>
    <row r="48" spans="1:8" x14ac:dyDescent="0.25">
      <c r="A48" s="6"/>
      <c r="E48" s="6"/>
      <c r="G48" s="6"/>
      <c r="H48" s="6"/>
    </row>
    <row r="49" spans="1:8" x14ac:dyDescent="0.25">
      <c r="A49" s="6"/>
      <c r="E49" s="6"/>
      <c r="G49" s="6"/>
      <c r="H49" s="6"/>
    </row>
    <row r="50" spans="1:8" x14ac:dyDescent="0.25">
      <c r="A50" s="6"/>
      <c r="E50" s="6"/>
      <c r="G50" s="6"/>
      <c r="H50" s="6"/>
    </row>
    <row r="51" spans="1:8" x14ac:dyDescent="0.25">
      <c r="A51" s="6"/>
      <c r="E51" s="6"/>
      <c r="G51" s="6"/>
      <c r="H51" s="6"/>
    </row>
    <row r="52" spans="1:8" x14ac:dyDescent="0.25">
      <c r="A52" s="6"/>
      <c r="E52" s="6"/>
      <c r="G52" s="6"/>
      <c r="H52" s="6"/>
    </row>
    <row r="53" spans="1:8" x14ac:dyDescent="0.25">
      <c r="A53" s="6"/>
      <c r="E53" s="6"/>
      <c r="G53" s="6"/>
      <c r="H53" s="6"/>
    </row>
    <row r="54" spans="1:8" x14ac:dyDescent="0.25">
      <c r="A54" s="6"/>
      <c r="E54" s="6"/>
      <c r="G54" s="6"/>
      <c r="H54" s="6"/>
    </row>
    <row r="55" spans="1:8" x14ac:dyDescent="0.25">
      <c r="A55" s="6"/>
      <c r="E55" s="6"/>
      <c r="G55" s="6"/>
      <c r="H55" s="6"/>
    </row>
    <row r="56" spans="1:8" x14ac:dyDescent="0.25">
      <c r="A56" s="6"/>
      <c r="E56" s="6"/>
      <c r="G56" s="6"/>
      <c r="H56" s="6"/>
    </row>
    <row r="57" spans="1:8" x14ac:dyDescent="0.25">
      <c r="A57" s="6"/>
      <c r="E57" s="6"/>
      <c r="G57" s="6"/>
      <c r="H57" s="6"/>
    </row>
    <row r="58" spans="1:8" x14ac:dyDescent="0.25">
      <c r="A58" s="6"/>
      <c r="E58" s="6"/>
      <c r="G58" s="6"/>
      <c r="H58" s="6"/>
    </row>
    <row r="59" spans="1:8" x14ac:dyDescent="0.25">
      <c r="A59" s="6"/>
      <c r="E59" s="6"/>
      <c r="G59" s="6"/>
      <c r="H59" s="6"/>
    </row>
    <row r="60" spans="1:8" x14ac:dyDescent="0.25">
      <c r="A60" s="6"/>
      <c r="E60" s="6"/>
      <c r="G60" s="6"/>
      <c r="H60" s="6"/>
    </row>
    <row r="61" spans="1:8" ht="18" customHeight="1" x14ac:dyDescent="0.25">
      <c r="A61" s="6"/>
      <c r="E61" s="6"/>
      <c r="G61" s="6"/>
      <c r="H61" s="6"/>
    </row>
    <row r="62" spans="1:8" ht="18" customHeight="1" x14ac:dyDescent="0.25">
      <c r="A62" s="11"/>
      <c r="E62" s="6"/>
      <c r="G62" s="6"/>
      <c r="H62" s="6"/>
    </row>
    <row r="63" spans="1:8" ht="18" customHeight="1" x14ac:dyDescent="0.25">
      <c r="A63" s="6"/>
      <c r="E63" s="6"/>
      <c r="G63" s="6"/>
      <c r="H63" s="6"/>
    </row>
    <row r="64" spans="1:8" ht="18" customHeight="1" x14ac:dyDescent="0.25">
      <c r="A64" s="6"/>
      <c r="E64" s="6"/>
      <c r="G64" s="6"/>
      <c r="H64" s="6"/>
    </row>
    <row r="65" spans="1:8" ht="18" customHeight="1" x14ac:dyDescent="0.25">
      <c r="A65" s="11"/>
      <c r="E65" s="6"/>
      <c r="G65" s="6"/>
      <c r="H65" s="6"/>
    </row>
    <row r="66" spans="1:8" ht="18" customHeight="1" x14ac:dyDescent="0.25">
      <c r="A66" s="6"/>
      <c r="E66" s="6"/>
      <c r="G66" s="6"/>
      <c r="H66" s="6"/>
    </row>
    <row r="67" spans="1:8" ht="18" customHeight="1" x14ac:dyDescent="0.25">
      <c r="A67" s="6"/>
      <c r="E67" s="6"/>
      <c r="G67" s="6"/>
      <c r="H67" s="6"/>
    </row>
    <row r="68" spans="1:8" ht="18" customHeight="1" x14ac:dyDescent="0.25">
      <c r="A68" s="6"/>
      <c r="E68" s="6"/>
      <c r="G68" s="6"/>
      <c r="H68" s="6"/>
    </row>
    <row r="69" spans="1:8" ht="18" customHeight="1" x14ac:dyDescent="0.25">
      <c r="A69" s="6"/>
      <c r="E69" s="6"/>
      <c r="G69" s="6"/>
      <c r="H69" s="6"/>
    </row>
    <row r="70" spans="1:8" x14ac:dyDescent="0.25">
      <c r="A70" s="6"/>
      <c r="E70" s="6"/>
      <c r="G70" s="6"/>
      <c r="H70" s="6"/>
    </row>
    <row r="71" spans="1:8" ht="21" x14ac:dyDescent="0.35">
      <c r="A71" s="6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2" spans="1:8" x14ac:dyDescent="0.25">
      <c r="A72" s="6"/>
      <c r="E72" s="6"/>
      <c r="G72" s="6"/>
      <c r="H72" s="6"/>
    </row>
    <row r="73" spans="1:8" x14ac:dyDescent="0.25">
      <c r="A73" s="6"/>
      <c r="C73" s="6">
        <f>B71-C71</f>
        <v>0</v>
      </c>
      <c r="E73" s="6"/>
      <c r="G73" s="6"/>
      <c r="H73" s="6"/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3"/>
  <sheetViews>
    <sheetView topLeftCell="A24" workbookViewId="0">
      <selection activeCell="A33" sqref="A33:XFD65"/>
    </sheetView>
  </sheetViews>
  <sheetFormatPr baseColWidth="10" defaultRowHeight="15" x14ac:dyDescent="0.25"/>
  <cols>
    <col min="1" max="1" width="23.85546875" bestFit="1" customWidth="1"/>
    <col min="2" max="3" width="13.7109375" style="6" bestFit="1" customWidth="1"/>
    <col min="4" max="4" width="14.42578125" style="6" customWidth="1"/>
    <col min="5" max="5" width="36.85546875" bestFit="1" customWidth="1"/>
    <col min="6" max="6" width="14.42578125" style="6" customWidth="1"/>
    <col min="7" max="8" width="13.7109375" style="6" bestFit="1" customWidth="1"/>
  </cols>
  <sheetData>
    <row r="2" spans="1:8" ht="31.5" x14ac:dyDescent="0.6">
      <c r="A2" s="5" t="s">
        <v>0</v>
      </c>
      <c r="B2" s="20">
        <v>43296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18"/>
      <c r="C3" s="18"/>
      <c r="D3" s="12"/>
      <c r="E3" s="19" t="s">
        <v>61</v>
      </c>
      <c r="F3" s="19"/>
      <c r="G3" s="18"/>
      <c r="H3" s="18"/>
    </row>
    <row r="4" spans="1:8" ht="37.5" x14ac:dyDescent="0.3">
      <c r="A4" s="1" t="s">
        <v>1</v>
      </c>
      <c r="B4" s="2" t="s">
        <v>3</v>
      </c>
      <c r="C4" s="2" t="s">
        <v>4</v>
      </c>
      <c r="D4" s="14" t="s">
        <v>107</v>
      </c>
      <c r="E4" s="1" t="s">
        <v>1</v>
      </c>
      <c r="F4" s="14" t="s">
        <v>107</v>
      </c>
      <c r="G4" s="2" t="s">
        <v>4</v>
      </c>
      <c r="H4" s="2" t="s">
        <v>3</v>
      </c>
    </row>
    <row r="5" spans="1:8" x14ac:dyDescent="0.25">
      <c r="A5" s="6"/>
      <c r="E5" s="6"/>
    </row>
    <row r="6" spans="1:8" x14ac:dyDescent="0.25">
      <c r="A6" s="6" t="s">
        <v>99</v>
      </c>
      <c r="B6" s="6">
        <f>[5]TONTSEPT!$G$76</f>
        <v>0</v>
      </c>
      <c r="E6" s="6" t="s">
        <v>99</v>
      </c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  <c r="E9" s="6"/>
    </row>
    <row r="10" spans="1:8" x14ac:dyDescent="0.25">
      <c r="A10" s="11" t="s">
        <v>92</v>
      </c>
      <c r="E10" s="11" t="s">
        <v>92</v>
      </c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H13" s="6">
        <f>[3]TONTSEPT!$D$38</f>
        <v>0</v>
      </c>
    </row>
    <row r="14" spans="1:8" x14ac:dyDescent="0.25">
      <c r="A14" s="11" t="s">
        <v>97</v>
      </c>
      <c r="E14" s="11" t="s">
        <v>97</v>
      </c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  <c r="H15"/>
    </row>
    <row r="16" spans="1:8" x14ac:dyDescent="0.25">
      <c r="A16" s="6" t="s">
        <v>25</v>
      </c>
      <c r="E16" s="6" t="s">
        <v>25</v>
      </c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</row>
    <row r="18" spans="1:8" x14ac:dyDescent="0.25">
      <c r="A18" s="11" t="s">
        <v>96</v>
      </c>
      <c r="E18" s="11" t="s">
        <v>96</v>
      </c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</row>
    <row r="20" spans="1:8" x14ac:dyDescent="0.25">
      <c r="A20" s="6" t="s">
        <v>25</v>
      </c>
      <c r="C20" s="6">
        <f>[4]TONTSEPT!$C$43</f>
        <v>0</v>
      </c>
      <c r="E20" s="6" t="s">
        <v>25</v>
      </c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G22"/>
      <c r="H22" s="6">
        <f>[7]MVTSEPT!$G$70</f>
        <v>0</v>
      </c>
    </row>
    <row r="23" spans="1:8" x14ac:dyDescent="0.25">
      <c r="A23" s="11" t="s">
        <v>91</v>
      </c>
      <c r="E23" s="11" t="s">
        <v>91</v>
      </c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</row>
    <row r="25" spans="1:8" x14ac:dyDescent="0.25">
      <c r="A25" s="11" t="s">
        <v>100</v>
      </c>
      <c r="E25" s="11" t="s">
        <v>100</v>
      </c>
    </row>
    <row r="26" spans="1:8" x14ac:dyDescent="0.25">
      <c r="A26" s="11" t="s">
        <v>102</v>
      </c>
      <c r="E26" s="11" t="s">
        <v>102</v>
      </c>
    </row>
    <row r="27" spans="1:8" x14ac:dyDescent="0.25">
      <c r="A27" s="11" t="s">
        <v>93</v>
      </c>
      <c r="E27" s="11" t="s">
        <v>93</v>
      </c>
    </row>
    <row r="28" spans="1:8" x14ac:dyDescent="0.25">
      <c r="A28" s="11" t="s">
        <v>103</v>
      </c>
      <c r="E28" s="11" t="s">
        <v>103</v>
      </c>
    </row>
    <row r="29" spans="1:8" x14ac:dyDescent="0.25">
      <c r="A29" s="11" t="s">
        <v>108</v>
      </c>
      <c r="E29" s="11" t="s">
        <v>108</v>
      </c>
    </row>
    <row r="30" spans="1:8" x14ac:dyDescent="0.25">
      <c r="A30" s="11" t="s">
        <v>90</v>
      </c>
      <c r="E30" s="11" t="s">
        <v>90</v>
      </c>
    </row>
    <row r="31" spans="1:8" x14ac:dyDescent="0.25">
      <c r="A31" s="6" t="s">
        <v>86</v>
      </c>
      <c r="E31" s="6" t="s">
        <v>86</v>
      </c>
    </row>
    <row r="32" spans="1:8" x14ac:dyDescent="0.25">
      <c r="A32" s="6" t="s">
        <v>101</v>
      </c>
      <c r="E32" s="6" t="s">
        <v>101</v>
      </c>
    </row>
    <row r="35" spans="1:8" x14ac:dyDescent="0.25">
      <c r="A35" s="10"/>
    </row>
    <row r="40" spans="1:8" x14ac:dyDescent="0.25">
      <c r="A40" s="10"/>
    </row>
    <row r="41" spans="1:8" x14ac:dyDescent="0.25">
      <c r="G41"/>
      <c r="H41"/>
    </row>
    <row r="42" spans="1:8" x14ac:dyDescent="0.25">
      <c r="G42"/>
      <c r="H42"/>
    </row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spans="1:8" ht="18" customHeight="1" x14ac:dyDescent="0.25"/>
    <row r="66" spans="1:8" ht="18" customHeight="1" x14ac:dyDescent="0.25"/>
    <row r="67" spans="1:8" ht="18" customHeight="1" x14ac:dyDescent="0.25"/>
    <row r="68" spans="1:8" ht="18" customHeight="1" x14ac:dyDescent="0.25"/>
    <row r="69" spans="1:8" ht="18" customHeight="1" x14ac:dyDescent="0.25"/>
    <row r="71" spans="1:8" ht="21" x14ac:dyDescent="0.35">
      <c r="A71" s="8"/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3" spans="1:8" x14ac:dyDescent="0.25">
      <c r="C73" s="6">
        <f>B71-C71</f>
        <v>0</v>
      </c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3"/>
  <sheetViews>
    <sheetView topLeftCell="A31" workbookViewId="0">
      <selection activeCell="A5" sqref="A5:H32"/>
    </sheetView>
  </sheetViews>
  <sheetFormatPr baseColWidth="10" defaultRowHeight="15" x14ac:dyDescent="0.25"/>
  <cols>
    <col min="1" max="1" width="34.7109375" style="6" bestFit="1" customWidth="1"/>
    <col min="2" max="2" width="13.7109375" style="6" bestFit="1" customWidth="1"/>
    <col min="3" max="4" width="14.42578125" style="6" customWidth="1"/>
    <col min="5" max="5" width="30.28515625" style="6" bestFit="1" customWidth="1"/>
    <col min="6" max="6" width="14.42578125" style="6" customWidth="1"/>
    <col min="7" max="8" width="13.7109375" style="6" bestFit="1" customWidth="1"/>
  </cols>
  <sheetData>
    <row r="2" spans="1:8" ht="31.5" x14ac:dyDescent="0.6">
      <c r="A2" s="8" t="s">
        <v>0</v>
      </c>
      <c r="B2" s="20" t="s">
        <v>105</v>
      </c>
      <c r="C2" s="20"/>
      <c r="D2" s="20"/>
      <c r="E2" s="20"/>
      <c r="F2" s="20"/>
      <c r="G2" s="20"/>
      <c r="H2" s="20"/>
    </row>
    <row r="3" spans="1:8" ht="21" x14ac:dyDescent="0.35">
      <c r="A3" s="19" t="s">
        <v>24</v>
      </c>
      <c r="B3" s="21"/>
      <c r="C3" s="21"/>
      <c r="D3" s="13"/>
      <c r="E3" s="19" t="s">
        <v>61</v>
      </c>
      <c r="F3" s="19"/>
      <c r="G3" s="21"/>
      <c r="H3" s="21"/>
    </row>
    <row r="4" spans="1:8" ht="37.5" x14ac:dyDescent="0.3">
      <c r="A4" s="2" t="s">
        <v>1</v>
      </c>
      <c r="B4" s="2" t="s">
        <v>3</v>
      </c>
      <c r="C4" s="2" t="s">
        <v>4</v>
      </c>
      <c r="D4" s="14" t="s">
        <v>107</v>
      </c>
      <c r="E4" s="2" t="s">
        <v>1</v>
      </c>
      <c r="F4" s="14" t="s">
        <v>107</v>
      </c>
      <c r="G4" s="2" t="s">
        <v>4</v>
      </c>
      <c r="H4" s="2" t="s">
        <v>3</v>
      </c>
    </row>
    <row r="6" spans="1:8" x14ac:dyDescent="0.25">
      <c r="A6" s="6" t="s">
        <v>99</v>
      </c>
      <c r="B6" s="6">
        <f>[5]TONTSEPT!$G$76</f>
        <v>0</v>
      </c>
      <c r="E6" s="6" t="s">
        <v>99</v>
      </c>
      <c r="H6" s="6">
        <f>[5]TONTSEPT!$G$77</f>
        <v>0</v>
      </c>
    </row>
    <row r="7" spans="1:8" x14ac:dyDescent="0.25">
      <c r="A7" s="6" t="s">
        <v>25</v>
      </c>
      <c r="B7" s="6">
        <f>[4]TONTSEPT!$C$36</f>
        <v>0</v>
      </c>
      <c r="E7" s="6" t="s">
        <v>25</v>
      </c>
      <c r="H7" s="6">
        <f>[4]TONTSEPT!$C$37</f>
        <v>0</v>
      </c>
    </row>
    <row r="8" spans="1:8" x14ac:dyDescent="0.25">
      <c r="A8" s="6" t="s">
        <v>26</v>
      </c>
      <c r="B8" s="6">
        <f>[3]TONTSEPT!$C$37</f>
        <v>0</v>
      </c>
      <c r="E8" s="6" t="s">
        <v>26</v>
      </c>
      <c r="H8" s="6">
        <f>[3]TONTSEPT!$C$38</f>
        <v>0</v>
      </c>
    </row>
    <row r="9" spans="1:8" x14ac:dyDescent="0.25">
      <c r="A9" s="6" t="s">
        <v>36</v>
      </c>
      <c r="B9" s="6">
        <f>[5]TONTSEPT!$F$58</f>
        <v>0</v>
      </c>
    </row>
    <row r="10" spans="1:8" x14ac:dyDescent="0.25">
      <c r="A10" s="11" t="s">
        <v>92</v>
      </c>
      <c r="E10" s="11" t="s">
        <v>92</v>
      </c>
    </row>
    <row r="11" spans="1:8" x14ac:dyDescent="0.25">
      <c r="A11" s="6" t="s">
        <v>99</v>
      </c>
      <c r="B11" s="6">
        <f>[5]TONTSEPT!$H$76</f>
        <v>0</v>
      </c>
      <c r="E11" s="6" t="s">
        <v>99</v>
      </c>
      <c r="H11" s="6">
        <f>[5]TONTSEPT!$H$77</f>
        <v>0</v>
      </c>
    </row>
    <row r="12" spans="1:8" x14ac:dyDescent="0.25">
      <c r="A12" s="6" t="s">
        <v>25</v>
      </c>
      <c r="B12" s="6">
        <f>[4]TONTSEPT!$D$36</f>
        <v>0</v>
      </c>
      <c r="E12" s="6" t="s">
        <v>25</v>
      </c>
      <c r="H12" s="6">
        <f>[4]TONTSEPT!$D$37</f>
        <v>0</v>
      </c>
    </row>
    <row r="13" spans="1:8" x14ac:dyDescent="0.25">
      <c r="A13" s="6" t="s">
        <v>26</v>
      </c>
      <c r="B13" s="6">
        <f>[3]TONTSEPT!$D$37</f>
        <v>0</v>
      </c>
      <c r="E13" s="6" t="s">
        <v>26</v>
      </c>
      <c r="H13" s="6">
        <f>[3]TONTSEPT!$D$38</f>
        <v>0</v>
      </c>
    </row>
    <row r="14" spans="1:8" x14ac:dyDescent="0.25">
      <c r="A14" s="11" t="s">
        <v>97</v>
      </c>
      <c r="E14" s="11" t="s">
        <v>97</v>
      </c>
    </row>
    <row r="15" spans="1:8" x14ac:dyDescent="0.25">
      <c r="A15" s="6" t="s">
        <v>99</v>
      </c>
      <c r="C15" s="6">
        <f>[5]TONTSEPT!$J$76</f>
        <v>0</v>
      </c>
      <c r="E15" s="6" t="s">
        <v>99</v>
      </c>
      <c r="G15" s="6">
        <f>[5]TONTSEPT!$J$77</f>
        <v>0</v>
      </c>
      <c r="H15"/>
    </row>
    <row r="16" spans="1:8" x14ac:dyDescent="0.25">
      <c r="A16" s="6" t="s">
        <v>25</v>
      </c>
      <c r="E16" s="6" t="s">
        <v>25</v>
      </c>
    </row>
    <row r="17" spans="1:8" x14ac:dyDescent="0.25">
      <c r="A17" s="6" t="s">
        <v>26</v>
      </c>
      <c r="C17" s="6">
        <f>[3]TONTSEPT!$F$37</f>
        <v>0</v>
      </c>
      <c r="E17" s="6" t="s">
        <v>26</v>
      </c>
      <c r="G17" s="6">
        <f>[3]TONTSEPT!$F$38</f>
        <v>0</v>
      </c>
    </row>
    <row r="18" spans="1:8" x14ac:dyDescent="0.25">
      <c r="A18" s="11" t="s">
        <v>96</v>
      </c>
      <c r="E18" s="11" t="s">
        <v>96</v>
      </c>
    </row>
    <row r="19" spans="1:8" x14ac:dyDescent="0.25">
      <c r="A19" s="6" t="s">
        <v>99</v>
      </c>
      <c r="C19" s="6">
        <f>[5]TONTSEPT!$F$59</f>
        <v>0</v>
      </c>
      <c r="E19" s="6" t="s">
        <v>99</v>
      </c>
      <c r="G19" s="6">
        <f>[5]TONTSEPT!$F$59</f>
        <v>0</v>
      </c>
    </row>
    <row r="20" spans="1:8" x14ac:dyDescent="0.25">
      <c r="A20" s="6" t="s">
        <v>25</v>
      </c>
      <c r="C20" s="6">
        <f>[4]TONTSEPT!$C$43</f>
        <v>0</v>
      </c>
      <c r="E20" s="6" t="s">
        <v>25</v>
      </c>
    </row>
    <row r="21" spans="1:8" x14ac:dyDescent="0.25">
      <c r="A21" s="6" t="s">
        <v>26</v>
      </c>
      <c r="C21" s="6">
        <f>[3]TONTSEPT!$E$37</f>
        <v>0</v>
      </c>
      <c r="E21" s="6" t="s">
        <v>26</v>
      </c>
      <c r="G21" s="6">
        <f>+[3]TONTSEPT!$E$38</f>
        <v>0</v>
      </c>
    </row>
    <row r="22" spans="1:8" x14ac:dyDescent="0.25">
      <c r="A22" s="11" t="s">
        <v>40</v>
      </c>
      <c r="B22" s="6">
        <f>[7]MVTSEPT!$G$69</f>
        <v>0</v>
      </c>
      <c r="E22" s="11" t="s">
        <v>40</v>
      </c>
      <c r="G22"/>
      <c r="H22" s="6">
        <f>[7]MVTSEPT!$G$70</f>
        <v>0</v>
      </c>
    </row>
    <row r="23" spans="1:8" x14ac:dyDescent="0.25">
      <c r="A23" s="11" t="s">
        <v>91</v>
      </c>
      <c r="E23" s="11" t="s">
        <v>91</v>
      </c>
    </row>
    <row r="24" spans="1:8" x14ac:dyDescent="0.25">
      <c r="A24" s="11" t="s">
        <v>98</v>
      </c>
      <c r="C24" s="6">
        <f>[7]MVTSEPT!$F$69</f>
        <v>0</v>
      </c>
      <c r="E24" s="11" t="s">
        <v>98</v>
      </c>
      <c r="G24" s="6">
        <f>[7]MVTSEPT!$F$70</f>
        <v>0</v>
      </c>
    </row>
    <row r="25" spans="1:8" x14ac:dyDescent="0.25">
      <c r="A25" s="11" t="s">
        <v>100</v>
      </c>
      <c r="E25" s="11" t="s">
        <v>100</v>
      </c>
    </row>
    <row r="26" spans="1:8" x14ac:dyDescent="0.25">
      <c r="A26" s="11" t="s">
        <v>102</v>
      </c>
      <c r="E26" s="11" t="s">
        <v>102</v>
      </c>
    </row>
    <row r="27" spans="1:8" x14ac:dyDescent="0.25">
      <c r="A27" s="11" t="s">
        <v>93</v>
      </c>
      <c r="E27" s="11" t="s">
        <v>93</v>
      </c>
    </row>
    <row r="28" spans="1:8" x14ac:dyDescent="0.25">
      <c r="A28" s="11" t="s">
        <v>103</v>
      </c>
      <c r="E28" s="11" t="s">
        <v>103</v>
      </c>
    </row>
    <row r="29" spans="1:8" x14ac:dyDescent="0.25">
      <c r="A29" s="11" t="s">
        <v>108</v>
      </c>
      <c r="E29" s="11" t="s">
        <v>108</v>
      </c>
    </row>
    <row r="30" spans="1:8" x14ac:dyDescent="0.25">
      <c r="A30" s="11" t="s">
        <v>90</v>
      </c>
      <c r="E30" s="11" t="s">
        <v>90</v>
      </c>
    </row>
    <row r="31" spans="1:8" x14ac:dyDescent="0.25">
      <c r="A31" s="6" t="s">
        <v>86</v>
      </c>
      <c r="E31" s="6" t="s">
        <v>86</v>
      </c>
    </row>
    <row r="32" spans="1:8" x14ac:dyDescent="0.25">
      <c r="A32" s="6" t="s">
        <v>101</v>
      </c>
      <c r="E32" s="6" t="s">
        <v>101</v>
      </c>
    </row>
    <row r="61" spans="1:1" ht="18" customHeight="1" x14ac:dyDescent="0.25"/>
    <row r="62" spans="1:1" ht="18" customHeight="1" x14ac:dyDescent="0.25">
      <c r="A62" s="11"/>
    </row>
    <row r="63" spans="1:1" ht="18" customHeight="1" x14ac:dyDescent="0.25"/>
    <row r="64" spans="1:1" ht="18" customHeight="1" x14ac:dyDescent="0.25"/>
    <row r="65" spans="1:8" ht="18" customHeight="1" x14ac:dyDescent="0.25">
      <c r="A65" s="11"/>
    </row>
    <row r="66" spans="1:8" ht="18" customHeight="1" x14ac:dyDescent="0.25"/>
    <row r="67" spans="1:8" ht="18" customHeight="1" x14ac:dyDescent="0.25"/>
    <row r="68" spans="1:8" ht="18" customHeight="1" x14ac:dyDescent="0.25"/>
    <row r="69" spans="1:8" ht="18" customHeight="1" x14ac:dyDescent="0.25"/>
    <row r="71" spans="1:8" ht="21" x14ac:dyDescent="0.35">
      <c r="B71" s="8">
        <f>SUM(B5:B70)</f>
        <v>0</v>
      </c>
      <c r="C71" s="8">
        <f>SUM(C5:C70)</f>
        <v>0</v>
      </c>
      <c r="D71" s="8"/>
      <c r="E71" s="8"/>
      <c r="F71" s="8"/>
      <c r="G71" s="8">
        <f>SUM(G5:G70)</f>
        <v>0</v>
      </c>
      <c r="H71" s="8">
        <f>SUM(H5:H70)</f>
        <v>0</v>
      </c>
    </row>
    <row r="73" spans="1:8" x14ac:dyDescent="0.25">
      <c r="C73" s="6">
        <f>B71-C71</f>
        <v>0</v>
      </c>
    </row>
  </sheetData>
  <mergeCells count="3">
    <mergeCell ref="B2:H2"/>
    <mergeCell ref="A3:C3"/>
    <mergeCell ref="E3:H3"/>
  </mergeCells>
  <dataValidations count="1">
    <dataValidation type="list" allowBlank="1" showInputMessage="1" showErrorMessage="1" sqref="E41:E42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COMPTE TRESORERIE</vt:lpstr>
      <vt:lpstr>MVTJUIN2017</vt:lpstr>
      <vt:lpstr>MVTJUIL2017</vt:lpstr>
      <vt:lpstr>MVTAOUT2017</vt:lpstr>
      <vt:lpstr>MVTSEPT2017</vt:lpstr>
      <vt:lpstr>MVTOCT2017</vt:lpstr>
      <vt:lpstr>MVTNOV2017</vt:lpstr>
      <vt:lpstr>MVTDEC2017</vt:lpstr>
      <vt:lpstr>MVTJANV2018</vt:lpstr>
      <vt:lpstr>MVTFEV2018</vt:lpstr>
      <vt:lpstr>MVTMARS2018</vt:lpstr>
      <vt:lpstr>MVTAVRIL2018</vt:lpstr>
      <vt:lpstr>MVTMAI2018</vt:lpstr>
      <vt:lpstr>MVTJUIN2018</vt:lpstr>
      <vt:lpstr>MVTJUIL2018</vt:lpstr>
      <vt:lpstr>MVTAOUT2018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2017-07-15T11:10:54Z</dcterms:created>
  <dcterms:modified xsi:type="dcterms:W3CDTF">2017-09-04T07:12:13Z</dcterms:modified>
</cp:coreProperties>
</file>