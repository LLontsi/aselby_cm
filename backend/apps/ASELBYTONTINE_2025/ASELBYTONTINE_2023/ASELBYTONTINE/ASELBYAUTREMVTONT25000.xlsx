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activeTab="3"/>
  </bookViews>
  <sheets>
    <sheet name="MODEVERSEMENT" sheetId="9" r:id="rId1"/>
    <sheet name="MVTAOUT2017" sheetId="1" r:id="rId2"/>
    <sheet name="MVTAOUT" sheetId="12" r:id="rId3"/>
    <sheet name="MVTSEPT" sheetId="11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MVTAOUT!$A$4:$Q$49</definedName>
    <definedName name="_xlnm._FilterDatabase" localSheetId="1" hidden="1">MVTAOUT2017!$A$4:$Q$49</definedName>
    <definedName name="_xlnm._FilterDatabase" localSheetId="3" hidden="1">MVTSEPT!$A$4:$Q$49</definedName>
    <definedName name="BANQUE" localSheetId="0">#REF!</definedName>
    <definedName name="BANQUE" localSheetId="2">#REF!</definedName>
    <definedName name="BANQUE" localSheetId="1">#REF!</definedName>
    <definedName name="BANQUE" localSheetId="3">#REF!</definedName>
    <definedName name="BANQUE">#REF!</definedName>
    <definedName name="MODEPAID" localSheetId="0">[1]Feuil2!$A$1:$A$3</definedName>
    <definedName name="MODEPAID">[2]Feuil2!$A$1:$A$3</definedName>
    <definedName name="MODEVERSEMENT" localSheetId="0">#REF!</definedName>
    <definedName name="MODEVERSEMENT" localSheetId="2">#REF!</definedName>
    <definedName name="MODEVERSEMENT" localSheetId="1">#REF!</definedName>
    <definedName name="MODEVERSEMENT" localSheetId="3">#REF!</definedName>
    <definedName name="MODEVERSEMENT">#REF!</definedName>
    <definedName name="MODEVERSEMENTS" localSheetId="0">MODEVERSEMENT!$A$1:$A$3</definedName>
    <definedName name="MODEVERSEMENTS">[3]MODEVERSEMENT!$A$1:$A$3</definedName>
    <definedName name="MODPAID" localSheetId="2">MVTAOUT!#REF!</definedName>
    <definedName name="MODPAID" localSheetId="1">MVTAOUT2017!#REF!</definedName>
    <definedName name="MODPAID" localSheetId="3">MVTSEPT!#REF!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12" l="1"/>
  <c r="F63" i="12"/>
  <c r="F62" i="12"/>
  <c r="G70" i="12" l="1"/>
  <c r="F70" i="12"/>
  <c r="G69" i="12"/>
  <c r="G72" i="12" s="1"/>
  <c r="F69" i="12"/>
  <c r="F72" i="12" s="1"/>
  <c r="F56" i="12"/>
  <c r="S53" i="12"/>
  <c r="R53" i="12"/>
  <c r="O53" i="12"/>
  <c r="M53" i="12"/>
  <c r="L53" i="12"/>
  <c r="F53" i="12"/>
  <c r="N49" i="12"/>
  <c r="G49" i="12"/>
  <c r="K49" i="12" s="1"/>
  <c r="B49" i="12"/>
  <c r="N48" i="12"/>
  <c r="G48" i="12"/>
  <c r="K48" i="12" s="1"/>
  <c r="B48" i="12"/>
  <c r="N47" i="12"/>
  <c r="G47" i="12"/>
  <c r="K47" i="12" s="1"/>
  <c r="B47" i="12"/>
  <c r="N46" i="12"/>
  <c r="G46" i="12"/>
  <c r="B46" i="12"/>
  <c r="N45" i="12"/>
  <c r="G45" i="12"/>
  <c r="K45" i="12" s="1"/>
  <c r="B45" i="12"/>
  <c r="N44" i="12"/>
  <c r="G44" i="12"/>
  <c r="K44" i="12" s="1"/>
  <c r="B44" i="12"/>
  <c r="N43" i="12"/>
  <c r="G43" i="12"/>
  <c r="K43" i="12" s="1"/>
  <c r="B43" i="12"/>
  <c r="N42" i="12"/>
  <c r="G42" i="12"/>
  <c r="I42" i="12" s="1"/>
  <c r="B42" i="12"/>
  <c r="N41" i="12"/>
  <c r="G41" i="12"/>
  <c r="K41" i="12" s="1"/>
  <c r="B41" i="12"/>
  <c r="N40" i="12"/>
  <c r="G40" i="12"/>
  <c r="I40" i="12" s="1"/>
  <c r="B40" i="12"/>
  <c r="N39" i="12"/>
  <c r="G39" i="12"/>
  <c r="K39" i="12" s="1"/>
  <c r="B39" i="12"/>
  <c r="N38" i="12"/>
  <c r="G38" i="12"/>
  <c r="I38" i="12" s="1"/>
  <c r="B38" i="12"/>
  <c r="N37" i="12"/>
  <c r="G37" i="12"/>
  <c r="K37" i="12" s="1"/>
  <c r="B37" i="12"/>
  <c r="N36" i="12"/>
  <c r="G36" i="12"/>
  <c r="I36" i="12" s="1"/>
  <c r="B36" i="12"/>
  <c r="N35" i="12"/>
  <c r="G35" i="12"/>
  <c r="K35" i="12" s="1"/>
  <c r="B35" i="12"/>
  <c r="N34" i="12"/>
  <c r="G34" i="12"/>
  <c r="I34" i="12" s="1"/>
  <c r="B34" i="12"/>
  <c r="N33" i="12"/>
  <c r="G33" i="12"/>
  <c r="K33" i="12" s="1"/>
  <c r="B33" i="12"/>
  <c r="N32" i="12"/>
  <c r="G32" i="12"/>
  <c r="I32" i="12" s="1"/>
  <c r="B32" i="12"/>
  <c r="N31" i="12"/>
  <c r="G31" i="12"/>
  <c r="K31" i="12" s="1"/>
  <c r="B31" i="12"/>
  <c r="N30" i="12"/>
  <c r="G30" i="12"/>
  <c r="I30" i="12" s="1"/>
  <c r="B30" i="12"/>
  <c r="N29" i="12"/>
  <c r="G29" i="12"/>
  <c r="K29" i="12" s="1"/>
  <c r="B29" i="12"/>
  <c r="N28" i="12"/>
  <c r="G28" i="12"/>
  <c r="I28" i="12" s="1"/>
  <c r="B28" i="12"/>
  <c r="N27" i="12"/>
  <c r="G27" i="12"/>
  <c r="K27" i="12" s="1"/>
  <c r="B27" i="12"/>
  <c r="N26" i="12"/>
  <c r="G26" i="12"/>
  <c r="I26" i="12" s="1"/>
  <c r="B26" i="12"/>
  <c r="N25" i="12"/>
  <c r="G25" i="12"/>
  <c r="K25" i="12" s="1"/>
  <c r="B25" i="12"/>
  <c r="N24" i="12"/>
  <c r="G24" i="12"/>
  <c r="I24" i="12" s="1"/>
  <c r="B24" i="12"/>
  <c r="N23" i="12"/>
  <c r="G23" i="12"/>
  <c r="K23" i="12" s="1"/>
  <c r="B23" i="12"/>
  <c r="N22" i="12"/>
  <c r="G22" i="12"/>
  <c r="I22" i="12" s="1"/>
  <c r="B22" i="12"/>
  <c r="N21" i="12"/>
  <c r="G21" i="12"/>
  <c r="K21" i="12" s="1"/>
  <c r="B21" i="12"/>
  <c r="N20" i="12"/>
  <c r="G20" i="12"/>
  <c r="I20" i="12" s="1"/>
  <c r="B20" i="12"/>
  <c r="N19" i="12"/>
  <c r="G19" i="12"/>
  <c r="K19" i="12" s="1"/>
  <c r="B19" i="12"/>
  <c r="N18" i="12"/>
  <c r="G18" i="12"/>
  <c r="I18" i="12" s="1"/>
  <c r="B18" i="12"/>
  <c r="N17" i="12"/>
  <c r="G17" i="12"/>
  <c r="K17" i="12" s="1"/>
  <c r="B17" i="12"/>
  <c r="N16" i="12"/>
  <c r="G16" i="12"/>
  <c r="I16" i="12" s="1"/>
  <c r="B16" i="12"/>
  <c r="N15" i="12"/>
  <c r="G15" i="12"/>
  <c r="K15" i="12" s="1"/>
  <c r="B15" i="12"/>
  <c r="N14" i="12"/>
  <c r="G14" i="12"/>
  <c r="I14" i="12" s="1"/>
  <c r="B14" i="12"/>
  <c r="N13" i="12"/>
  <c r="G13" i="12"/>
  <c r="K13" i="12" s="1"/>
  <c r="B13" i="12"/>
  <c r="N12" i="12"/>
  <c r="G12" i="12"/>
  <c r="I12" i="12" s="1"/>
  <c r="B12" i="12"/>
  <c r="N11" i="12"/>
  <c r="G11" i="12"/>
  <c r="K11" i="12" s="1"/>
  <c r="B11" i="12"/>
  <c r="N10" i="12"/>
  <c r="G10" i="12"/>
  <c r="I10" i="12" s="1"/>
  <c r="B10" i="12"/>
  <c r="N9" i="12"/>
  <c r="G9" i="12"/>
  <c r="K9" i="12" s="1"/>
  <c r="B9" i="12"/>
  <c r="N8" i="12"/>
  <c r="G8" i="12"/>
  <c r="I8" i="12" s="1"/>
  <c r="B8" i="12"/>
  <c r="N7" i="12"/>
  <c r="G7" i="12"/>
  <c r="K7" i="12" s="1"/>
  <c r="B7" i="12"/>
  <c r="N6" i="12"/>
  <c r="N53" i="12" s="1"/>
  <c r="G6" i="12"/>
  <c r="E6" i="12"/>
  <c r="B6" i="12"/>
  <c r="E5" i="12"/>
  <c r="B5" i="12"/>
  <c r="G70" i="11"/>
  <c r="F70" i="11"/>
  <c r="G69" i="11"/>
  <c r="F69" i="11"/>
  <c r="F64" i="11"/>
  <c r="F63" i="11"/>
  <c r="S53" i="11"/>
  <c r="R53" i="11"/>
  <c r="O53" i="11"/>
  <c r="F62" i="11" s="1"/>
  <c r="M53" i="11"/>
  <c r="L53" i="11"/>
  <c r="F53" i="11"/>
  <c r="N49" i="11"/>
  <c r="B49" i="11"/>
  <c r="N48" i="11"/>
  <c r="B48" i="11"/>
  <c r="N47" i="11"/>
  <c r="B47" i="11"/>
  <c r="N46" i="11"/>
  <c r="B46" i="11"/>
  <c r="N45" i="11"/>
  <c r="B45" i="11"/>
  <c r="N44" i="11"/>
  <c r="B44" i="11"/>
  <c r="N43" i="11"/>
  <c r="B43" i="11"/>
  <c r="N42" i="11"/>
  <c r="B42" i="11"/>
  <c r="N41" i="11"/>
  <c r="B41" i="11"/>
  <c r="N40" i="11"/>
  <c r="B40" i="11"/>
  <c r="N39" i="11"/>
  <c r="B39" i="11"/>
  <c r="N38" i="11"/>
  <c r="B38" i="11"/>
  <c r="N37" i="11"/>
  <c r="B37" i="11"/>
  <c r="N36" i="11"/>
  <c r="B36" i="11"/>
  <c r="N35" i="11"/>
  <c r="B35" i="11"/>
  <c r="N34" i="11"/>
  <c r="B34" i="11"/>
  <c r="N33" i="11"/>
  <c r="B33" i="11"/>
  <c r="N32" i="11"/>
  <c r="B32" i="11"/>
  <c r="N31" i="11"/>
  <c r="B31" i="11"/>
  <c r="N30" i="11"/>
  <c r="B30" i="11"/>
  <c r="N29" i="11"/>
  <c r="B29" i="11"/>
  <c r="N28" i="11"/>
  <c r="B28" i="11"/>
  <c r="N27" i="11"/>
  <c r="B27" i="11"/>
  <c r="N26" i="11"/>
  <c r="B26" i="11"/>
  <c r="N25" i="11"/>
  <c r="B25" i="11"/>
  <c r="N24" i="11"/>
  <c r="B24" i="11"/>
  <c r="N23" i="11"/>
  <c r="B23" i="11"/>
  <c r="N22" i="11"/>
  <c r="B22" i="11"/>
  <c r="N21" i="11"/>
  <c r="B21" i="11"/>
  <c r="N20" i="11"/>
  <c r="B20" i="11"/>
  <c r="N19" i="11"/>
  <c r="B19" i="11"/>
  <c r="N18" i="11"/>
  <c r="B18" i="11"/>
  <c r="N17" i="11"/>
  <c r="B17" i="11"/>
  <c r="N16" i="11"/>
  <c r="B16" i="11"/>
  <c r="N15" i="11"/>
  <c r="B15" i="11"/>
  <c r="N14" i="11"/>
  <c r="B14" i="11"/>
  <c r="N13" i="11"/>
  <c r="B13" i="11"/>
  <c r="N12" i="11"/>
  <c r="B12" i="11"/>
  <c r="N11" i="11"/>
  <c r="B11" i="11"/>
  <c r="N10" i="11"/>
  <c r="B10" i="11"/>
  <c r="N9" i="11"/>
  <c r="B9" i="11"/>
  <c r="N8" i="11"/>
  <c r="B8" i="11"/>
  <c r="N7" i="11"/>
  <c r="B7" i="11"/>
  <c r="N6" i="11"/>
  <c r="B6" i="11"/>
  <c r="E5" i="11"/>
  <c r="B5" i="11"/>
  <c r="G70" i="1"/>
  <c r="G69" i="1"/>
  <c r="G72" i="1"/>
  <c r="F70" i="1"/>
  <c r="F69" i="1"/>
  <c r="F72" i="1"/>
  <c r="F5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6" i="1"/>
  <c r="O53" i="1"/>
  <c r="M53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3" i="1" s="1"/>
  <c r="K16" i="12" l="1"/>
  <c r="J25" i="12"/>
  <c r="K10" i="12"/>
  <c r="K8" i="12"/>
  <c r="J29" i="12"/>
  <c r="K30" i="12"/>
  <c r="I31" i="12"/>
  <c r="J33" i="12"/>
  <c r="J34" i="12"/>
  <c r="I47" i="12"/>
  <c r="J7" i="12"/>
  <c r="H7" i="12" s="1"/>
  <c r="J8" i="12"/>
  <c r="J10" i="12"/>
  <c r="H10" i="12" s="1"/>
  <c r="E10" i="12" s="1"/>
  <c r="J16" i="12"/>
  <c r="J27" i="12"/>
  <c r="J31" i="12"/>
  <c r="J47" i="12"/>
  <c r="I17" i="12"/>
  <c r="K18" i="12"/>
  <c r="I19" i="12"/>
  <c r="H19" i="12" s="1"/>
  <c r="E19" i="12" s="1"/>
  <c r="I21" i="12"/>
  <c r="K38" i="12"/>
  <c r="I39" i="12"/>
  <c r="J45" i="12"/>
  <c r="J19" i="12"/>
  <c r="J21" i="12"/>
  <c r="J39" i="12"/>
  <c r="J40" i="12"/>
  <c r="H40" i="12" s="1"/>
  <c r="E40" i="12" s="1"/>
  <c r="J42" i="12"/>
  <c r="I7" i="12"/>
  <c r="I25" i="12"/>
  <c r="H25" i="12" s="1"/>
  <c r="E25" i="12" s="1"/>
  <c r="I27" i="12"/>
  <c r="I29" i="12"/>
  <c r="K40" i="12"/>
  <c r="K42" i="12"/>
  <c r="I13" i="12"/>
  <c r="H21" i="12"/>
  <c r="E21" i="12" s="1"/>
  <c r="I49" i="12"/>
  <c r="I9" i="12"/>
  <c r="J11" i="12"/>
  <c r="J13" i="12"/>
  <c r="K14" i="12"/>
  <c r="I15" i="12"/>
  <c r="J17" i="12"/>
  <c r="J23" i="12"/>
  <c r="J24" i="12"/>
  <c r="J26" i="12"/>
  <c r="K32" i="12"/>
  <c r="K34" i="12"/>
  <c r="I35" i="12"/>
  <c r="I37" i="12"/>
  <c r="I41" i="12"/>
  <c r="I43" i="12"/>
  <c r="J49" i="12"/>
  <c r="I11" i="12"/>
  <c r="H11" i="12" s="1"/>
  <c r="E11" i="12" s="1"/>
  <c r="K22" i="12"/>
  <c r="I23" i="12"/>
  <c r="J32" i="12"/>
  <c r="G53" i="12"/>
  <c r="J9" i="12"/>
  <c r="H9" i="12" s="1"/>
  <c r="E9" i="12" s="1"/>
  <c r="J15" i="12"/>
  <c r="J18" i="12"/>
  <c r="K24" i="12"/>
  <c r="K26" i="12"/>
  <c r="I33" i="12"/>
  <c r="H33" i="12" s="1"/>
  <c r="E33" i="12" s="1"/>
  <c r="J35" i="12"/>
  <c r="J37" i="12"/>
  <c r="J41" i="12"/>
  <c r="J43" i="12"/>
  <c r="I45" i="12"/>
  <c r="G72" i="11"/>
  <c r="F72" i="11"/>
  <c r="I46" i="12"/>
  <c r="J46" i="12"/>
  <c r="J12" i="12"/>
  <c r="J20" i="12"/>
  <c r="J28" i="12"/>
  <c r="J36" i="12"/>
  <c r="I44" i="12"/>
  <c r="K46" i="12"/>
  <c r="I48" i="12"/>
  <c r="K12" i="12"/>
  <c r="J14" i="12"/>
  <c r="H16" i="12"/>
  <c r="E16" i="12" s="1"/>
  <c r="K20" i="12"/>
  <c r="J22" i="12"/>
  <c r="H22" i="12" s="1"/>
  <c r="E22" i="12" s="1"/>
  <c r="K28" i="12"/>
  <c r="J30" i="12"/>
  <c r="K36" i="12"/>
  <c r="J38" i="12"/>
  <c r="H38" i="12" s="1"/>
  <c r="E38" i="12" s="1"/>
  <c r="J44" i="12"/>
  <c r="J48" i="12"/>
  <c r="N53" i="11"/>
  <c r="E5" i="1"/>
  <c r="H45" i="12" l="1"/>
  <c r="E45" i="12" s="1"/>
  <c r="H27" i="12"/>
  <c r="E27" i="12" s="1"/>
  <c r="H42" i="12"/>
  <c r="E42" i="12" s="1"/>
  <c r="H39" i="12"/>
  <c r="E39" i="12" s="1"/>
  <c r="H8" i="12"/>
  <c r="E8" i="12" s="1"/>
  <c r="H30" i="12"/>
  <c r="E30" i="12" s="1"/>
  <c r="H32" i="12"/>
  <c r="E32" i="12" s="1"/>
  <c r="H43" i="12"/>
  <c r="E43" i="12" s="1"/>
  <c r="H34" i="12"/>
  <c r="E34" i="12" s="1"/>
  <c r="H13" i="12"/>
  <c r="E13" i="12" s="1"/>
  <c r="H29" i="12"/>
  <c r="E29" i="12" s="1"/>
  <c r="H47" i="12"/>
  <c r="E47" i="12" s="1"/>
  <c r="H41" i="12"/>
  <c r="E41" i="12" s="1"/>
  <c r="H26" i="12"/>
  <c r="E26" i="12" s="1"/>
  <c r="H24" i="12"/>
  <c r="E24" i="12" s="1"/>
  <c r="H49" i="12"/>
  <c r="E49" i="12" s="1"/>
  <c r="H31" i="12"/>
  <c r="E31" i="12" s="1"/>
  <c r="H18" i="12"/>
  <c r="E18" i="12" s="1"/>
  <c r="H14" i="12"/>
  <c r="E14" i="12" s="1"/>
  <c r="H23" i="12"/>
  <c r="E23" i="12" s="1"/>
  <c r="H17" i="12"/>
  <c r="E17" i="12" s="1"/>
  <c r="H44" i="12"/>
  <c r="E44" i="12" s="1"/>
  <c r="K53" i="12"/>
  <c r="H37" i="12"/>
  <c r="E37" i="12" s="1"/>
  <c r="H35" i="12"/>
  <c r="E35" i="12" s="1"/>
  <c r="H46" i="12"/>
  <c r="E46" i="12" s="1"/>
  <c r="H20" i="12"/>
  <c r="E20" i="12" s="1"/>
  <c r="H28" i="12"/>
  <c r="E28" i="12" s="1"/>
  <c r="H15" i="12"/>
  <c r="E15" i="12" s="1"/>
  <c r="I53" i="12"/>
  <c r="H48" i="12"/>
  <c r="E48" i="12" s="1"/>
  <c r="H36" i="12"/>
  <c r="E36" i="12" s="1"/>
  <c r="H12" i="12"/>
  <c r="E12" i="12" s="1"/>
  <c r="J53" i="12"/>
  <c r="E7" i="12"/>
  <c r="S53" i="1"/>
  <c r="R53" i="1"/>
  <c r="F64" i="1"/>
  <c r="F62" i="1"/>
  <c r="L53" i="1"/>
  <c r="F53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F61" i="12" l="1"/>
  <c r="E53" i="12"/>
  <c r="D48" i="12" s="1"/>
  <c r="C48" i="12" s="1"/>
  <c r="H53" i="12"/>
  <c r="F60" i="12"/>
  <c r="F59" i="12"/>
  <c r="D46" i="12"/>
  <c r="C46" i="12" s="1"/>
  <c r="D42" i="12"/>
  <c r="C42" i="12" s="1"/>
  <c r="D38" i="12"/>
  <c r="C38" i="12" s="1"/>
  <c r="D36" i="12"/>
  <c r="C36" i="12" s="1"/>
  <c r="D30" i="12"/>
  <c r="C30" i="12" s="1"/>
  <c r="D28" i="12"/>
  <c r="C28" i="12" s="1"/>
  <c r="D26" i="12"/>
  <c r="C26" i="12" s="1"/>
  <c r="D22" i="12"/>
  <c r="C22" i="12" s="1"/>
  <c r="D20" i="12"/>
  <c r="C20" i="12" s="1"/>
  <c r="D18" i="12"/>
  <c r="C18" i="12" s="1"/>
  <c r="D14" i="12"/>
  <c r="C14" i="12" s="1"/>
  <c r="D12" i="12"/>
  <c r="C12" i="12" s="1"/>
  <c r="D10" i="12"/>
  <c r="C10" i="12" s="1"/>
  <c r="D6" i="12"/>
  <c r="C6" i="12" s="1"/>
  <c r="D5" i="12"/>
  <c r="D37" i="12"/>
  <c r="C37" i="12" s="1"/>
  <c r="D21" i="12"/>
  <c r="C21" i="12" s="1"/>
  <c r="D13" i="12"/>
  <c r="C13" i="12" s="1"/>
  <c r="D47" i="12"/>
  <c r="C47" i="12" s="1"/>
  <c r="D35" i="12"/>
  <c r="C35" i="12" s="1"/>
  <c r="D27" i="12"/>
  <c r="C27" i="12" s="1"/>
  <c r="D19" i="12"/>
  <c r="C19" i="12" s="1"/>
  <c r="D41" i="12"/>
  <c r="C41" i="12" s="1"/>
  <c r="D33" i="12"/>
  <c r="C33" i="12" s="1"/>
  <c r="D25" i="12"/>
  <c r="C25" i="12" s="1"/>
  <c r="D9" i="12"/>
  <c r="C9" i="12" s="1"/>
  <c r="D49" i="12"/>
  <c r="C49" i="12" s="1"/>
  <c r="D45" i="12"/>
  <c r="C45" i="12" s="1"/>
  <c r="D31" i="12"/>
  <c r="C31" i="12" s="1"/>
  <c r="D23" i="12"/>
  <c r="C23" i="12" s="1"/>
  <c r="D15" i="12"/>
  <c r="C15" i="12" s="1"/>
  <c r="F63" i="1"/>
  <c r="D34" i="12" l="1"/>
  <c r="C34" i="12" s="1"/>
  <c r="D44" i="12"/>
  <c r="C44" i="12" s="1"/>
  <c r="D7" i="12"/>
  <c r="C7" i="12" s="1"/>
  <c r="D39" i="12"/>
  <c r="C39" i="12" s="1"/>
  <c r="D17" i="12"/>
  <c r="C17" i="12" s="1"/>
  <c r="D11" i="12"/>
  <c r="C11" i="12" s="1"/>
  <c r="D43" i="12"/>
  <c r="C43" i="12" s="1"/>
  <c r="D29" i="12"/>
  <c r="C29" i="12" s="1"/>
  <c r="D8" i="12"/>
  <c r="C8" i="12" s="1"/>
  <c r="D16" i="12"/>
  <c r="C16" i="12" s="1"/>
  <c r="D24" i="12"/>
  <c r="C24" i="12" s="1"/>
  <c r="D32" i="12"/>
  <c r="C32" i="12" s="1"/>
  <c r="D40" i="12"/>
  <c r="C40" i="12" s="1"/>
  <c r="F58" i="12"/>
  <c r="C5" i="12"/>
  <c r="C53" i="12" s="1"/>
  <c r="J8" i="1"/>
  <c r="I8" i="1"/>
  <c r="K8" i="1"/>
  <c r="J45" i="1"/>
  <c r="I45" i="1"/>
  <c r="K45" i="1"/>
  <c r="J17" i="1"/>
  <c r="K17" i="1"/>
  <c r="I17" i="1"/>
  <c r="I36" i="1"/>
  <c r="K36" i="1"/>
  <c r="J36" i="1"/>
  <c r="K14" i="1"/>
  <c r="J14" i="1"/>
  <c r="I14" i="1"/>
  <c r="I33" i="1"/>
  <c r="J33" i="1"/>
  <c r="K33" i="1"/>
  <c r="K7" i="1"/>
  <c r="J7" i="1"/>
  <c r="I7" i="1"/>
  <c r="J25" i="1"/>
  <c r="K25" i="1"/>
  <c r="I25" i="1"/>
  <c r="K38" i="1"/>
  <c r="I38" i="1"/>
  <c r="J38" i="1"/>
  <c r="K31" i="1"/>
  <c r="J31" i="1"/>
  <c r="I31" i="1"/>
  <c r="I49" i="1"/>
  <c r="K49" i="1"/>
  <c r="J49" i="1"/>
  <c r="J23" i="1"/>
  <c r="I23" i="1"/>
  <c r="K23" i="1"/>
  <c r="I40" i="1"/>
  <c r="J40" i="1"/>
  <c r="K40" i="1"/>
  <c r="I18" i="1"/>
  <c r="K18" i="1"/>
  <c r="J18" i="1"/>
  <c r="K37" i="1"/>
  <c r="J37" i="1"/>
  <c r="I37" i="1"/>
  <c r="K11" i="1"/>
  <c r="J11" i="1"/>
  <c r="I11" i="1"/>
  <c r="K30" i="1"/>
  <c r="I30" i="1"/>
  <c r="J30" i="1"/>
  <c r="J42" i="1"/>
  <c r="K42" i="1"/>
  <c r="I42" i="1"/>
  <c r="I12" i="1"/>
  <c r="K12" i="1"/>
  <c r="J12" i="1"/>
  <c r="K16" i="1"/>
  <c r="J16" i="1"/>
  <c r="I16" i="1"/>
  <c r="I27" i="1"/>
  <c r="J27" i="1"/>
  <c r="K27" i="1"/>
  <c r="J35" i="1"/>
  <c r="I35" i="1"/>
  <c r="K35" i="1"/>
  <c r="K9" i="1"/>
  <c r="I9" i="1"/>
  <c r="J9" i="1"/>
  <c r="K28" i="1"/>
  <c r="J28" i="1"/>
  <c r="I28" i="1"/>
  <c r="K46" i="1"/>
  <c r="I46" i="1"/>
  <c r="J46" i="1"/>
  <c r="K24" i="1"/>
  <c r="J24" i="1"/>
  <c r="I24" i="1"/>
  <c r="I41" i="1"/>
  <c r="K41" i="1"/>
  <c r="J41" i="1"/>
  <c r="J15" i="1"/>
  <c r="I15" i="1"/>
  <c r="K15" i="1"/>
  <c r="I34" i="1"/>
  <c r="K34" i="1"/>
  <c r="J34" i="1"/>
  <c r="K48" i="1"/>
  <c r="J48" i="1"/>
  <c r="I48" i="1"/>
  <c r="K22" i="1"/>
  <c r="J22" i="1"/>
  <c r="I22" i="1"/>
  <c r="K39" i="1"/>
  <c r="J39" i="1"/>
  <c r="I39" i="1"/>
  <c r="I13" i="1"/>
  <c r="K13" i="1"/>
  <c r="J13" i="1"/>
  <c r="I32" i="1"/>
  <c r="J32" i="1"/>
  <c r="K32" i="1"/>
  <c r="I10" i="1"/>
  <c r="K10" i="1"/>
  <c r="J10" i="1"/>
  <c r="K29" i="1"/>
  <c r="J29" i="1"/>
  <c r="I29" i="1"/>
  <c r="J47" i="1"/>
  <c r="I47" i="1"/>
  <c r="K47" i="1"/>
  <c r="J20" i="1"/>
  <c r="I20" i="1"/>
  <c r="K20" i="1"/>
  <c r="D53" i="12" l="1"/>
  <c r="H11" i="1"/>
  <c r="H13" i="1"/>
  <c r="H18" i="1"/>
  <c r="E18" i="1" s="1"/>
  <c r="H31" i="1"/>
  <c r="H25" i="1"/>
  <c r="H7" i="1"/>
  <c r="E7" i="1" s="1"/>
  <c r="H14" i="1"/>
  <c r="H17" i="1"/>
  <c r="H49" i="1"/>
  <c r="E49" i="1" s="1"/>
  <c r="H39" i="1"/>
  <c r="H38" i="1"/>
  <c r="E38" i="1" s="1"/>
  <c r="H37" i="1"/>
  <c r="H23" i="1"/>
  <c r="H8" i="1"/>
  <c r="H34" i="1"/>
  <c r="H15" i="1"/>
  <c r="H41" i="1"/>
  <c r="H20" i="1"/>
  <c r="H47" i="1"/>
  <c r="H32" i="1"/>
  <c r="H48" i="1"/>
  <c r="E48" i="1" s="1"/>
  <c r="H16" i="1"/>
  <c r="H28" i="1"/>
  <c r="H9" i="1"/>
  <c r="H36" i="1"/>
  <c r="H35" i="1"/>
  <c r="H12" i="1"/>
  <c r="H45" i="1"/>
  <c r="E45" i="1" s="1"/>
  <c r="H29" i="1"/>
  <c r="H22" i="1"/>
  <c r="H46" i="1"/>
  <c r="H33" i="1"/>
  <c r="H10" i="1"/>
  <c r="H30" i="1"/>
  <c r="H40" i="1"/>
  <c r="H24" i="1"/>
  <c r="E24" i="1" s="1"/>
  <c r="H42" i="1"/>
  <c r="E42" i="1" s="1"/>
  <c r="H27" i="1"/>
  <c r="E27" i="1" s="1"/>
  <c r="E33" i="1" l="1"/>
  <c r="E31" i="1"/>
  <c r="E12" i="1"/>
  <c r="I44" i="1"/>
  <c r="K44" i="1"/>
  <c r="J44" i="1"/>
  <c r="E17" i="1"/>
  <c r="E15" i="1"/>
  <c r="E29" i="1"/>
  <c r="E16" i="1"/>
  <c r="E39" i="1"/>
  <c r="E20" i="1"/>
  <c r="I19" i="1"/>
  <c r="K19" i="1"/>
  <c r="J19" i="1"/>
  <c r="E28" i="1"/>
  <c r="I21" i="1"/>
  <c r="K21" i="1"/>
  <c r="J21" i="1"/>
  <c r="E37" i="1"/>
  <c r="E22" i="1"/>
  <c r="E40" i="1"/>
  <c r="E41" i="1"/>
  <c r="E11" i="1"/>
  <c r="I26" i="1"/>
  <c r="K26" i="1"/>
  <c r="J26" i="1"/>
  <c r="E36" i="1"/>
  <c r="E25" i="1"/>
  <c r="E10" i="1"/>
  <c r="E9" i="1"/>
  <c r="E30" i="1"/>
  <c r="E35" i="1"/>
  <c r="E14" i="1"/>
  <c r="E23" i="1"/>
  <c r="E46" i="1"/>
  <c r="E47" i="1"/>
  <c r="E34" i="1"/>
  <c r="E32" i="1"/>
  <c r="E8" i="1"/>
  <c r="E13" i="1"/>
  <c r="J43" i="1"/>
  <c r="I43" i="1"/>
  <c r="K43" i="1"/>
  <c r="G53" i="1"/>
  <c r="H21" i="1" l="1"/>
  <c r="E21" i="1" s="1"/>
  <c r="H26" i="1"/>
  <c r="H44" i="1"/>
  <c r="H43" i="1"/>
  <c r="E6" i="1"/>
  <c r="H19" i="1"/>
  <c r="E19" i="1" s="1"/>
  <c r="K53" i="1"/>
  <c r="I53" i="1"/>
  <c r="J53" i="1"/>
  <c r="H53" i="1" l="1"/>
  <c r="F60" i="1"/>
  <c r="F59" i="1"/>
  <c r="F61" i="1"/>
  <c r="E43" i="1"/>
  <c r="E44" i="1"/>
  <c r="E26" i="1"/>
  <c r="F58" i="1" l="1"/>
  <c r="E53" i="1"/>
  <c r="D34" i="1" s="1"/>
  <c r="D33" i="1" l="1"/>
  <c r="C33" i="1" s="1"/>
  <c r="D47" i="1"/>
  <c r="C47" i="1" s="1"/>
  <c r="D46" i="1"/>
  <c r="C46" i="1" s="1"/>
  <c r="D21" i="1"/>
  <c r="C21" i="1" s="1"/>
  <c r="D42" i="1"/>
  <c r="C42" i="1" s="1"/>
  <c r="D20" i="1"/>
  <c r="C20" i="1" s="1"/>
  <c r="D44" i="1"/>
  <c r="C44" i="1" s="1"/>
  <c r="D30" i="1"/>
  <c r="C30" i="1" s="1"/>
  <c r="D18" i="1"/>
  <c r="C18" i="1" s="1"/>
  <c r="D14" i="1"/>
  <c r="C14" i="1" s="1"/>
  <c r="D45" i="1"/>
  <c r="C45" i="1" s="1"/>
  <c r="D5" i="1"/>
  <c r="D13" i="1"/>
  <c r="C13" i="1" s="1"/>
  <c r="D32" i="1"/>
  <c r="C32" i="1" s="1"/>
  <c r="D8" i="1"/>
  <c r="C8" i="1" s="1"/>
  <c r="D29" i="1"/>
  <c r="C29" i="1" s="1"/>
  <c r="D17" i="1"/>
  <c r="C17" i="1" s="1"/>
  <c r="D15" i="1"/>
  <c r="C15" i="1" s="1"/>
  <c r="D19" i="1"/>
  <c r="C19" i="1" s="1"/>
  <c r="D35" i="1"/>
  <c r="C35" i="1" s="1"/>
  <c r="D28" i="1"/>
  <c r="C28" i="1" s="1"/>
  <c r="D11" i="1"/>
  <c r="C11" i="1" s="1"/>
  <c r="D48" i="1"/>
  <c r="C48" i="1" s="1"/>
  <c r="D6" i="1"/>
  <c r="C6" i="1" s="1"/>
  <c r="D24" i="1"/>
  <c r="C24" i="1" s="1"/>
  <c r="D36" i="1"/>
  <c r="C36" i="1" s="1"/>
  <c r="D41" i="1"/>
  <c r="C41" i="1" s="1"/>
  <c r="D16" i="1"/>
  <c r="C16" i="1" s="1"/>
  <c r="D7" i="1"/>
  <c r="C7" i="1" s="1"/>
  <c r="D26" i="1"/>
  <c r="C26" i="1" s="1"/>
  <c r="D27" i="1"/>
  <c r="C27" i="1" s="1"/>
  <c r="D12" i="1"/>
  <c r="C12" i="1" s="1"/>
  <c r="D37" i="1"/>
  <c r="C37" i="1" s="1"/>
  <c r="D38" i="1"/>
  <c r="C38" i="1" s="1"/>
  <c r="D9" i="1"/>
  <c r="C9" i="1" s="1"/>
  <c r="D23" i="1"/>
  <c r="C23" i="1" s="1"/>
  <c r="D40" i="1"/>
  <c r="C40" i="1" s="1"/>
  <c r="D31" i="1"/>
  <c r="C31" i="1" s="1"/>
  <c r="D10" i="1"/>
  <c r="C10" i="1" s="1"/>
  <c r="D43" i="1"/>
  <c r="C43" i="1" s="1"/>
  <c r="D39" i="1"/>
  <c r="C39" i="1" s="1"/>
  <c r="D22" i="1"/>
  <c r="C22" i="1" s="1"/>
  <c r="D25" i="1"/>
  <c r="C25" i="1" s="1"/>
  <c r="D49" i="1"/>
  <c r="C49" i="1" s="1"/>
  <c r="C34" i="1"/>
  <c r="D53" i="1" l="1"/>
  <c r="C5" i="1"/>
  <c r="C53" i="1" l="1"/>
  <c r="G49" i="11" l="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F57" i="11"/>
  <c r="G9" i="11"/>
  <c r="G8" i="11"/>
  <c r="G7" i="11"/>
  <c r="K21" i="11" l="1"/>
  <c r="J21" i="11"/>
  <c r="I21" i="11"/>
  <c r="H21" i="11" s="1"/>
  <c r="E21" i="11" s="1"/>
  <c r="K22" i="11"/>
  <c r="I22" i="11"/>
  <c r="J22" i="11"/>
  <c r="H22" i="11"/>
  <c r="E22" i="11" s="1"/>
  <c r="K31" i="11"/>
  <c r="I31" i="11"/>
  <c r="J31" i="11"/>
  <c r="H31" i="11"/>
  <c r="E31" i="11" s="1"/>
  <c r="K33" i="11"/>
  <c r="J33" i="11"/>
  <c r="I33" i="11"/>
  <c r="H33" i="11" s="1"/>
  <c r="E33" i="11" s="1"/>
  <c r="J34" i="11"/>
  <c r="K34" i="11"/>
  <c r="I34" i="11"/>
  <c r="H34" i="11"/>
  <c r="E34" i="11" s="1"/>
  <c r="I35" i="11"/>
  <c r="K35" i="11"/>
  <c r="J35" i="11"/>
  <c r="H35" i="11" s="1"/>
  <c r="E35" i="11" s="1"/>
  <c r="J45" i="11"/>
  <c r="K45" i="11"/>
  <c r="I45" i="11"/>
  <c r="H45" i="11" s="1"/>
  <c r="E45" i="11" s="1"/>
  <c r="I46" i="11"/>
  <c r="H46" i="11" s="1"/>
  <c r="E46" i="11" s="1"/>
  <c r="J46" i="11"/>
  <c r="K46" i="11"/>
  <c r="I9" i="11"/>
  <c r="J9" i="11"/>
  <c r="K9" i="11"/>
  <c r="I10" i="11"/>
  <c r="H10" i="11" s="1"/>
  <c r="E10" i="11" s="1"/>
  <c r="J10" i="11"/>
  <c r="K10" i="11"/>
  <c r="K15" i="11"/>
  <c r="I15" i="11"/>
  <c r="H15" i="11" s="1"/>
  <c r="E15" i="11" s="1"/>
  <c r="J15" i="11"/>
  <c r="K16" i="11"/>
  <c r="I16" i="11"/>
  <c r="H16" i="11" s="1"/>
  <c r="E16" i="11" s="1"/>
  <c r="J16" i="11"/>
  <c r="J17" i="11"/>
  <c r="K17" i="11"/>
  <c r="I17" i="11"/>
  <c r="H17" i="11" s="1"/>
  <c r="E17" i="11" s="1"/>
  <c r="K18" i="11"/>
  <c r="I18" i="11"/>
  <c r="H18" i="11" s="1"/>
  <c r="E18" i="11" s="1"/>
  <c r="J18" i="11"/>
  <c r="I19" i="11"/>
  <c r="H19" i="11" s="1"/>
  <c r="E19" i="11" s="1"/>
  <c r="K19" i="11"/>
  <c r="J19" i="11"/>
  <c r="J20" i="11"/>
  <c r="K20" i="11"/>
  <c r="I20" i="11"/>
  <c r="H20" i="11" s="1"/>
  <c r="E20" i="11" s="1"/>
  <c r="K27" i="11"/>
  <c r="J27" i="11"/>
  <c r="I27" i="11"/>
  <c r="H27" i="11" s="1"/>
  <c r="E27" i="11" s="1"/>
  <c r="I28" i="11"/>
  <c r="H28" i="11" s="1"/>
  <c r="E28" i="11" s="1"/>
  <c r="K28" i="11"/>
  <c r="J28" i="11"/>
  <c r="I29" i="11"/>
  <c r="H29" i="11" s="1"/>
  <c r="E29" i="11" s="1"/>
  <c r="K29" i="11"/>
  <c r="J29" i="11"/>
  <c r="K30" i="11"/>
  <c r="I30" i="11"/>
  <c r="H30" i="11" s="1"/>
  <c r="E30" i="11" s="1"/>
  <c r="J30" i="11"/>
  <c r="I41" i="11"/>
  <c r="H41" i="11" s="1"/>
  <c r="E41" i="11" s="1"/>
  <c r="J41" i="11"/>
  <c r="K41" i="11"/>
  <c r="I42" i="11"/>
  <c r="H42" i="11" s="1"/>
  <c r="E42" i="11" s="1"/>
  <c r="J42" i="11"/>
  <c r="K42" i="11"/>
  <c r="J43" i="11"/>
  <c r="I43" i="11"/>
  <c r="H43" i="11" s="1"/>
  <c r="E43" i="11" s="1"/>
  <c r="K43" i="11"/>
  <c r="J44" i="11"/>
  <c r="K44" i="11"/>
  <c r="I44" i="11"/>
  <c r="H44" i="11" s="1"/>
  <c r="E44" i="11" s="1"/>
  <c r="K12" i="11"/>
  <c r="I12" i="11"/>
  <c r="H12" i="11" s="1"/>
  <c r="E12" i="11" s="1"/>
  <c r="J12" i="11"/>
  <c r="J13" i="11"/>
  <c r="K13" i="11"/>
  <c r="I13" i="11"/>
  <c r="H13" i="11" s="1"/>
  <c r="E13" i="11" s="1"/>
  <c r="K14" i="11"/>
  <c r="I14" i="11"/>
  <c r="H14" i="11" s="1"/>
  <c r="E14" i="11" s="1"/>
  <c r="J14" i="11"/>
  <c r="I26" i="11"/>
  <c r="H26" i="11" s="1"/>
  <c r="E26" i="11" s="1"/>
  <c r="J26" i="11"/>
  <c r="K26" i="11"/>
  <c r="J39" i="11"/>
  <c r="K39" i="11"/>
  <c r="I39" i="11"/>
  <c r="H39" i="11" s="1"/>
  <c r="E39" i="11" s="1"/>
  <c r="K40" i="11"/>
  <c r="J40" i="11"/>
  <c r="I40" i="11"/>
  <c r="H40" i="11" s="1"/>
  <c r="E40" i="11" s="1"/>
  <c r="K7" i="11"/>
  <c r="I7" i="11"/>
  <c r="J7" i="11"/>
  <c r="I8" i="11"/>
  <c r="J8" i="11"/>
  <c r="H8" i="11" s="1"/>
  <c r="E8" i="11" s="1"/>
  <c r="K8" i="11"/>
  <c r="I11" i="11"/>
  <c r="J11" i="11"/>
  <c r="H11" i="11" s="1"/>
  <c r="E11" i="11" s="1"/>
  <c r="K11" i="11"/>
  <c r="J23" i="11"/>
  <c r="K23" i="11"/>
  <c r="I23" i="11"/>
  <c r="H23" i="11" s="1"/>
  <c r="E23" i="11" s="1"/>
  <c r="K24" i="11"/>
  <c r="I24" i="11"/>
  <c r="H24" i="11" s="1"/>
  <c r="E24" i="11" s="1"/>
  <c r="J24" i="11"/>
  <c r="I25" i="11"/>
  <c r="K25" i="11"/>
  <c r="J25" i="11"/>
  <c r="H25" i="11" s="1"/>
  <c r="E25" i="11" s="1"/>
  <c r="K32" i="11"/>
  <c r="J32" i="11"/>
  <c r="I32" i="11"/>
  <c r="H32" i="11" s="1"/>
  <c r="E32" i="11" s="1"/>
  <c r="I36" i="11"/>
  <c r="J36" i="11"/>
  <c r="H36" i="11" s="1"/>
  <c r="E36" i="11" s="1"/>
  <c r="K36" i="11"/>
  <c r="I37" i="11"/>
  <c r="J37" i="11"/>
  <c r="H37" i="11" s="1"/>
  <c r="E37" i="11" s="1"/>
  <c r="K37" i="11"/>
  <c r="K38" i="11"/>
  <c r="I38" i="11"/>
  <c r="H38" i="11" s="1"/>
  <c r="E38" i="11" s="1"/>
  <c r="J38" i="11"/>
  <c r="I47" i="11"/>
  <c r="K47" i="11"/>
  <c r="J47" i="11"/>
  <c r="H47" i="11" s="1"/>
  <c r="E47" i="11" s="1"/>
  <c r="K48" i="11"/>
  <c r="I48" i="11"/>
  <c r="J48" i="11"/>
  <c r="H48" i="11"/>
  <c r="E48" i="11" s="1"/>
  <c r="K49" i="11"/>
  <c r="J49" i="11"/>
  <c r="I49" i="11"/>
  <c r="H49" i="11"/>
  <c r="E49" i="11" s="1"/>
  <c r="G6" i="11" l="1"/>
  <c r="F56" i="11"/>
  <c r="H9" i="11"/>
  <c r="E9" i="11" s="1"/>
  <c r="H7" i="11"/>
  <c r="E7" i="11" s="1"/>
  <c r="I6" i="11" l="1"/>
  <c r="I53" i="11" s="1"/>
  <c r="F59" i="11" s="1"/>
  <c r="J6" i="11"/>
  <c r="J53" i="11" s="1"/>
  <c r="F60" i="11" s="1"/>
  <c r="K6" i="11"/>
  <c r="K53" i="11" s="1"/>
  <c r="F61" i="11" s="1"/>
  <c r="G53" i="11"/>
  <c r="H6" i="11"/>
  <c r="E6" i="11" l="1"/>
  <c r="E53" i="11" s="1"/>
  <c r="H53" i="11"/>
  <c r="F58" i="11" s="1"/>
  <c r="F66" i="11" s="1"/>
  <c r="F57" i="1" l="1"/>
  <c r="F66" i="1" s="1"/>
  <c r="F57" i="12"/>
  <c r="F66" i="12" s="1"/>
  <c r="D48" i="11"/>
  <c r="C48" i="11" s="1"/>
  <c r="D40" i="11"/>
  <c r="C40" i="11" s="1"/>
  <c r="D32" i="11"/>
  <c r="C32" i="11" s="1"/>
  <c r="D24" i="11"/>
  <c r="C24" i="11" s="1"/>
  <c r="D16" i="11"/>
  <c r="C16" i="11" s="1"/>
  <c r="D8" i="11"/>
  <c r="C8" i="11" s="1"/>
  <c r="D31" i="11"/>
  <c r="C31" i="11" s="1"/>
  <c r="D37" i="11"/>
  <c r="C37" i="11" s="1"/>
  <c r="D43" i="11"/>
  <c r="C43" i="11" s="1"/>
  <c r="D7" i="11"/>
  <c r="C7" i="11" s="1"/>
  <c r="D45" i="11"/>
  <c r="C45" i="11" s="1"/>
  <c r="D11" i="11"/>
  <c r="C11" i="11" s="1"/>
  <c r="D46" i="11"/>
  <c r="C46" i="11" s="1"/>
  <c r="D38" i="11"/>
  <c r="C38" i="11" s="1"/>
  <c r="D30" i="11"/>
  <c r="C30" i="11" s="1"/>
  <c r="D22" i="11"/>
  <c r="C22" i="11" s="1"/>
  <c r="D14" i="11"/>
  <c r="C14" i="11" s="1"/>
  <c r="D6" i="11"/>
  <c r="C6" i="11" s="1"/>
  <c r="D23" i="11"/>
  <c r="C23" i="11" s="1"/>
  <c r="D29" i="11"/>
  <c r="C29" i="11" s="1"/>
  <c r="D35" i="11"/>
  <c r="C35" i="11" s="1"/>
  <c r="D49" i="11"/>
  <c r="C49" i="11" s="1"/>
  <c r="D9" i="11"/>
  <c r="C9" i="11" s="1"/>
  <c r="D44" i="11"/>
  <c r="C44" i="11" s="1"/>
  <c r="D36" i="11"/>
  <c r="C36" i="11" s="1"/>
  <c r="D28" i="11"/>
  <c r="C28" i="11" s="1"/>
  <c r="D20" i="11"/>
  <c r="C20" i="11" s="1"/>
  <c r="D12" i="11"/>
  <c r="C12" i="11" s="1"/>
  <c r="D5" i="11"/>
  <c r="D15" i="11"/>
  <c r="C15" i="11" s="1"/>
  <c r="D21" i="11"/>
  <c r="C21" i="11" s="1"/>
  <c r="D27" i="11"/>
  <c r="C27" i="11" s="1"/>
  <c r="D33" i="11"/>
  <c r="C33" i="11" s="1"/>
  <c r="D41" i="11"/>
  <c r="C41" i="11" s="1"/>
  <c r="D42" i="11"/>
  <c r="C42" i="11" s="1"/>
  <c r="D34" i="11"/>
  <c r="C34" i="11" s="1"/>
  <c r="D26" i="11"/>
  <c r="C26" i="11" s="1"/>
  <c r="D18" i="11"/>
  <c r="C18" i="11" s="1"/>
  <c r="D10" i="11"/>
  <c r="C10" i="11" s="1"/>
  <c r="D39" i="11"/>
  <c r="C39" i="11" s="1"/>
  <c r="D47" i="11"/>
  <c r="C47" i="11" s="1"/>
  <c r="D13" i="11"/>
  <c r="C13" i="11" s="1"/>
  <c r="D17" i="11"/>
  <c r="C17" i="11" s="1"/>
  <c r="D19" i="11"/>
  <c r="C19" i="11" s="1"/>
  <c r="D25" i="11"/>
  <c r="C25" i="11" s="1"/>
  <c r="D53" i="11" l="1"/>
  <c r="C5" i="11"/>
  <c r="C53" i="11" s="1"/>
</calcChain>
</file>

<file path=xl/sharedStrings.xml><?xml version="1.0" encoding="utf-8"?>
<sst xmlns="http://schemas.openxmlformats.org/spreadsheetml/2006/main" count="528" uniqueCount="82">
  <si>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</si>
  <si>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</si>
  <si>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</si>
  <si>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</si>
  <si>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</si>
  <si>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</si>
  <si>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</si>
  <si>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</si>
  <si>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REPARTITION INTERET</t>
  </si>
  <si>
    <t>CAPITAL COMPOSE</t>
  </si>
  <si>
    <t>SANCTION</t>
  </si>
  <si>
    <t>PENALITE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</si>
  <si>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</si>
  <si>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</si>
  <si>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</si>
  <si>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</si>
  <si>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</si>
  <si>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</si>
  <si>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</si>
  <si>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</si>
  <si>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</si>
  <si>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</si>
  <si>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</si>
  <si>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</si>
  <si>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</si>
  <si>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</si>
  <si>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</si>
  <si>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</si>
  <si>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</si>
  <si>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</si>
  <si>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</si>
  <si>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</si>
  <si>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</si>
  <si>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</si>
  <si>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</si>
  <si>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</si>
  <si>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</si>
  <si>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</si>
  <si>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</si>
  <si>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</si>
  <si>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</si>
  <si>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</si>
  <si>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</si>
  <si>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</si>
  <si>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</si>
  <si>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</si>
  <si>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</si>
  <si>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</si>
  <si>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</si>
  <si>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</si>
  <si>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</si>
  <si>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AS201631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</si>
  <si>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</si>
  <si>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</si>
  <si>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</si>
  <si>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</si>
  <si>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</si>
  <si>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</si>
  <si>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</si>
  <si>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</si>
  <si>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</si>
  <si>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</si>
  <si>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</si>
  <si>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</si>
  <si>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</si>
  <si>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</si>
  <si>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</si>
  <si>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</si>
  <si>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FRAIS EXCEPTIONNELS</t>
  </si>
  <si>
    <t>TONTINE</t>
  </si>
  <si>
    <t>RESTE</t>
  </si>
  <si>
    <t>REPORT INTERET</t>
  </si>
  <si>
    <t>PRÊT FONDS</t>
  </si>
  <si>
    <t>INTERET PRÊT FONDS</t>
  </si>
  <si>
    <t>INTERETPRET FONDS</t>
  </si>
  <si>
    <t>REMBOURSEMENTPRET FONDS</t>
  </si>
  <si>
    <t>PENALITE PRET FONDS</t>
  </si>
  <si>
    <t>EMPRUNT FONDS</t>
  </si>
  <si>
    <t>REMBOURSEMENT PRÊT FONDS</t>
  </si>
  <si>
    <t>MODE VERSEMENT PRÊT FONDS</t>
  </si>
  <si>
    <t>MODE VERSEMENT REMBOURSEMENT</t>
  </si>
  <si>
    <t>REMBOURSEMENT PRÊT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</si>
</sst>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NANGUEN GUY BLAISE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1">
        <row r="6">
          <cell r="O6">
            <v>50000</v>
          </cell>
        </row>
      </sheetData>
      <sheetData sheetId="2">
        <row r="19">
          <cell r="K19">
            <v>100000</v>
          </cell>
        </row>
      </sheetData>
      <sheetData sheetId="3">
        <row r="5">
          <cell r="E5">
            <v>202.80994959407681</v>
          </cell>
        </row>
      </sheetData>
      <sheetData sheetId="4">
        <row r="5">
          <cell r="C5">
            <v>0</v>
          </cell>
        </row>
      </sheetData>
      <sheetData sheetId="5">
        <row r="5">
          <cell r="C5">
            <v>1975.5683466088842</v>
          </cell>
        </row>
      </sheetData>
      <sheetData sheetId="6">
        <row r="5">
          <cell r="C5">
            <v>1305.9727084661067</v>
          </cell>
        </row>
      </sheetData>
      <sheetData sheetId="7">
        <row r="5">
          <cell r="C5">
            <v>1053.7629152599034</v>
          </cell>
        </row>
      </sheetData>
      <sheetData sheetId="8">
        <row r="5">
          <cell r="C5">
            <v>2026.7640754185838</v>
          </cell>
        </row>
      </sheetData>
      <sheetData sheetId="9">
        <row r="5">
          <cell r="C5">
            <v>1222.9245356510744</v>
          </cell>
        </row>
      </sheetData>
      <sheetData sheetId="10">
        <row r="5">
          <cell r="C5">
            <v>0</v>
          </cell>
          <cell r="D5">
            <v>362884.80253099866</v>
          </cell>
        </row>
        <row r="6">
          <cell r="D6">
            <v>482344.50474381261</v>
          </cell>
        </row>
        <row r="7">
          <cell r="D7">
            <v>456305.11636698479</v>
          </cell>
        </row>
        <row r="8">
          <cell r="D8">
            <v>459528.288252928</v>
          </cell>
        </row>
        <row r="9">
          <cell r="D9">
            <v>466801.26367426652</v>
          </cell>
        </row>
        <row r="10">
          <cell r="D10">
            <v>473433.58144356601</v>
          </cell>
        </row>
        <row r="12">
          <cell r="D12">
            <v>1103003.795143957</v>
          </cell>
        </row>
        <row r="13">
          <cell r="D13">
            <v>456331.68658544857</v>
          </cell>
        </row>
        <row r="14">
          <cell r="D14">
            <v>508452.23589644249</v>
          </cell>
        </row>
        <row r="15">
          <cell r="D15">
            <v>456102.77393406886</v>
          </cell>
        </row>
        <row r="16">
          <cell r="D16">
            <v>520972.94038172328</v>
          </cell>
        </row>
        <row r="17">
          <cell r="D17">
            <v>51362.276153298939</v>
          </cell>
        </row>
        <row r="18">
          <cell r="D18">
            <v>568681.8114962629</v>
          </cell>
        </row>
        <row r="19">
          <cell r="D19">
            <v>273846.40424524882</v>
          </cell>
        </row>
        <row r="20">
          <cell r="D20">
            <v>3224048.6002943022</v>
          </cell>
        </row>
        <row r="21">
          <cell r="D21">
            <v>455934.15523997229</v>
          </cell>
        </row>
        <row r="22">
          <cell r="D22">
            <v>475687.5925422195</v>
          </cell>
        </row>
        <row r="23">
          <cell r="D23">
            <v>456270.37069668615</v>
          </cell>
        </row>
        <row r="24">
          <cell r="D24">
            <v>457427.19713133667</v>
          </cell>
        </row>
        <row r="25">
          <cell r="D25">
            <v>453225.48081758316</v>
          </cell>
        </row>
        <row r="26">
          <cell r="D26">
            <v>456326.57692805165</v>
          </cell>
        </row>
        <row r="27">
          <cell r="D27">
            <v>496929.00132917956</v>
          </cell>
        </row>
        <row r="28">
          <cell r="D28">
            <v>429211.22133675992</v>
          </cell>
        </row>
        <row r="29">
          <cell r="D29">
            <v>466038.87337429397</v>
          </cell>
        </row>
        <row r="30">
          <cell r="D30">
            <v>65075.050410979144</v>
          </cell>
        </row>
        <row r="31">
          <cell r="D31">
            <v>494538.63880477578</v>
          </cell>
        </row>
        <row r="32">
          <cell r="D32">
            <v>461466.01947052567</v>
          </cell>
        </row>
        <row r="33">
          <cell r="D33">
            <v>551221.39315556001</v>
          </cell>
        </row>
        <row r="34">
          <cell r="D34">
            <v>599075.14041845209</v>
          </cell>
        </row>
        <row r="35">
          <cell r="D35">
            <v>0</v>
          </cell>
        </row>
        <row r="38">
          <cell r="D38">
            <v>456053.72122305894</v>
          </cell>
        </row>
        <row r="39">
          <cell r="D39">
            <v>460429.63181773521</v>
          </cell>
        </row>
        <row r="40">
          <cell r="D40">
            <v>420330.21694720368</v>
          </cell>
        </row>
        <row r="41">
          <cell r="D41">
            <v>458547.23403272976</v>
          </cell>
        </row>
        <row r="42">
          <cell r="D42">
            <v>458152.76848169166</v>
          </cell>
        </row>
        <row r="43">
          <cell r="D43">
            <v>617655.19749734446</v>
          </cell>
        </row>
        <row r="44">
          <cell r="D44">
            <v>424524.06928995653</v>
          </cell>
        </row>
        <row r="45">
          <cell r="D45">
            <v>39482.770354666689</v>
          </cell>
        </row>
        <row r="46">
          <cell r="D46">
            <v>456237.66888934624</v>
          </cell>
        </row>
        <row r="47">
          <cell r="D47">
            <v>521395.66254746116</v>
          </cell>
        </row>
        <row r="48">
          <cell r="D48">
            <v>24314.241406329722</v>
          </cell>
        </row>
        <row r="49">
          <cell r="D49">
            <v>490635.2352232447</v>
          </cell>
        </row>
        <row r="50">
          <cell r="D50">
            <v>453083.35723596084</v>
          </cell>
        </row>
        <row r="51">
          <cell r="D51">
            <v>856148.07084951643</v>
          </cell>
        </row>
        <row r="52">
          <cell r="D52">
            <v>1560802.3614040688</v>
          </cell>
        </row>
      </sheetData>
      <sheetData sheetId="11">
        <row r="5">
          <cell r="C5">
            <v>22.721654516142401</v>
          </cell>
        </row>
      </sheetData>
      <sheetData sheetId="12">
        <row r="5">
          <cell r="C5">
            <v>0</v>
          </cell>
        </row>
      </sheetData>
      <sheetData sheetId="13">
        <row r="5">
          <cell r="C5">
            <v>0</v>
          </cell>
        </row>
      </sheetData>
      <sheetData sheetId="14">
        <row r="5">
          <cell r="C5">
            <v>0</v>
          </cell>
        </row>
      </sheetData>
      <sheetData sheetId="15">
        <row r="5">
          <cell r="C5">
            <v>7810.5241855147724</v>
          </cell>
        </row>
        <row r="6">
          <cell r="C6">
            <v>10382.019313146753</v>
          </cell>
        </row>
        <row r="7">
          <cell r="C7">
            <v>9613.7187442761879</v>
          </cell>
        </row>
        <row r="8">
          <cell r="C8">
            <v>9683.0924457749716</v>
          </cell>
        </row>
        <row r="9">
          <cell r="C9">
            <v>9760.5232569057498</v>
          </cell>
        </row>
        <row r="10">
          <cell r="C10">
            <v>9766.256301884845</v>
          </cell>
        </row>
        <row r="12">
          <cell r="C12">
            <v>23532.889886463974</v>
          </cell>
        </row>
        <row r="13">
          <cell r="C13">
            <v>9614.2906264064877</v>
          </cell>
        </row>
        <row r="14">
          <cell r="C14">
            <v>10736.103411390943</v>
          </cell>
        </row>
        <row r="15">
          <cell r="C15">
            <v>9609.363641899281</v>
          </cell>
        </row>
        <row r="16">
          <cell r="C16">
            <v>11005.591867561863</v>
          </cell>
        </row>
        <row r="17">
          <cell r="C17">
            <v>1105.4921488043335</v>
          </cell>
        </row>
        <row r="18">
          <cell r="C18">
            <v>12032.450223449854</v>
          </cell>
        </row>
        <row r="19">
          <cell r="C19">
            <v>5686.5508530547913</v>
          </cell>
        </row>
        <row r="20">
          <cell r="C20">
            <v>50825.502051431162</v>
          </cell>
        </row>
        <row r="21">
          <cell r="C21">
            <v>9605.7343899185253</v>
          </cell>
        </row>
        <row r="22">
          <cell r="C22">
            <v>9669.4085330991038</v>
          </cell>
        </row>
        <row r="23">
          <cell r="C23">
            <v>9612.9708984134868</v>
          </cell>
        </row>
        <row r="24">
          <cell r="C24">
            <v>9637.8697665481159</v>
          </cell>
        </row>
        <row r="25">
          <cell r="C25">
            <v>9601.8903666973165</v>
          </cell>
        </row>
        <row r="26">
          <cell r="C26">
            <v>9614.1806490737363</v>
          </cell>
        </row>
        <row r="27">
          <cell r="C27">
            <v>10142.147328779693</v>
          </cell>
        </row>
        <row r="28">
          <cell r="C28">
            <v>9238.1272579911511</v>
          </cell>
        </row>
        <row r="29">
          <cell r="C29">
            <v>9818.0852206574273</v>
          </cell>
        </row>
        <row r="30">
          <cell r="C30">
            <v>780.12501758361475</v>
          </cell>
        </row>
        <row r="31">
          <cell r="C31">
            <v>10436.791669212371</v>
          </cell>
        </row>
        <row r="32">
          <cell r="C32">
            <v>9722.1015272976729</v>
          </cell>
        </row>
        <row r="33">
          <cell r="C33">
            <v>11448.282993591136</v>
          </cell>
        </row>
        <row r="34">
          <cell r="C34">
            <v>12341.151797021166</v>
          </cell>
        </row>
        <row r="35">
          <cell r="C35">
            <v>0</v>
          </cell>
        </row>
        <row r="38">
          <cell r="C38">
            <v>9608.4643944049203</v>
          </cell>
        </row>
        <row r="39">
          <cell r="C39">
            <v>9702.6489821721352</v>
          </cell>
        </row>
        <row r="40">
          <cell r="C40">
            <v>8868.7233284812482</v>
          </cell>
        </row>
        <row r="41">
          <cell r="C41">
            <v>9662.133332786987</v>
          </cell>
        </row>
        <row r="42">
          <cell r="C42">
            <v>9653.6430826986725</v>
          </cell>
        </row>
        <row r="43">
          <cell r="C43">
            <v>12719.372246864517</v>
          </cell>
        </row>
        <row r="44">
          <cell r="C44">
            <v>8929.8382649369523</v>
          </cell>
        </row>
        <row r="45">
          <cell r="C45">
            <v>642.24252727100691</v>
          </cell>
        </row>
        <row r="46">
          <cell r="C46">
            <v>9612.4235783839267</v>
          </cell>
        </row>
        <row r="47">
          <cell r="C47">
            <v>10777.497036508537</v>
          </cell>
        </row>
        <row r="48">
          <cell r="C48">
            <v>315.76381726896312</v>
          </cell>
        </row>
        <row r="49">
          <cell r="C49">
            <v>10073.14368012548</v>
          </cell>
        </row>
        <row r="50">
          <cell r="C50">
            <v>9608.7265791747759</v>
          </cell>
        </row>
        <row r="51">
          <cell r="C51">
            <v>18219.865512472708</v>
          </cell>
        </row>
        <row r="52">
          <cell r="C52">
            <v>33272.277262598771</v>
          </cell>
        </row>
      </sheetData>
      <sheetData sheetId="16"/>
      <sheetData sheetId="17"/>
      <sheetData sheetId="18"/>
      <sheetData sheetId="19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</sheetNames>
    <sheetDataSet>
      <sheetData sheetId="0" refreshError="1"/>
      <sheetData sheetId="1">
        <row r="5">
          <cell r="C5">
            <v>70000</v>
          </cell>
        </row>
        <row r="6">
          <cell r="C6">
            <v>7000</v>
          </cell>
        </row>
        <row r="7">
          <cell r="C7">
            <v>7000</v>
          </cell>
        </row>
        <row r="8">
          <cell r="C8">
            <v>7000</v>
          </cell>
        </row>
        <row r="9">
          <cell r="C9">
            <v>7000</v>
          </cell>
        </row>
        <row r="10">
          <cell r="C10">
            <v>7000</v>
          </cell>
        </row>
        <row r="11">
          <cell r="C11">
            <v>7000</v>
          </cell>
        </row>
        <row r="12">
          <cell r="C12">
            <v>7000</v>
          </cell>
        </row>
        <row r="13">
          <cell r="C13">
            <v>7000</v>
          </cell>
        </row>
        <row r="14">
          <cell r="C14">
            <v>7000</v>
          </cell>
        </row>
        <row r="15">
          <cell r="C15">
            <v>0</v>
          </cell>
        </row>
        <row r="16">
          <cell r="C16">
            <v>7000</v>
          </cell>
        </row>
        <row r="17">
          <cell r="C17">
            <v>0</v>
          </cell>
        </row>
        <row r="18">
          <cell r="C18">
            <v>10000</v>
          </cell>
        </row>
        <row r="19">
          <cell r="C19">
            <v>7000</v>
          </cell>
        </row>
        <row r="20">
          <cell r="C20">
            <v>7000</v>
          </cell>
        </row>
        <row r="21">
          <cell r="C21">
            <v>7000</v>
          </cell>
        </row>
        <row r="22">
          <cell r="C22">
            <v>7000</v>
          </cell>
        </row>
        <row r="23">
          <cell r="C23">
            <v>7000</v>
          </cell>
        </row>
        <row r="24">
          <cell r="C24">
            <v>7000</v>
          </cell>
        </row>
        <row r="25">
          <cell r="C25">
            <v>12000</v>
          </cell>
        </row>
        <row r="26">
          <cell r="C26">
            <v>7000</v>
          </cell>
        </row>
        <row r="27">
          <cell r="C27">
            <v>7000</v>
          </cell>
        </row>
        <row r="28">
          <cell r="C28">
            <v>0</v>
          </cell>
        </row>
        <row r="29">
          <cell r="C29">
            <v>7000</v>
          </cell>
        </row>
        <row r="30">
          <cell r="C30">
            <v>7000</v>
          </cell>
        </row>
        <row r="31">
          <cell r="C31">
            <v>10000</v>
          </cell>
        </row>
        <row r="32">
          <cell r="C32">
            <v>12000</v>
          </cell>
        </row>
        <row r="33">
          <cell r="C33">
            <v>0</v>
          </cell>
        </row>
        <row r="34">
          <cell r="C34">
            <v>7000</v>
          </cell>
        </row>
        <row r="35">
          <cell r="C35">
            <v>7000</v>
          </cell>
        </row>
        <row r="36">
          <cell r="C36">
            <v>7000</v>
          </cell>
        </row>
        <row r="37">
          <cell r="C37">
            <v>7000</v>
          </cell>
        </row>
        <row r="38">
          <cell r="C38">
            <v>7000</v>
          </cell>
        </row>
        <row r="39">
          <cell r="C39">
            <v>12000</v>
          </cell>
        </row>
        <row r="40">
          <cell r="C40">
            <v>7000</v>
          </cell>
        </row>
        <row r="41">
          <cell r="C41">
            <v>0</v>
          </cell>
        </row>
        <row r="42">
          <cell r="C42">
            <v>7000</v>
          </cell>
        </row>
        <row r="43">
          <cell r="C43">
            <v>7000</v>
          </cell>
        </row>
        <row r="44">
          <cell r="C44">
            <v>0</v>
          </cell>
        </row>
        <row r="45">
          <cell r="C45">
            <v>7000</v>
          </cell>
        </row>
        <row r="46">
          <cell r="C46">
            <v>0</v>
          </cell>
        </row>
        <row r="47">
          <cell r="C47">
            <v>7000</v>
          </cell>
        </row>
        <row r="48">
          <cell r="C48">
            <v>7000</v>
          </cell>
        </row>
        <row r="57">
          <cell r="F57">
            <v>666000</v>
          </cell>
        </row>
        <row r="58">
          <cell r="F58">
            <v>52500.000000000029</v>
          </cell>
        </row>
      </sheetData>
      <sheetData sheetId="2"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57">
          <cell r="F57">
            <v>0</v>
          </cell>
        </row>
        <row r="58">
          <cell r="F5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Q5" sqref="Q5:Q52"/>
    </sheetView>
  </sheetViews>
  <sheetFormatPr baseColWidth="10" defaultRowHeight="15" x14ac:dyDescent="0.25"/>
  <sheetData>
    <row r="1" spans="1:1" x14ac:dyDescent="0.25">
      <c r="A1" t="s">
        <v>25</v>
      </c>
    </row>
    <row r="2" spans="1:1" x14ac:dyDescent="0.25">
      <c r="A2" t="s">
        <v>23</v>
      </c>
    </row>
    <row r="3" spans="1:1" x14ac:dyDescent="0.25">
      <c r="A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70" sqref="G70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140625" style="2" customWidth="1"/>
    <col min="4" max="4" width="15.28515625" customWidth="1"/>
    <col min="5" max="5" width="23.5703125" style="2" customWidth="1"/>
    <col min="6" max="6" width="16.85546875" customWidth="1"/>
    <col min="7" max="7" width="13" customWidth="1"/>
    <col min="8" max="8" width="15" bestFit="1" customWidth="1"/>
    <col min="9" max="9" width="17.5703125" style="3" bestFit="1" customWidth="1"/>
    <col min="10" max="10" width="15.7109375" style="2" customWidth="1"/>
    <col min="11" max="11" width="12.42578125" style="2" customWidth="1"/>
    <col min="12" max="12" width="9.7109375" style="2" customWidth="1"/>
    <col min="13" max="13" width="12.42578125" style="2" customWidth="1"/>
    <col min="14" max="14" width="12.5703125" bestFit="1" customWidth="1"/>
    <col min="15" max="15" width="18.140625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6"/>
      <c r="D1" s="1"/>
      <c r="E1" s="6"/>
      <c r="F1" s="1"/>
      <c r="G1" s="1"/>
    </row>
    <row r="2" spans="1:20" x14ac:dyDescent="0.25">
      <c r="A2" s="1" t="s">
        <v>2</v>
      </c>
      <c r="B2" s="1" t="s">
        <v>3</v>
      </c>
      <c r="C2" s="6"/>
      <c r="D2" s="1"/>
      <c r="E2" s="6"/>
      <c r="F2" s="1"/>
      <c r="G2" s="1"/>
    </row>
    <row r="3" spans="1:20" x14ac:dyDescent="0.25">
      <c r="A3" s="1" t="s">
        <v>4</v>
      </c>
      <c r="B3" s="1" t="s">
        <v>5</v>
      </c>
      <c r="C3" s="6"/>
      <c r="D3" s="1"/>
      <c r="E3" s="6"/>
      <c r="F3" s="1"/>
      <c r="G3" s="1"/>
    </row>
    <row r="4" spans="1:20" ht="57.75" x14ac:dyDescent="0.25">
      <c r="A4" s="1" t="s">
        <v>6</v>
      </c>
      <c r="B4" s="1" t="s">
        <v>7</v>
      </c>
      <c r="C4" s="6" t="s">
        <v>71</v>
      </c>
      <c r="D4" s="4" t="s">
        <v>8</v>
      </c>
      <c r="E4" s="4" t="s">
        <v>9</v>
      </c>
      <c r="F4" s="1" t="s">
        <v>10</v>
      </c>
      <c r="G4" s="4" t="s">
        <v>70</v>
      </c>
      <c r="H4" s="1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72</v>
      </c>
      <c r="N4" s="4" t="s">
        <v>74</v>
      </c>
      <c r="O4" s="4" t="s">
        <v>75</v>
      </c>
      <c r="P4" s="4" t="s">
        <v>79</v>
      </c>
      <c r="Q4" s="4" t="s">
        <v>80</v>
      </c>
      <c r="R4" s="4" t="s">
        <v>76</v>
      </c>
      <c r="S4" s="4" t="s">
        <v>17</v>
      </c>
      <c r="T4" s="4" t="s">
        <v>18</v>
      </c>
    </row>
    <row r="5" spans="1:20" x14ac:dyDescent="0.25">
      <c r="A5" s="1" t="s">
        <v>19</v>
      </c>
      <c r="B5" s="1" t="str">
        <f>VLOOKUP(A5,[3]LISTADHERENT!A$5:H$52,2,0)</f>
        <v>ASELBY</v>
      </c>
      <c r="C5" s="6">
        <f>+[3]TONT20000ANNUELLE!$C5+D5</f>
        <v>7810.5241855147724</v>
      </c>
      <c r="D5" s="6">
        <f t="shared" ref="D5:D49" si="0">$P$53/$E$53*E5</f>
        <v>0</v>
      </c>
      <c r="E5" s="6">
        <f>[3]TONT20000JUIL2017!$D5+H5</f>
        <v>362884.80253099866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</row>
    <row r="6" spans="1:20" x14ac:dyDescent="0.25">
      <c r="A6" s="1" t="s">
        <v>20</v>
      </c>
      <c r="B6" s="1" t="str">
        <f>VLOOKUP(A6,[3]LISTADHERENT!A$5:H$52,2,0)</f>
        <v>BAKOP ACHILLE</v>
      </c>
      <c r="C6" s="6">
        <f>+[3]TONT20000ANNUELLE!$C6+D6</f>
        <v>10382.019313146753</v>
      </c>
      <c r="D6" s="6">
        <f t="shared" si="0"/>
        <v>0</v>
      </c>
      <c r="E6" s="6">
        <f>[3]TONT20000JUIL2017!$D6+H6</f>
        <v>512344.50474381261</v>
      </c>
      <c r="F6" s="6"/>
      <c r="G6" s="7">
        <f>[4]TONTAOUT!$C5</f>
        <v>70000</v>
      </c>
      <c r="H6" s="7">
        <v>30000</v>
      </c>
      <c r="I6" s="7">
        <v>5000</v>
      </c>
      <c r="J6" s="7">
        <v>10000</v>
      </c>
      <c r="K6" s="7">
        <v>25000</v>
      </c>
      <c r="L6" s="7"/>
      <c r="M6" s="7"/>
      <c r="N6" s="7">
        <f>IF(M6&lt;=500000,(M6*1*3/100),(M6*12/100))</f>
        <v>0</v>
      </c>
      <c r="O6" s="7"/>
      <c r="P6" s="5" t="s">
        <v>21</v>
      </c>
      <c r="Q6" s="5" t="s">
        <v>21</v>
      </c>
      <c r="R6" s="2"/>
      <c r="S6" s="2"/>
      <c r="T6" s="1"/>
    </row>
    <row r="7" spans="1:20" x14ac:dyDescent="0.25">
      <c r="A7" s="1" t="s">
        <v>22</v>
      </c>
      <c r="B7" s="1" t="str">
        <f>VLOOKUP(A7,[3]LISTADHERENT!A$5:H$51,2)</f>
        <v>BOUTCHOUANG WILLIAM</v>
      </c>
      <c r="C7" s="6">
        <f>+[3]TONT20000ANNUELLE!$C7+D7</f>
        <v>9613.7187442761879</v>
      </c>
      <c r="D7" s="6">
        <f t="shared" si="0"/>
        <v>0</v>
      </c>
      <c r="E7" s="6">
        <f>[3]TONT20000JUIL2017!$D7+H7</f>
        <v>459305.11636698479</v>
      </c>
      <c r="F7" s="6"/>
      <c r="G7" s="7">
        <f>[4]TONTAOUT!$C6</f>
        <v>7000</v>
      </c>
      <c r="H7" s="7">
        <f t="shared" ref="H7:H49" si="1">G7-(I7+J7+K7)</f>
        <v>3000</v>
      </c>
      <c r="I7" s="7">
        <f t="shared" ref="I7:I49" si="2">IF(G7=0,0,500)</f>
        <v>500</v>
      </c>
      <c r="J7" s="7">
        <f t="shared" ref="J7:J49" si="3">IF(G7=0,0,1000)</f>
        <v>1000</v>
      </c>
      <c r="K7" s="7">
        <f t="shared" ref="K7:K49" si="4">IF(G7=0,0,2500)</f>
        <v>2500</v>
      </c>
      <c r="L7" s="7"/>
      <c r="M7" s="7"/>
      <c r="N7" s="7">
        <f t="shared" ref="N7:N49" si="5">IF(M7&lt;=500000,(M7*1*3/100),(M7*12/100))</f>
        <v>0</v>
      </c>
      <c r="O7" s="7"/>
      <c r="P7" s="5" t="s">
        <v>21</v>
      </c>
      <c r="Q7" s="5" t="s">
        <v>21</v>
      </c>
      <c r="R7" s="2"/>
      <c r="S7" s="2"/>
      <c r="T7" s="1"/>
    </row>
    <row r="8" spans="1:20" x14ac:dyDescent="0.25">
      <c r="A8" s="1" t="s">
        <v>24</v>
      </c>
      <c r="B8" s="1" t="str">
        <f>VLOOKUP(A8,[3]LISTADHERENT!A$5:H$51,2)</f>
        <v>CHINGUE FABRICE</v>
      </c>
      <c r="C8" s="6">
        <f>+[3]TONT20000ANNUELLE!$C8+D8</f>
        <v>9683.0924457749716</v>
      </c>
      <c r="D8" s="6">
        <f t="shared" si="0"/>
        <v>0</v>
      </c>
      <c r="E8" s="6">
        <f>[3]TONT20000JUIL2017!$D8+H8</f>
        <v>462528.288252928</v>
      </c>
      <c r="F8" s="6"/>
      <c r="G8" s="7">
        <f>[4]TONTAOUT!$C7</f>
        <v>7000</v>
      </c>
      <c r="H8" s="7">
        <f t="shared" si="1"/>
        <v>3000</v>
      </c>
      <c r="I8" s="7">
        <f t="shared" si="2"/>
        <v>500</v>
      </c>
      <c r="J8" s="7">
        <f t="shared" si="3"/>
        <v>1000</v>
      </c>
      <c r="K8" s="7">
        <f t="shared" si="4"/>
        <v>2500</v>
      </c>
      <c r="L8" s="7"/>
      <c r="M8" s="7"/>
      <c r="N8" s="7">
        <f t="shared" si="5"/>
        <v>0</v>
      </c>
      <c r="O8" s="7"/>
      <c r="P8" s="5" t="s">
        <v>21</v>
      </c>
      <c r="Q8" s="5" t="s">
        <v>21</v>
      </c>
      <c r="R8" s="2"/>
      <c r="S8" s="2"/>
      <c r="T8" s="1"/>
    </row>
    <row r="9" spans="1:20" x14ac:dyDescent="0.25">
      <c r="A9" s="1" t="s">
        <v>26</v>
      </c>
      <c r="B9" s="1" t="str">
        <f>VLOOKUP(A9,[3]LISTADHERENT!A$5:H$51,2)</f>
        <v xml:space="preserve">DJOMO JEAN PAUL </v>
      </c>
      <c r="C9" s="6">
        <f>+[3]TONT20000ANNUELLE!$C9+D9</f>
        <v>9760.5232569057498</v>
      </c>
      <c r="D9" s="6">
        <f t="shared" si="0"/>
        <v>0</v>
      </c>
      <c r="E9" s="6">
        <f>[3]TONT20000JUIL2017!$D9+H9</f>
        <v>469801.26367426652</v>
      </c>
      <c r="F9" s="6"/>
      <c r="G9" s="7">
        <f>[4]TONTAOUT!$C8</f>
        <v>7000</v>
      </c>
      <c r="H9" s="7">
        <f t="shared" si="1"/>
        <v>3000</v>
      </c>
      <c r="I9" s="7">
        <f t="shared" si="2"/>
        <v>500</v>
      </c>
      <c r="J9" s="7">
        <f t="shared" si="3"/>
        <v>1000</v>
      </c>
      <c r="K9" s="7">
        <f t="shared" si="4"/>
        <v>2500</v>
      </c>
      <c r="L9" s="7"/>
      <c r="M9" s="7"/>
      <c r="N9" s="7">
        <f t="shared" si="5"/>
        <v>0</v>
      </c>
      <c r="O9" s="7"/>
      <c r="P9" s="5" t="s">
        <v>21</v>
      </c>
      <c r="Q9" s="5" t="s">
        <v>21</v>
      </c>
      <c r="R9" s="2"/>
      <c r="S9" s="2"/>
      <c r="T9" s="1"/>
    </row>
    <row r="10" spans="1:20" x14ac:dyDescent="0.25">
      <c r="A10" s="1" t="s">
        <v>27</v>
      </c>
      <c r="B10" s="1" t="str">
        <f>VLOOKUP(A10,[3]LISTADHERENT!A$5:H$51,2)</f>
        <v>DJOUKWE NANGUEN GUY BLAISE</v>
      </c>
      <c r="C10" s="6">
        <f>+[3]TONT20000ANNUELLE!$C10+D10</f>
        <v>9766.256301884845</v>
      </c>
      <c r="D10" s="6">
        <f t="shared" si="0"/>
        <v>0</v>
      </c>
      <c r="E10" s="6">
        <f>[3]TONT20000JUIL2017!$D10+H10</f>
        <v>476433.58144356601</v>
      </c>
      <c r="F10" s="6"/>
      <c r="G10" s="7">
        <f>[4]TONTAOUT!$C9</f>
        <v>7000</v>
      </c>
      <c r="H10" s="7">
        <f t="shared" si="1"/>
        <v>3000</v>
      </c>
      <c r="I10" s="7">
        <f t="shared" si="2"/>
        <v>500</v>
      </c>
      <c r="J10" s="7">
        <f t="shared" si="3"/>
        <v>1000</v>
      </c>
      <c r="K10" s="7">
        <f t="shared" si="4"/>
        <v>2500</v>
      </c>
      <c r="L10" s="7"/>
      <c r="M10" s="7"/>
      <c r="N10" s="7">
        <f t="shared" si="5"/>
        <v>0</v>
      </c>
      <c r="O10" s="7"/>
      <c r="P10" s="5" t="s">
        <v>21</v>
      </c>
      <c r="Q10" s="5" t="s">
        <v>21</v>
      </c>
      <c r="R10" s="2"/>
      <c r="S10" s="2"/>
      <c r="T10" s="1"/>
    </row>
    <row r="11" spans="1:20" x14ac:dyDescent="0.25">
      <c r="A11" s="1" t="s">
        <v>28</v>
      </c>
      <c r="B11" s="1" t="str">
        <f>VLOOKUP(A11,[3]LISTADHERENT!A$5:H$51,2)</f>
        <v>DJOUNKEP SAMUEL</v>
      </c>
      <c r="C11" s="6">
        <f>+[3]TONT20000ANNUELLE!$C12+D11</f>
        <v>23532.889886463974</v>
      </c>
      <c r="D11" s="6">
        <f t="shared" si="0"/>
        <v>0</v>
      </c>
      <c r="E11" s="6">
        <f>[3]TONT20000JUIL2017!$D12+H11</f>
        <v>1306003.795143957</v>
      </c>
      <c r="F11" s="6"/>
      <c r="G11" s="7">
        <f>[4]TONTAOUT!$C10</f>
        <v>7000</v>
      </c>
      <c r="H11" s="7">
        <f>(G11+200000)-(I11+J11+K11)</f>
        <v>203000</v>
      </c>
      <c r="I11" s="7">
        <f t="shared" si="2"/>
        <v>500</v>
      </c>
      <c r="J11" s="7">
        <f t="shared" si="3"/>
        <v>1000</v>
      </c>
      <c r="K11" s="7">
        <f t="shared" si="4"/>
        <v>2500</v>
      </c>
      <c r="L11" s="7"/>
      <c r="M11" s="7"/>
      <c r="N11" s="7">
        <f t="shared" si="5"/>
        <v>0</v>
      </c>
      <c r="O11" s="7"/>
      <c r="P11" s="5" t="s">
        <v>21</v>
      </c>
      <c r="Q11" s="5" t="s">
        <v>21</v>
      </c>
      <c r="R11" s="2"/>
      <c r="S11" s="2"/>
      <c r="T11" s="1"/>
    </row>
    <row r="12" spans="1:20" x14ac:dyDescent="0.25">
      <c r="A12" s="1" t="s">
        <v>29</v>
      </c>
      <c r="B12" s="1" t="str">
        <f>VLOOKUP(A12,[3]LISTADHERENT!A$5:H$51,2)</f>
        <v>DJUOMBESSY ANTOINE</v>
      </c>
      <c r="C12" s="6">
        <f>+[3]TONT20000ANNUELLE!$C13+D12</f>
        <v>9614.2906264064877</v>
      </c>
      <c r="D12" s="6">
        <f t="shared" si="0"/>
        <v>0</v>
      </c>
      <c r="E12" s="6">
        <f>[3]TONT20000JUIL2017!$D13+H12</f>
        <v>459331.68658544857</v>
      </c>
      <c r="F12" s="6"/>
      <c r="G12" s="7">
        <f>[4]TONTAOUT!$C11</f>
        <v>7000</v>
      </c>
      <c r="H12" s="7">
        <f t="shared" si="1"/>
        <v>3000</v>
      </c>
      <c r="I12" s="7">
        <f t="shared" si="2"/>
        <v>500</v>
      </c>
      <c r="J12" s="7">
        <f t="shared" si="3"/>
        <v>1000</v>
      </c>
      <c r="K12" s="7">
        <f t="shared" si="4"/>
        <v>2500</v>
      </c>
      <c r="L12" s="7"/>
      <c r="M12" s="7"/>
      <c r="N12" s="7">
        <f t="shared" si="5"/>
        <v>0</v>
      </c>
      <c r="O12" s="7"/>
      <c r="P12" s="5" t="s">
        <v>21</v>
      </c>
      <c r="Q12" s="5" t="s">
        <v>21</v>
      </c>
      <c r="R12" s="2"/>
      <c r="S12" s="2"/>
      <c r="T12" s="1"/>
    </row>
    <row r="13" spans="1:20" x14ac:dyDescent="0.25">
      <c r="A13" s="1" t="s">
        <v>30</v>
      </c>
      <c r="B13" s="1" t="str">
        <f>VLOOKUP(A13,[3]LISTADHERENT!A$5:H$51,2)</f>
        <v>DONHOU DAVID</v>
      </c>
      <c r="C13" s="6">
        <f>+[3]TONT20000ANNUELLE!$C14+D13</f>
        <v>10736.103411390943</v>
      </c>
      <c r="D13" s="6">
        <f t="shared" si="0"/>
        <v>0</v>
      </c>
      <c r="E13" s="6">
        <f>[3]TONT20000JUIL2017!$D14+H13</f>
        <v>511452.23589644249</v>
      </c>
      <c r="F13" s="6"/>
      <c r="G13" s="7">
        <f>[4]TONTAOUT!$C12</f>
        <v>7000</v>
      </c>
      <c r="H13" s="7">
        <f t="shared" si="1"/>
        <v>3000</v>
      </c>
      <c r="I13" s="7">
        <f t="shared" si="2"/>
        <v>500</v>
      </c>
      <c r="J13" s="7">
        <f t="shared" si="3"/>
        <v>1000</v>
      </c>
      <c r="K13" s="7">
        <f t="shared" si="4"/>
        <v>2500</v>
      </c>
      <c r="L13" s="7"/>
      <c r="M13" s="7"/>
      <c r="N13" s="7">
        <f t="shared" si="5"/>
        <v>0</v>
      </c>
      <c r="O13" s="7"/>
      <c r="P13" s="5" t="s">
        <v>21</v>
      </c>
      <c r="Q13" s="5" t="s">
        <v>21</v>
      </c>
      <c r="R13" s="2"/>
      <c r="S13" s="2"/>
      <c r="T13" s="1"/>
    </row>
    <row r="14" spans="1:20" x14ac:dyDescent="0.25">
      <c r="A14" s="1" t="s">
        <v>31</v>
      </c>
      <c r="B14" s="1" t="str">
        <f>VLOOKUP(A14,[3]LISTADHERENT!A$5:H$51,2)</f>
        <v>FOTSO THOMAS</v>
      </c>
      <c r="C14" s="6">
        <f>+[3]TONT20000ANNUELLE!$C15+D14</f>
        <v>9609.363641899281</v>
      </c>
      <c r="D14" s="6">
        <f t="shared" si="0"/>
        <v>0</v>
      </c>
      <c r="E14" s="6">
        <f>[3]TONT20000JUIL2017!$D15+H14</f>
        <v>459102.77393406886</v>
      </c>
      <c r="F14" s="6"/>
      <c r="G14" s="7">
        <f>[4]TONTAOUT!$C13</f>
        <v>7000</v>
      </c>
      <c r="H14" s="7">
        <f t="shared" si="1"/>
        <v>3000</v>
      </c>
      <c r="I14" s="7">
        <f t="shared" si="2"/>
        <v>500</v>
      </c>
      <c r="J14" s="7">
        <f t="shared" si="3"/>
        <v>1000</v>
      </c>
      <c r="K14" s="7">
        <f t="shared" si="4"/>
        <v>2500</v>
      </c>
      <c r="L14" s="7"/>
      <c r="M14" s="7"/>
      <c r="N14" s="7">
        <f t="shared" si="5"/>
        <v>0</v>
      </c>
      <c r="O14" s="7"/>
      <c r="P14" s="5" t="s">
        <v>21</v>
      </c>
      <c r="Q14" s="5" t="s">
        <v>21</v>
      </c>
      <c r="R14" s="2"/>
      <c r="S14" s="2"/>
      <c r="T14" s="1"/>
    </row>
    <row r="15" spans="1:20" x14ac:dyDescent="0.25">
      <c r="A15" s="1" t="s">
        <v>32</v>
      </c>
      <c r="B15" s="1" t="str">
        <f>VLOOKUP(A15,[3]LISTADHERENT!A$5:H$51,2)</f>
        <v>HENGUE PAUL OMER</v>
      </c>
      <c r="C15" s="6">
        <f>+[3]TONT20000ANNUELLE!$C16+D15</f>
        <v>11005.591867561863</v>
      </c>
      <c r="D15" s="6">
        <f t="shared" si="0"/>
        <v>0</v>
      </c>
      <c r="E15" s="6">
        <f>[3]TONT20000JUIL2017!$D16+H15</f>
        <v>523972.94038172328</v>
      </c>
      <c r="F15" s="6"/>
      <c r="G15" s="7">
        <f>[4]TONTAOUT!$C14</f>
        <v>7000</v>
      </c>
      <c r="H15" s="7">
        <f t="shared" si="1"/>
        <v>3000</v>
      </c>
      <c r="I15" s="7">
        <f t="shared" si="2"/>
        <v>500</v>
      </c>
      <c r="J15" s="7">
        <f t="shared" si="3"/>
        <v>1000</v>
      </c>
      <c r="K15" s="7">
        <f t="shared" si="4"/>
        <v>2500</v>
      </c>
      <c r="L15" s="7"/>
      <c r="M15" s="7"/>
      <c r="N15" s="7">
        <f t="shared" si="5"/>
        <v>0</v>
      </c>
      <c r="O15" s="7"/>
      <c r="P15" s="5" t="s">
        <v>21</v>
      </c>
      <c r="Q15" s="5" t="s">
        <v>21</v>
      </c>
      <c r="R15" s="2"/>
      <c r="S15" s="2"/>
      <c r="T15" s="1"/>
    </row>
    <row r="16" spans="1:20" x14ac:dyDescent="0.25">
      <c r="A16" s="1" t="s">
        <v>33</v>
      </c>
      <c r="B16" s="1" t="str">
        <f>VLOOKUP(A16,[3]LISTADHERENT!A$5:H$51,2)</f>
        <v>HODIEP JULES</v>
      </c>
      <c r="C16" s="6">
        <f>+[3]TONT20000ANNUELLE!$C17+D16</f>
        <v>1105.4921488043335</v>
      </c>
      <c r="D16" s="6">
        <f t="shared" si="0"/>
        <v>0</v>
      </c>
      <c r="E16" s="6">
        <f>[3]TONT20000JUIL2017!$D17+H16</f>
        <v>51362.276153298939</v>
      </c>
      <c r="F16" s="6"/>
      <c r="G16" s="7">
        <f>[4]TONTAOUT!$C15</f>
        <v>0</v>
      </c>
      <c r="H16" s="7">
        <f t="shared" si="1"/>
        <v>0</v>
      </c>
      <c r="I16" s="7">
        <f t="shared" si="2"/>
        <v>0</v>
      </c>
      <c r="J16" s="7">
        <f t="shared" si="3"/>
        <v>0</v>
      </c>
      <c r="K16" s="7">
        <f t="shared" si="4"/>
        <v>0</v>
      </c>
      <c r="L16" s="7"/>
      <c r="M16" s="7"/>
      <c r="N16" s="7">
        <f t="shared" si="5"/>
        <v>0</v>
      </c>
      <c r="O16" s="7"/>
      <c r="P16" s="5" t="s">
        <v>21</v>
      </c>
      <c r="Q16" s="5" t="s">
        <v>21</v>
      </c>
      <c r="R16" s="2"/>
      <c r="S16" s="2"/>
      <c r="T16" s="1"/>
    </row>
    <row r="17" spans="1:20" x14ac:dyDescent="0.25">
      <c r="A17" s="1" t="s">
        <v>34</v>
      </c>
      <c r="B17" s="1" t="str">
        <f>VLOOKUP(A17,[3]LISTADHERENT!A$5:H$51,2)</f>
        <v>HOTCHO BENJAMIN</v>
      </c>
      <c r="C17" s="6">
        <f>+[3]TONT20000ANNUELLE!$C18+D17</f>
        <v>12032.450223449854</v>
      </c>
      <c r="D17" s="6">
        <f t="shared" si="0"/>
        <v>0</v>
      </c>
      <c r="E17" s="6">
        <f>[3]TONT20000JUIL2017!$D18+H17</f>
        <v>571681.8114962629</v>
      </c>
      <c r="F17" s="6"/>
      <c r="G17" s="7">
        <f>[4]TONTAOUT!$C16</f>
        <v>7000</v>
      </c>
      <c r="H17" s="7">
        <f t="shared" si="1"/>
        <v>3000</v>
      </c>
      <c r="I17" s="7">
        <f t="shared" si="2"/>
        <v>500</v>
      </c>
      <c r="J17" s="7">
        <f t="shared" si="3"/>
        <v>1000</v>
      </c>
      <c r="K17" s="7">
        <f t="shared" si="4"/>
        <v>2500</v>
      </c>
      <c r="L17" s="7"/>
      <c r="M17" s="7"/>
      <c r="N17" s="7">
        <f t="shared" si="5"/>
        <v>0</v>
      </c>
      <c r="O17" s="7"/>
      <c r="P17" s="5" t="s">
        <v>21</v>
      </c>
      <c r="Q17" s="5" t="s">
        <v>21</v>
      </c>
      <c r="R17" s="2"/>
      <c r="S17" s="2"/>
      <c r="T17" s="1"/>
    </row>
    <row r="18" spans="1:20" x14ac:dyDescent="0.25">
      <c r="A18" s="1" t="s">
        <v>35</v>
      </c>
      <c r="B18" s="1" t="str">
        <f>VLOOKUP(A18,[3]LISTADHERENT!A$5:H$51,2)</f>
        <v>KEPHE DAVID</v>
      </c>
      <c r="C18" s="6">
        <f>+[3]TONT20000ANNUELLE!$C19+D18</f>
        <v>5686.5508530547913</v>
      </c>
      <c r="D18" s="6">
        <f t="shared" si="0"/>
        <v>0</v>
      </c>
      <c r="E18" s="6">
        <f>[3]TONT20000JUIL2017!$D19+H18</f>
        <v>273846.40424524882</v>
      </c>
      <c r="F18" s="6"/>
      <c r="G18" s="7">
        <f>[4]TONTAOUT!$C17</f>
        <v>0</v>
      </c>
      <c r="H18" s="7">
        <f t="shared" si="1"/>
        <v>0</v>
      </c>
      <c r="I18" s="7">
        <f t="shared" si="2"/>
        <v>0</v>
      </c>
      <c r="J18" s="7">
        <f t="shared" si="3"/>
        <v>0</v>
      </c>
      <c r="K18" s="7">
        <f t="shared" si="4"/>
        <v>0</v>
      </c>
      <c r="L18" s="7"/>
      <c r="M18" s="7"/>
      <c r="N18" s="7">
        <f t="shared" si="5"/>
        <v>0</v>
      </c>
      <c r="O18" s="7"/>
      <c r="P18" s="5" t="s">
        <v>21</v>
      </c>
      <c r="Q18" s="5" t="s">
        <v>21</v>
      </c>
      <c r="R18" s="2"/>
      <c r="S18" s="2"/>
      <c r="T18" s="1"/>
    </row>
    <row r="19" spans="1:20" x14ac:dyDescent="0.25">
      <c r="A19" s="1" t="s">
        <v>36</v>
      </c>
      <c r="B19" s="1" t="str">
        <f>VLOOKUP(A19,[3]LISTADHERENT!A$5:H$51,2)</f>
        <v>KEPSEU FRANCIS</v>
      </c>
      <c r="C19" s="6">
        <f>+[3]TONT20000ANNUELLE!$C20+D19</f>
        <v>50825.502051431162</v>
      </c>
      <c r="D19" s="6">
        <f t="shared" si="0"/>
        <v>0</v>
      </c>
      <c r="E19" s="6">
        <f>[3]TONT20000JUIL2017!$D20+H19</f>
        <v>3230048.6002943022</v>
      </c>
      <c r="F19" s="6"/>
      <c r="G19" s="7">
        <f>[4]TONTAOUT!$C18</f>
        <v>10000</v>
      </c>
      <c r="H19" s="7">
        <f t="shared" si="1"/>
        <v>6000</v>
      </c>
      <c r="I19" s="7">
        <f t="shared" si="2"/>
        <v>500</v>
      </c>
      <c r="J19" s="7">
        <f t="shared" si="3"/>
        <v>1000</v>
      </c>
      <c r="K19" s="7">
        <f t="shared" si="4"/>
        <v>2500</v>
      </c>
      <c r="L19" s="7"/>
      <c r="M19" s="7"/>
      <c r="N19" s="7">
        <f t="shared" si="5"/>
        <v>0</v>
      </c>
      <c r="O19" s="7"/>
      <c r="P19" s="5" t="s">
        <v>21</v>
      </c>
      <c r="Q19" s="5" t="s">
        <v>21</v>
      </c>
      <c r="R19" s="2"/>
      <c r="S19" s="2"/>
      <c r="T19" s="1"/>
    </row>
    <row r="20" spans="1:20" x14ac:dyDescent="0.25">
      <c r="A20" s="1" t="s">
        <v>37</v>
      </c>
      <c r="B20" s="1" t="str">
        <f>VLOOKUP(A20,[3]LISTADHERENT!A$5:H$51,2)</f>
        <v>KOUAMOU EMMANUEL</v>
      </c>
      <c r="C20" s="6">
        <f>+[3]TONT20000ANNUELLE!$C21+D20</f>
        <v>9605.7343899185253</v>
      </c>
      <c r="D20" s="6">
        <f t="shared" si="0"/>
        <v>0</v>
      </c>
      <c r="E20" s="6">
        <f>[3]TONT20000JUIL2017!$D21+H20</f>
        <v>458934.15523997229</v>
      </c>
      <c r="F20" s="6"/>
      <c r="G20" s="7">
        <f>[4]TONTAOUT!$C19</f>
        <v>7000</v>
      </c>
      <c r="H20" s="7">
        <f t="shared" si="1"/>
        <v>3000</v>
      </c>
      <c r="I20" s="7">
        <f t="shared" si="2"/>
        <v>500</v>
      </c>
      <c r="J20" s="7">
        <f t="shared" si="3"/>
        <v>1000</v>
      </c>
      <c r="K20" s="7">
        <f t="shared" si="4"/>
        <v>2500</v>
      </c>
      <c r="L20" s="7"/>
      <c r="M20" s="7"/>
      <c r="N20" s="7">
        <f t="shared" si="5"/>
        <v>0</v>
      </c>
      <c r="O20" s="7">
        <v>50000</v>
      </c>
      <c r="P20" s="5" t="s">
        <v>21</v>
      </c>
      <c r="Q20" s="5" t="s">
        <v>21</v>
      </c>
      <c r="R20" s="2"/>
      <c r="S20" s="2"/>
      <c r="T20" s="1"/>
    </row>
    <row r="21" spans="1:20" x14ac:dyDescent="0.25">
      <c r="A21" s="1" t="s">
        <v>38</v>
      </c>
      <c r="B21" s="1" t="str">
        <f>VLOOKUP(A21,[3]LISTADHERENT!A$5:H$51,2)</f>
        <v>KOUAMOU MOISE</v>
      </c>
      <c r="C21" s="6">
        <f>+[3]TONT20000ANNUELLE!$C22+D21</f>
        <v>9669.4085330991038</v>
      </c>
      <c r="D21" s="6">
        <f t="shared" si="0"/>
        <v>0</v>
      </c>
      <c r="E21" s="6">
        <f>[3]TONT20000JUIL2017!$D22+H21</f>
        <v>478687.5925422195</v>
      </c>
      <c r="F21" s="6"/>
      <c r="G21" s="7">
        <f>[4]TONTAOUT!$C20</f>
        <v>7000</v>
      </c>
      <c r="H21" s="7">
        <f t="shared" si="1"/>
        <v>3000</v>
      </c>
      <c r="I21" s="7">
        <f t="shared" si="2"/>
        <v>500</v>
      </c>
      <c r="J21" s="7">
        <f t="shared" si="3"/>
        <v>1000</v>
      </c>
      <c r="K21" s="7">
        <f t="shared" si="4"/>
        <v>2500</v>
      </c>
      <c r="L21" s="7"/>
      <c r="M21" s="7"/>
      <c r="N21" s="7">
        <f t="shared" si="5"/>
        <v>0</v>
      </c>
      <c r="O21" s="7"/>
      <c r="P21" s="5" t="s">
        <v>21</v>
      </c>
      <c r="Q21" s="5" t="s">
        <v>21</v>
      </c>
      <c r="R21" s="2"/>
      <c r="S21" s="2"/>
      <c r="T21" s="1"/>
    </row>
    <row r="22" spans="1:20" x14ac:dyDescent="0.25">
      <c r="A22" s="1" t="s">
        <v>39</v>
      </c>
      <c r="B22" s="1" t="str">
        <f>VLOOKUP(A22,[3]LISTADHERENT!A$5:H$51,2)</f>
        <v>KOUAMO VICTOR PEGUY</v>
      </c>
      <c r="C22" s="6">
        <f>+[3]TONT20000ANNUELLE!$C23+D22</f>
        <v>9612.9708984134868</v>
      </c>
      <c r="D22" s="6">
        <f t="shared" si="0"/>
        <v>0</v>
      </c>
      <c r="E22" s="6">
        <f>[3]TONT20000JUIL2017!$D23+H22</f>
        <v>459270.37069668615</v>
      </c>
      <c r="F22" s="6"/>
      <c r="G22" s="7">
        <f>[4]TONTAOUT!$C21</f>
        <v>7000</v>
      </c>
      <c r="H22" s="7">
        <f t="shared" si="1"/>
        <v>3000</v>
      </c>
      <c r="I22" s="7">
        <f t="shared" si="2"/>
        <v>500</v>
      </c>
      <c r="J22" s="7">
        <f t="shared" si="3"/>
        <v>1000</v>
      </c>
      <c r="K22" s="7">
        <f t="shared" si="4"/>
        <v>2500</v>
      </c>
      <c r="L22" s="7"/>
      <c r="M22" s="7"/>
      <c r="N22" s="7">
        <f t="shared" si="5"/>
        <v>0</v>
      </c>
      <c r="O22" s="7"/>
      <c r="P22" s="5" t="s">
        <v>21</v>
      </c>
      <c r="Q22" s="5" t="s">
        <v>21</v>
      </c>
      <c r="R22" s="2"/>
      <c r="S22" s="2"/>
      <c r="T22" s="1"/>
    </row>
    <row r="23" spans="1:20" x14ac:dyDescent="0.25">
      <c r="A23" s="1" t="s">
        <v>40</v>
      </c>
      <c r="B23" s="1" t="str">
        <f>VLOOKUP(A23,[3]LISTADHERENT!A$5:H$51,2)</f>
        <v>KOUATCHO MESSACK</v>
      </c>
      <c r="C23" s="6">
        <f>+[3]TONT20000ANNUELLE!$C24+D23</f>
        <v>9637.8697665481159</v>
      </c>
      <c r="D23" s="6">
        <f t="shared" si="0"/>
        <v>0</v>
      </c>
      <c r="E23" s="6">
        <f>[3]TONT20000JUIL2017!$D24+H23</f>
        <v>460427.19713133667</v>
      </c>
      <c r="F23" s="6"/>
      <c r="G23" s="7">
        <f>[4]TONTAOUT!$C22</f>
        <v>7000</v>
      </c>
      <c r="H23" s="7">
        <f t="shared" si="1"/>
        <v>3000</v>
      </c>
      <c r="I23" s="7">
        <f t="shared" si="2"/>
        <v>500</v>
      </c>
      <c r="J23" s="7">
        <f t="shared" si="3"/>
        <v>1000</v>
      </c>
      <c r="K23" s="7">
        <f t="shared" si="4"/>
        <v>2500</v>
      </c>
      <c r="L23" s="7"/>
      <c r="M23" s="7"/>
      <c r="N23" s="7">
        <f t="shared" si="5"/>
        <v>0</v>
      </c>
      <c r="O23" s="7"/>
      <c r="P23" s="5" t="s">
        <v>21</v>
      </c>
      <c r="Q23" s="5" t="s">
        <v>21</v>
      </c>
      <c r="R23" s="2"/>
      <c r="S23" s="2"/>
      <c r="T23" s="1"/>
    </row>
    <row r="24" spans="1:20" x14ac:dyDescent="0.25">
      <c r="A24" s="1" t="s">
        <v>41</v>
      </c>
      <c r="B24" s="1" t="str">
        <f>VLOOKUP(A24,[3]LISTADHERENT!A$5:H$51,2)</f>
        <v>LOWE JEAN</v>
      </c>
      <c r="C24" s="6">
        <f>+[3]TONT20000ANNUELLE!$C25+D24</f>
        <v>9601.8903666973165</v>
      </c>
      <c r="D24" s="6">
        <f t="shared" si="0"/>
        <v>0</v>
      </c>
      <c r="E24" s="6">
        <f>[3]TONT20000JUIL2017!$D25+H24</f>
        <v>456225.48081758316</v>
      </c>
      <c r="F24" s="6"/>
      <c r="G24" s="7">
        <f>[4]TONTAOUT!$C23</f>
        <v>7000</v>
      </c>
      <c r="H24" s="7">
        <f t="shared" si="1"/>
        <v>3000</v>
      </c>
      <c r="I24" s="7">
        <f t="shared" si="2"/>
        <v>500</v>
      </c>
      <c r="J24" s="7">
        <f t="shared" si="3"/>
        <v>1000</v>
      </c>
      <c r="K24" s="7">
        <f t="shared" si="4"/>
        <v>2500</v>
      </c>
      <c r="L24" s="7"/>
      <c r="M24" s="7">
        <v>150000</v>
      </c>
      <c r="N24" s="7">
        <f t="shared" si="5"/>
        <v>4500</v>
      </c>
      <c r="O24" s="7"/>
      <c r="P24" s="5" t="s">
        <v>21</v>
      </c>
      <c r="Q24" s="5" t="s">
        <v>21</v>
      </c>
      <c r="R24" s="2"/>
      <c r="S24" s="2"/>
      <c r="T24" s="1"/>
    </row>
    <row r="25" spans="1:20" x14ac:dyDescent="0.25">
      <c r="A25" s="1" t="s">
        <v>42</v>
      </c>
      <c r="B25" s="1" t="str">
        <f>VLOOKUP(A25,[3]LISTADHERENT!A$5:H$51,2)</f>
        <v>NANKAM APPOLINAIRE</v>
      </c>
      <c r="C25" s="6">
        <f>+[3]TONT20000ANNUELLE!$C26+D25</f>
        <v>9614.1806490737363</v>
      </c>
      <c r="D25" s="6">
        <f t="shared" si="0"/>
        <v>0</v>
      </c>
      <c r="E25" s="6">
        <f>[3]TONT20000JUIL2017!$D26+H25</f>
        <v>459326.57692805165</v>
      </c>
      <c r="F25" s="6"/>
      <c r="G25" s="7">
        <f>[4]TONTAOUT!$C24</f>
        <v>7000</v>
      </c>
      <c r="H25" s="7">
        <f t="shared" si="1"/>
        <v>3000</v>
      </c>
      <c r="I25" s="7">
        <f t="shared" si="2"/>
        <v>500</v>
      </c>
      <c r="J25" s="7">
        <f t="shared" si="3"/>
        <v>1000</v>
      </c>
      <c r="K25" s="7">
        <f t="shared" si="4"/>
        <v>2500</v>
      </c>
      <c r="L25" s="7"/>
      <c r="M25" s="7"/>
      <c r="N25" s="7">
        <f t="shared" si="5"/>
        <v>0</v>
      </c>
      <c r="O25" s="7">
        <v>21000</v>
      </c>
      <c r="P25" s="5" t="s">
        <v>21</v>
      </c>
      <c r="Q25" s="5" t="s">
        <v>21</v>
      </c>
      <c r="R25" s="2"/>
      <c r="S25" s="2"/>
      <c r="T25" s="1"/>
    </row>
    <row r="26" spans="1:20" x14ac:dyDescent="0.25">
      <c r="A26" s="1" t="s">
        <v>43</v>
      </c>
      <c r="B26" s="1" t="str">
        <f>VLOOKUP(A26,[3]LISTADHERENT!A$5:H$51,2)</f>
        <v>NDJOMO ETIENNE</v>
      </c>
      <c r="C26" s="6">
        <f>+[3]TONT20000ANNUELLE!$C27+D26</f>
        <v>10142.147328779693</v>
      </c>
      <c r="D26" s="6">
        <f t="shared" si="0"/>
        <v>0</v>
      </c>
      <c r="E26" s="6">
        <f>[3]TONT20000JUIL2017!$D27+H26</f>
        <v>504929.00132917956</v>
      </c>
      <c r="F26" s="6"/>
      <c r="G26" s="7">
        <f>[4]TONTAOUT!$C25</f>
        <v>12000</v>
      </c>
      <c r="H26" s="7">
        <f t="shared" si="1"/>
        <v>8000</v>
      </c>
      <c r="I26" s="7">
        <f t="shared" si="2"/>
        <v>500</v>
      </c>
      <c r="J26" s="7">
        <f t="shared" si="3"/>
        <v>1000</v>
      </c>
      <c r="K26" s="7">
        <f t="shared" si="4"/>
        <v>2500</v>
      </c>
      <c r="L26" s="7"/>
      <c r="M26" s="7"/>
      <c r="N26" s="7">
        <f t="shared" si="5"/>
        <v>0</v>
      </c>
      <c r="O26" s="7"/>
      <c r="P26" s="5" t="s">
        <v>21</v>
      </c>
      <c r="Q26" s="5" t="s">
        <v>21</v>
      </c>
      <c r="R26" s="2"/>
      <c r="S26" s="2"/>
      <c r="T26" s="1"/>
    </row>
    <row r="27" spans="1:20" x14ac:dyDescent="0.25">
      <c r="A27" s="8" t="s">
        <v>44</v>
      </c>
      <c r="B27" s="1" t="str">
        <f>VLOOKUP(A27,[3]LISTADHERENT!A$5:H$51,2)</f>
        <v>NDOMBOU JEAN CLAUDE</v>
      </c>
      <c r="C27" s="6">
        <f>+[3]TONT20000ANNUELLE!$C28+D27</f>
        <v>9238.1272579911511</v>
      </c>
      <c r="D27" s="6">
        <f t="shared" si="0"/>
        <v>0</v>
      </c>
      <c r="E27" s="6">
        <f>[3]TONT20000JUIL2017!$D28+H27</f>
        <v>432211.22133675992</v>
      </c>
      <c r="F27" s="6"/>
      <c r="G27" s="7">
        <f>[4]TONTAOUT!$C26</f>
        <v>7000</v>
      </c>
      <c r="H27" s="7">
        <f t="shared" si="1"/>
        <v>3000</v>
      </c>
      <c r="I27" s="7">
        <f t="shared" si="2"/>
        <v>500</v>
      </c>
      <c r="J27" s="7">
        <f t="shared" si="3"/>
        <v>1000</v>
      </c>
      <c r="K27" s="7">
        <f t="shared" si="4"/>
        <v>2500</v>
      </c>
      <c r="L27" s="7"/>
      <c r="M27" s="7"/>
      <c r="N27" s="7">
        <f t="shared" si="5"/>
        <v>0</v>
      </c>
      <c r="O27" s="7"/>
      <c r="P27" s="5" t="s">
        <v>21</v>
      </c>
      <c r="Q27" s="5" t="s">
        <v>21</v>
      </c>
      <c r="R27" s="2"/>
      <c r="S27" s="2"/>
      <c r="T27" s="1"/>
    </row>
    <row r="28" spans="1:20" x14ac:dyDescent="0.25">
      <c r="A28" s="1" t="s">
        <v>45</v>
      </c>
      <c r="B28" s="1" t="str">
        <f>VLOOKUP(A28,[3]LISTADHERENT!A$5:H$51,2)</f>
        <v>NGONDIEP CLAUDE</v>
      </c>
      <c r="C28" s="6">
        <f>+[3]TONT20000ANNUELLE!$C29+D28</f>
        <v>9818.0852206574273</v>
      </c>
      <c r="D28" s="6">
        <f t="shared" si="0"/>
        <v>0</v>
      </c>
      <c r="E28" s="6">
        <f>[3]TONT20000JUIL2017!$D29+H28</f>
        <v>469038.87337429397</v>
      </c>
      <c r="F28" s="6"/>
      <c r="G28" s="7">
        <f>[4]TONTAOUT!$C27</f>
        <v>7000</v>
      </c>
      <c r="H28" s="7">
        <f t="shared" si="1"/>
        <v>3000</v>
      </c>
      <c r="I28" s="7">
        <f t="shared" si="2"/>
        <v>500</v>
      </c>
      <c r="J28" s="7">
        <f t="shared" si="3"/>
        <v>1000</v>
      </c>
      <c r="K28" s="7">
        <f t="shared" si="4"/>
        <v>2500</v>
      </c>
      <c r="L28" s="7"/>
      <c r="M28" s="7"/>
      <c r="N28" s="7">
        <f t="shared" si="5"/>
        <v>0</v>
      </c>
      <c r="O28" s="7"/>
      <c r="P28" s="5" t="s">
        <v>21</v>
      </c>
      <c r="Q28" s="5" t="s">
        <v>21</v>
      </c>
      <c r="R28" s="2"/>
      <c r="S28" s="2"/>
      <c r="T28" s="1"/>
    </row>
    <row r="29" spans="1:20" x14ac:dyDescent="0.25">
      <c r="A29" s="1" t="s">
        <v>46</v>
      </c>
      <c r="B29" s="1" t="str">
        <f>VLOOKUP(A29,[3]LISTADHERENT!A$5:H$51,2)</f>
        <v>NGONGANG JEAN THEODORE</v>
      </c>
      <c r="C29" s="6">
        <f>+[3]TONT20000ANNUELLE!$C30+D29</f>
        <v>780.12501758361475</v>
      </c>
      <c r="D29" s="6">
        <f t="shared" si="0"/>
        <v>0</v>
      </c>
      <c r="E29" s="6">
        <f>[3]TONT20000JUIL2017!$D30+H29</f>
        <v>65075.050410979144</v>
      </c>
      <c r="F29" s="6"/>
      <c r="G29" s="7">
        <f>[4]TONTAOUT!$C28</f>
        <v>0</v>
      </c>
      <c r="H29" s="7">
        <f t="shared" si="1"/>
        <v>0</v>
      </c>
      <c r="I29" s="7">
        <f t="shared" si="2"/>
        <v>0</v>
      </c>
      <c r="J29" s="7">
        <f t="shared" si="3"/>
        <v>0</v>
      </c>
      <c r="K29" s="7">
        <f t="shared" si="4"/>
        <v>0</v>
      </c>
      <c r="L29" s="7"/>
      <c r="M29" s="7"/>
      <c r="N29" s="7">
        <f t="shared" si="5"/>
        <v>0</v>
      </c>
      <c r="O29" s="7"/>
      <c r="P29" s="5" t="s">
        <v>21</v>
      </c>
      <c r="Q29" s="5" t="s">
        <v>21</v>
      </c>
      <c r="R29" s="2"/>
      <c r="S29" s="2"/>
      <c r="T29" s="1"/>
    </row>
    <row r="30" spans="1:20" x14ac:dyDescent="0.25">
      <c r="A30" s="1" t="s">
        <v>47</v>
      </c>
      <c r="B30" s="1" t="str">
        <f>VLOOKUP(A30,[3]LISTADHERENT!A$5:H$51,2)</f>
        <v>NGUIEMEGNI MATHIEU BLAISE</v>
      </c>
      <c r="C30" s="6">
        <f>+[3]TONT20000ANNUELLE!$C31+D30</f>
        <v>10436.791669212371</v>
      </c>
      <c r="D30" s="6">
        <f t="shared" si="0"/>
        <v>0</v>
      </c>
      <c r="E30" s="6">
        <f>[3]TONT20000JUIL2017!$D31+H30</f>
        <v>497538.63880477578</v>
      </c>
      <c r="F30" s="6"/>
      <c r="G30" s="7">
        <f>[4]TONTAOUT!$C29</f>
        <v>7000</v>
      </c>
      <c r="H30" s="7">
        <f t="shared" si="1"/>
        <v>3000</v>
      </c>
      <c r="I30" s="7">
        <f t="shared" si="2"/>
        <v>500</v>
      </c>
      <c r="J30" s="7">
        <f t="shared" si="3"/>
        <v>1000</v>
      </c>
      <c r="K30" s="7">
        <f t="shared" si="4"/>
        <v>2500</v>
      </c>
      <c r="L30" s="7"/>
      <c r="M30" s="7"/>
      <c r="N30" s="7">
        <f t="shared" si="5"/>
        <v>0</v>
      </c>
      <c r="O30" s="7"/>
      <c r="P30" s="5" t="s">
        <v>21</v>
      </c>
      <c r="Q30" s="5" t="s">
        <v>21</v>
      </c>
      <c r="R30" s="2"/>
      <c r="S30" s="2"/>
      <c r="T30" s="1"/>
    </row>
    <row r="31" spans="1:20" x14ac:dyDescent="0.25">
      <c r="A31" s="1" t="s">
        <v>48</v>
      </c>
      <c r="B31" s="1" t="str">
        <f>VLOOKUP(A31,[3]LISTADHERENT!A$5:H$51,2)</f>
        <v>NJEPDJIO MBOUKAM DELUXE</v>
      </c>
      <c r="C31" s="6">
        <f>+[3]TONT20000ANNUELLE!$C32+D31</f>
        <v>9722.1015272976729</v>
      </c>
      <c r="D31" s="6">
        <f t="shared" si="0"/>
        <v>0</v>
      </c>
      <c r="E31" s="6">
        <f>[3]TONT20000JUIL2017!$D32+H31</f>
        <v>464466.01947052567</v>
      </c>
      <c r="F31" s="6"/>
      <c r="G31" s="7">
        <f>[4]TONTAOUT!$C30</f>
        <v>7000</v>
      </c>
      <c r="H31" s="7">
        <f t="shared" si="1"/>
        <v>3000</v>
      </c>
      <c r="I31" s="7">
        <f t="shared" si="2"/>
        <v>500</v>
      </c>
      <c r="J31" s="7">
        <f t="shared" si="3"/>
        <v>1000</v>
      </c>
      <c r="K31" s="7">
        <f t="shared" si="4"/>
        <v>2500</v>
      </c>
      <c r="L31" s="7"/>
      <c r="M31" s="7"/>
      <c r="N31" s="7">
        <f t="shared" si="5"/>
        <v>0</v>
      </c>
      <c r="O31" s="7"/>
      <c r="P31" s="5" t="s">
        <v>21</v>
      </c>
      <c r="Q31" s="5" t="s">
        <v>21</v>
      </c>
      <c r="R31" s="2"/>
      <c r="S31" s="2"/>
      <c r="T31" s="1"/>
    </row>
    <row r="32" spans="1:20" x14ac:dyDescent="0.25">
      <c r="A32" s="1" t="s">
        <v>49</v>
      </c>
      <c r="B32" s="1" t="str">
        <f>VLOOKUP(A32,[3]LISTADHERENT!A$5:H$51,2)</f>
        <v>NKAMGANG JUSTIN DEJOLIE</v>
      </c>
      <c r="C32" s="6">
        <f>+[3]TONT20000ANNUELLE!$C33+D32</f>
        <v>11448.282993591136</v>
      </c>
      <c r="D32" s="6">
        <f t="shared" si="0"/>
        <v>0</v>
      </c>
      <c r="E32" s="6">
        <f>[3]TONT20000JUIL2017!$D33+H32</f>
        <v>557221.39315556001</v>
      </c>
      <c r="F32" s="6"/>
      <c r="G32" s="7">
        <f>[4]TONTAOUT!$C31</f>
        <v>10000</v>
      </c>
      <c r="H32" s="7">
        <f t="shared" si="1"/>
        <v>6000</v>
      </c>
      <c r="I32" s="7">
        <f t="shared" si="2"/>
        <v>500</v>
      </c>
      <c r="J32" s="7">
        <f t="shared" si="3"/>
        <v>1000</v>
      </c>
      <c r="K32" s="7">
        <f t="shared" si="4"/>
        <v>2500</v>
      </c>
      <c r="L32" s="7"/>
      <c r="M32" s="7"/>
      <c r="N32" s="7">
        <f t="shared" si="5"/>
        <v>0</v>
      </c>
      <c r="O32" s="7"/>
      <c r="P32" s="5" t="s">
        <v>21</v>
      </c>
      <c r="Q32" s="5" t="s">
        <v>21</v>
      </c>
      <c r="R32" s="2"/>
      <c r="S32" s="2"/>
      <c r="T32" s="1"/>
    </row>
    <row r="33" spans="1:20" s="10" customFormat="1" x14ac:dyDescent="0.25">
      <c r="A33" s="1" t="s">
        <v>50</v>
      </c>
      <c r="B33" s="1" t="str">
        <f>VLOOKUP(A33,[3]LISTADHERENT!A$5:H$51,2)</f>
        <v>NKEPSEU DIEUDONNE</v>
      </c>
      <c r="C33" s="6">
        <f>+[3]TONT20000ANNUELLE!$C34+D33</f>
        <v>12341.151797021166</v>
      </c>
      <c r="D33" s="6">
        <f t="shared" si="0"/>
        <v>0</v>
      </c>
      <c r="E33" s="6">
        <f>[3]TONT20000JUIL2017!$D34+H33</f>
        <v>607075.14041845209</v>
      </c>
      <c r="F33" s="6"/>
      <c r="G33" s="7">
        <f>[4]TONTAOUT!$C32</f>
        <v>12000</v>
      </c>
      <c r="H33" s="7">
        <f t="shared" si="1"/>
        <v>8000</v>
      </c>
      <c r="I33" s="7">
        <f t="shared" si="2"/>
        <v>500</v>
      </c>
      <c r="J33" s="7">
        <f t="shared" si="3"/>
        <v>1000</v>
      </c>
      <c r="K33" s="7">
        <f t="shared" si="4"/>
        <v>2500</v>
      </c>
      <c r="L33" s="7"/>
      <c r="M33" s="7"/>
      <c r="N33" s="7">
        <f t="shared" si="5"/>
        <v>0</v>
      </c>
      <c r="O33" s="7">
        <v>200000</v>
      </c>
      <c r="P33" s="5" t="s">
        <v>21</v>
      </c>
      <c r="Q33" s="5" t="s">
        <v>21</v>
      </c>
      <c r="R33" s="9"/>
      <c r="S33" s="9"/>
      <c r="T33" s="1"/>
    </row>
    <row r="34" spans="1:20" x14ac:dyDescent="0.25">
      <c r="A34" s="1" t="s">
        <v>51</v>
      </c>
      <c r="B34" s="1" t="str">
        <f>VLOOKUP(A34,[3]LISTADHERENT!A$5:H$51,2)</f>
        <v>NTEPDIE TUEMAC MZ</v>
      </c>
      <c r="C34" s="6">
        <f>+[3]TONT20000ANNUELLE!$C35+D34</f>
        <v>0</v>
      </c>
      <c r="D34" s="6">
        <f t="shared" si="0"/>
        <v>0</v>
      </c>
      <c r="E34" s="6">
        <f>[3]TONT20000JUIL2017!$D35+H34</f>
        <v>0</v>
      </c>
      <c r="F34" s="6"/>
      <c r="G34" s="7">
        <f>[4]TONTAOUT!$C33</f>
        <v>0</v>
      </c>
      <c r="H34" s="7">
        <f t="shared" si="1"/>
        <v>0</v>
      </c>
      <c r="I34" s="7">
        <f t="shared" si="2"/>
        <v>0</v>
      </c>
      <c r="J34" s="7">
        <f t="shared" si="3"/>
        <v>0</v>
      </c>
      <c r="K34" s="7">
        <f t="shared" si="4"/>
        <v>0</v>
      </c>
      <c r="L34" s="7"/>
      <c r="M34" s="7"/>
      <c r="N34" s="7">
        <f t="shared" si="5"/>
        <v>0</v>
      </c>
      <c r="O34" s="7"/>
      <c r="P34" s="5" t="s">
        <v>21</v>
      </c>
      <c r="Q34" s="5" t="s">
        <v>21</v>
      </c>
      <c r="R34" s="2"/>
      <c r="S34" s="2"/>
      <c r="T34" s="1"/>
    </row>
    <row r="35" spans="1:20" x14ac:dyDescent="0.25">
      <c r="A35" s="1" t="s">
        <v>52</v>
      </c>
      <c r="B35" s="1" t="str">
        <f>VLOOKUP(A35,[3]LISTADHERENT!A$5:H$51,2)</f>
        <v>PATEGO NJOSSU GUSTAVE</v>
      </c>
      <c r="C35" s="6">
        <f>+[3]TONT20000ANNUELLE!$C38+D35</f>
        <v>9608.4643944049203</v>
      </c>
      <c r="D35" s="6">
        <f t="shared" si="0"/>
        <v>0</v>
      </c>
      <c r="E35" s="6">
        <f>[3]TONT20000JUIL2017!$D38+H35</f>
        <v>459053.72122305894</v>
      </c>
      <c r="F35" s="6"/>
      <c r="G35" s="7">
        <f>[4]TONTAOUT!$C34</f>
        <v>7000</v>
      </c>
      <c r="H35" s="7">
        <f t="shared" si="1"/>
        <v>3000</v>
      </c>
      <c r="I35" s="7">
        <f t="shared" si="2"/>
        <v>500</v>
      </c>
      <c r="J35" s="7">
        <f t="shared" si="3"/>
        <v>1000</v>
      </c>
      <c r="K35" s="7">
        <f t="shared" si="4"/>
        <v>2500</v>
      </c>
      <c r="L35" s="7"/>
      <c r="M35" s="7"/>
      <c r="N35" s="7">
        <f t="shared" si="5"/>
        <v>0</v>
      </c>
      <c r="O35" s="7"/>
      <c r="P35" s="5" t="s">
        <v>21</v>
      </c>
      <c r="Q35" s="5" t="s">
        <v>21</v>
      </c>
      <c r="R35" s="2"/>
      <c r="S35" s="2"/>
      <c r="T35" s="1"/>
    </row>
    <row r="36" spans="1:20" x14ac:dyDescent="0.25">
      <c r="A36" s="1" t="s">
        <v>53</v>
      </c>
      <c r="B36" s="1" t="str">
        <f>VLOOKUP(A36,[3]LISTADHERENT!A$5:H$51,2)</f>
        <v>SEUNOU RICHELOT</v>
      </c>
      <c r="C36" s="6">
        <f>+[3]TONT20000ANNUELLE!$C39+D36</f>
        <v>9702.6489821721352</v>
      </c>
      <c r="D36" s="6">
        <f t="shared" si="0"/>
        <v>0</v>
      </c>
      <c r="E36" s="6">
        <f>[3]TONT20000JUIL2017!$D39+H36</f>
        <v>463429.63181773521</v>
      </c>
      <c r="F36" s="6"/>
      <c r="G36" s="7">
        <f>[4]TONTAOUT!$C35</f>
        <v>7000</v>
      </c>
      <c r="H36" s="7">
        <f t="shared" si="1"/>
        <v>3000</v>
      </c>
      <c r="I36" s="7">
        <f t="shared" si="2"/>
        <v>500</v>
      </c>
      <c r="J36" s="7">
        <f t="shared" si="3"/>
        <v>1000</v>
      </c>
      <c r="K36" s="7">
        <f t="shared" si="4"/>
        <v>2500</v>
      </c>
      <c r="L36" s="7"/>
      <c r="M36" s="7"/>
      <c r="N36" s="7">
        <f t="shared" si="5"/>
        <v>0</v>
      </c>
      <c r="O36" s="7"/>
      <c r="P36" s="5" t="s">
        <v>21</v>
      </c>
      <c r="Q36" s="5" t="s">
        <v>21</v>
      </c>
      <c r="R36" s="2"/>
      <c r="S36" s="2"/>
      <c r="T36" s="1"/>
    </row>
    <row r="37" spans="1:20" x14ac:dyDescent="0.25">
      <c r="A37" s="1" t="s">
        <v>54</v>
      </c>
      <c r="B37" s="1" t="str">
        <f>VLOOKUP(A37,[3]LISTADHERENT!A$5:H$51,2)</f>
        <v>SIME ABEL</v>
      </c>
      <c r="C37" s="6">
        <f>+[3]TONT20000ANNUELLE!$C40+D37</f>
        <v>8868.7233284812482</v>
      </c>
      <c r="D37" s="6">
        <f t="shared" si="0"/>
        <v>0</v>
      </c>
      <c r="E37" s="6">
        <f>[3]TONT20000JUIL2017!$D40+H37</f>
        <v>423330.21694720368</v>
      </c>
      <c r="F37" s="6"/>
      <c r="G37" s="7">
        <f>[4]TONTAOUT!$C36</f>
        <v>7000</v>
      </c>
      <c r="H37" s="7">
        <f t="shared" si="1"/>
        <v>3000</v>
      </c>
      <c r="I37" s="7">
        <f t="shared" si="2"/>
        <v>500</v>
      </c>
      <c r="J37" s="7">
        <f t="shared" si="3"/>
        <v>1000</v>
      </c>
      <c r="K37" s="7">
        <f t="shared" si="4"/>
        <v>2500</v>
      </c>
      <c r="L37" s="7"/>
      <c r="M37" s="7"/>
      <c r="N37" s="7">
        <f t="shared" si="5"/>
        <v>0</v>
      </c>
      <c r="O37" s="7"/>
      <c r="P37" s="5" t="s">
        <v>21</v>
      </c>
      <c r="Q37" s="5" t="s">
        <v>21</v>
      </c>
      <c r="R37" s="2"/>
      <c r="S37" s="2"/>
      <c r="T37" s="1"/>
    </row>
    <row r="38" spans="1:20" x14ac:dyDescent="0.25">
      <c r="A38" s="1" t="s">
        <v>55</v>
      </c>
      <c r="B38" s="1" t="str">
        <f>VLOOKUP(A38,[3]LISTADHERENT!A$5:H$51,2)</f>
        <v>SIME FONGANG ERIC</v>
      </c>
      <c r="C38" s="6">
        <f>+[3]TONT20000ANNUELLE!$C41+D38</f>
        <v>9662.133332786987</v>
      </c>
      <c r="D38" s="6">
        <f t="shared" si="0"/>
        <v>0</v>
      </c>
      <c r="E38" s="6">
        <f>[3]TONT20000JUIL2017!$D41+H38</f>
        <v>461547.23403272976</v>
      </c>
      <c r="F38" s="6"/>
      <c r="G38" s="7">
        <f>[4]TONTAOUT!$C37</f>
        <v>7000</v>
      </c>
      <c r="H38" s="7">
        <f t="shared" si="1"/>
        <v>3000</v>
      </c>
      <c r="I38" s="7">
        <f t="shared" si="2"/>
        <v>500</v>
      </c>
      <c r="J38" s="7">
        <f t="shared" si="3"/>
        <v>1000</v>
      </c>
      <c r="K38" s="7">
        <f t="shared" si="4"/>
        <v>2500</v>
      </c>
      <c r="L38" s="7"/>
      <c r="M38" s="7"/>
      <c r="N38" s="7">
        <f t="shared" si="5"/>
        <v>0</v>
      </c>
      <c r="O38" s="7"/>
      <c r="P38" s="5" t="s">
        <v>21</v>
      </c>
      <c r="Q38" s="5" t="s">
        <v>21</v>
      </c>
      <c r="R38" s="2"/>
      <c r="S38" s="2"/>
      <c r="T38" s="1"/>
    </row>
    <row r="39" spans="1:20" x14ac:dyDescent="0.25">
      <c r="A39" s="1" t="s">
        <v>56</v>
      </c>
      <c r="B39" s="1" t="str">
        <f>VLOOKUP(A39,[3]LISTADHERENT!A$5:H$51,2)</f>
        <v>SIME MATHIEU</v>
      </c>
      <c r="C39" s="6">
        <f>+[3]TONT20000ANNUELLE!$C42+D39</f>
        <v>9653.6430826986725</v>
      </c>
      <c r="D39" s="6">
        <f t="shared" si="0"/>
        <v>0</v>
      </c>
      <c r="E39" s="6">
        <f>[3]TONT20000JUIL2017!$D42+H39</f>
        <v>461152.76848169166</v>
      </c>
      <c r="F39" s="6"/>
      <c r="G39" s="7">
        <f>[4]TONTAOUT!$C38</f>
        <v>7000</v>
      </c>
      <c r="H39" s="7">
        <f t="shared" si="1"/>
        <v>3000</v>
      </c>
      <c r="I39" s="7">
        <f t="shared" si="2"/>
        <v>500</v>
      </c>
      <c r="J39" s="7">
        <f t="shared" si="3"/>
        <v>1000</v>
      </c>
      <c r="K39" s="7">
        <f t="shared" si="4"/>
        <v>2500</v>
      </c>
      <c r="L39" s="7"/>
      <c r="M39" s="7"/>
      <c r="N39" s="7">
        <f t="shared" si="5"/>
        <v>0</v>
      </c>
      <c r="O39" s="7">
        <v>95000</v>
      </c>
      <c r="P39" s="5" t="s">
        <v>21</v>
      </c>
      <c r="Q39" s="5" t="s">
        <v>21</v>
      </c>
      <c r="R39" s="2"/>
      <c r="S39" s="2"/>
      <c r="T39" s="1"/>
    </row>
    <row r="40" spans="1:20" x14ac:dyDescent="0.25">
      <c r="A40" s="1" t="s">
        <v>57</v>
      </c>
      <c r="B40" s="1" t="str">
        <f>VLOOKUP(A40,[3]LISTADHERENT!A$5:H$51,2)</f>
        <v>SIME PIERRE</v>
      </c>
      <c r="C40" s="6">
        <f>+[3]TONT20000ANNUELLE!$C43+D40</f>
        <v>12719.372246864517</v>
      </c>
      <c r="D40" s="6">
        <f t="shared" si="0"/>
        <v>0</v>
      </c>
      <c r="E40" s="6">
        <f>[3]TONT20000JUIL2017!$D43+H40</f>
        <v>625655.19749734446</v>
      </c>
      <c r="F40" s="6"/>
      <c r="G40" s="7">
        <f>[4]TONTAOUT!$C39</f>
        <v>12000</v>
      </c>
      <c r="H40" s="7">
        <f t="shared" si="1"/>
        <v>8000</v>
      </c>
      <c r="I40" s="7">
        <f t="shared" si="2"/>
        <v>500</v>
      </c>
      <c r="J40" s="7">
        <f t="shared" si="3"/>
        <v>1000</v>
      </c>
      <c r="K40" s="7">
        <f t="shared" si="4"/>
        <v>2500</v>
      </c>
      <c r="L40" s="7"/>
      <c r="M40" s="7"/>
      <c r="N40" s="7">
        <f t="shared" si="5"/>
        <v>0</v>
      </c>
      <c r="O40" s="7"/>
      <c r="P40" s="5" t="s">
        <v>21</v>
      </c>
      <c r="Q40" s="5" t="s">
        <v>21</v>
      </c>
      <c r="R40" s="2"/>
      <c r="S40" s="2"/>
      <c r="T40" s="1"/>
    </row>
    <row r="41" spans="1:20" x14ac:dyDescent="0.25">
      <c r="A41" s="1" t="s">
        <v>58</v>
      </c>
      <c r="B41" s="1" t="str">
        <f>VLOOKUP(A41,[3]LISTADHERENT!A$5:H$51,2)</f>
        <v>TAGNE NANGUEN MARTIN</v>
      </c>
      <c r="C41" s="6">
        <f>+[3]TONT20000ANNUELLE!$C44+D41</f>
        <v>8929.8382649369523</v>
      </c>
      <c r="D41" s="6">
        <f t="shared" si="0"/>
        <v>0</v>
      </c>
      <c r="E41" s="6">
        <f>[3]TONT20000JUIL2017!$D44+H41</f>
        <v>427524.06928995653</v>
      </c>
      <c r="F41" s="6"/>
      <c r="G41" s="7">
        <f>[4]TONTAOUT!$C40</f>
        <v>7000</v>
      </c>
      <c r="H41" s="7">
        <f t="shared" si="1"/>
        <v>3000</v>
      </c>
      <c r="I41" s="7">
        <f t="shared" si="2"/>
        <v>500</v>
      </c>
      <c r="J41" s="7">
        <f t="shared" si="3"/>
        <v>1000</v>
      </c>
      <c r="K41" s="7">
        <f t="shared" si="4"/>
        <v>2500</v>
      </c>
      <c r="L41" s="7"/>
      <c r="M41" s="7"/>
      <c r="N41" s="7">
        <f t="shared" si="5"/>
        <v>0</v>
      </c>
      <c r="O41" s="7"/>
      <c r="P41" s="5" t="s">
        <v>21</v>
      </c>
      <c r="Q41" s="5" t="s">
        <v>21</v>
      </c>
      <c r="R41" s="2"/>
      <c r="S41" s="2"/>
      <c r="T41" s="1"/>
    </row>
    <row r="42" spans="1:20" x14ac:dyDescent="0.25">
      <c r="A42" s="1" t="s">
        <v>59</v>
      </c>
      <c r="B42" s="1" t="str">
        <f>VLOOKUP(A42,[3]LISTADHERENT!A$5:H$51,2)</f>
        <v>TCHOUAMOU JEAN PAUL</v>
      </c>
      <c r="C42" s="6">
        <f>+[3]TONT20000ANNUELLE!$C45+D42</f>
        <v>642.24252727100691</v>
      </c>
      <c r="D42" s="6">
        <f t="shared" si="0"/>
        <v>0</v>
      </c>
      <c r="E42" s="6">
        <f>[3]TONT20000JUIL2017!$D45+H42</f>
        <v>39482.770354666689</v>
      </c>
      <c r="F42" s="6"/>
      <c r="G42" s="7">
        <f>[4]TONTAOUT!$C41</f>
        <v>0</v>
      </c>
      <c r="H42" s="7">
        <f t="shared" si="1"/>
        <v>0</v>
      </c>
      <c r="I42" s="7">
        <f t="shared" si="2"/>
        <v>0</v>
      </c>
      <c r="J42" s="7">
        <f t="shared" si="3"/>
        <v>0</v>
      </c>
      <c r="K42" s="7">
        <f t="shared" si="4"/>
        <v>0</v>
      </c>
      <c r="L42" s="7"/>
      <c r="M42" s="7"/>
      <c r="N42" s="7">
        <f t="shared" si="5"/>
        <v>0</v>
      </c>
      <c r="O42" s="7"/>
      <c r="P42" s="5" t="s">
        <v>21</v>
      </c>
      <c r="Q42" s="5" t="s">
        <v>21</v>
      </c>
      <c r="R42" s="2"/>
      <c r="S42" s="2"/>
      <c r="T42" s="1"/>
    </row>
    <row r="43" spans="1:20" x14ac:dyDescent="0.25">
      <c r="A43" s="1" t="s">
        <v>60</v>
      </c>
      <c r="B43" s="1" t="str">
        <f>VLOOKUP(A43,[3]LISTADHERENT!A$5:H$51,2)</f>
        <v>TCHOUAMOU MATHIEU</v>
      </c>
      <c r="C43" s="6">
        <f>+[3]TONT20000ANNUELLE!$C46+D43</f>
        <v>9612.4235783839267</v>
      </c>
      <c r="D43" s="6">
        <f t="shared" si="0"/>
        <v>0</v>
      </c>
      <c r="E43" s="6">
        <f>[3]TONT20000JUIL2017!$D46+H43</f>
        <v>459237.66888934624</v>
      </c>
      <c r="F43" s="6"/>
      <c r="G43" s="7">
        <f>[4]TONTAOUT!$C42</f>
        <v>7000</v>
      </c>
      <c r="H43" s="7">
        <f t="shared" si="1"/>
        <v>3000</v>
      </c>
      <c r="I43" s="7">
        <f t="shared" si="2"/>
        <v>500</v>
      </c>
      <c r="J43" s="7">
        <f t="shared" si="3"/>
        <v>1000</v>
      </c>
      <c r="K43" s="7">
        <f t="shared" si="4"/>
        <v>2500</v>
      </c>
      <c r="L43" s="7"/>
      <c r="M43" s="7"/>
      <c r="N43" s="7">
        <f t="shared" si="5"/>
        <v>0</v>
      </c>
      <c r="O43" s="7"/>
      <c r="P43" s="5" t="s">
        <v>21</v>
      </c>
      <c r="Q43" s="5" t="s">
        <v>21</v>
      </c>
      <c r="R43" s="2"/>
      <c r="S43" s="2"/>
      <c r="T43" s="1"/>
    </row>
    <row r="44" spans="1:20" x14ac:dyDescent="0.25">
      <c r="A44" s="1" t="s">
        <v>61</v>
      </c>
      <c r="B44" s="1" t="str">
        <f>VLOOKUP(A44,[3]LISTADHERENT!A$5:H$51,2)</f>
        <v>TCHOUANTE FRANCOIS</v>
      </c>
      <c r="C44" s="6">
        <f>+[3]TONT20000ANNUELLE!$C47+D44</f>
        <v>10777.497036508537</v>
      </c>
      <c r="D44" s="6">
        <f t="shared" si="0"/>
        <v>0</v>
      </c>
      <c r="E44" s="6">
        <f>[3]TONT20000JUIL2017!$D47+H44</f>
        <v>524395.66254746122</v>
      </c>
      <c r="F44" s="6"/>
      <c r="G44" s="7">
        <f>[4]TONTAOUT!$C43</f>
        <v>7000</v>
      </c>
      <c r="H44" s="7">
        <f t="shared" si="1"/>
        <v>3000</v>
      </c>
      <c r="I44" s="7">
        <f t="shared" si="2"/>
        <v>500</v>
      </c>
      <c r="J44" s="7">
        <f t="shared" si="3"/>
        <v>1000</v>
      </c>
      <c r="K44" s="7">
        <f t="shared" si="4"/>
        <v>2500</v>
      </c>
      <c r="L44" s="7"/>
      <c r="M44" s="7"/>
      <c r="N44" s="7">
        <f t="shared" si="5"/>
        <v>0</v>
      </c>
      <c r="O44" s="7"/>
      <c r="P44" s="5" t="s">
        <v>21</v>
      </c>
      <c r="Q44" s="5" t="s">
        <v>21</v>
      </c>
      <c r="R44" s="2"/>
      <c r="S44" s="2"/>
      <c r="T44" s="1"/>
    </row>
    <row r="45" spans="1:20" x14ac:dyDescent="0.25">
      <c r="A45" s="1" t="s">
        <v>62</v>
      </c>
      <c r="B45" s="1" t="str">
        <f>VLOOKUP(A45,[3]LISTADHERENT!A$5:H$51,2)</f>
        <v>TCHOUTOU NANA CLAUDE</v>
      </c>
      <c r="C45" s="6">
        <f>+[3]TONT20000ANNUELLE!$C48+D45</f>
        <v>315.76381726896312</v>
      </c>
      <c r="D45" s="6">
        <f t="shared" si="0"/>
        <v>0</v>
      </c>
      <c r="E45" s="6">
        <f>[3]TONT20000JUIL2017!$D48+H45</f>
        <v>24314.241406329722</v>
      </c>
      <c r="F45" s="6"/>
      <c r="G45" s="7">
        <f>[4]TONTAOUT!$C44</f>
        <v>0</v>
      </c>
      <c r="H45" s="7">
        <f t="shared" si="1"/>
        <v>0</v>
      </c>
      <c r="I45" s="7">
        <f t="shared" si="2"/>
        <v>0</v>
      </c>
      <c r="J45" s="7">
        <f t="shared" si="3"/>
        <v>0</v>
      </c>
      <c r="K45" s="7">
        <f t="shared" si="4"/>
        <v>0</v>
      </c>
      <c r="L45" s="7"/>
      <c r="M45" s="7"/>
      <c r="N45" s="7">
        <f t="shared" si="5"/>
        <v>0</v>
      </c>
      <c r="O45" s="7">
        <v>25000</v>
      </c>
      <c r="P45" s="5" t="s">
        <v>21</v>
      </c>
      <c r="Q45" s="5" t="s">
        <v>21</v>
      </c>
      <c r="R45" s="2"/>
      <c r="S45" s="2"/>
      <c r="T45" s="1"/>
    </row>
    <row r="46" spans="1:20" x14ac:dyDescent="0.25">
      <c r="A46" s="1" t="s">
        <v>63</v>
      </c>
      <c r="B46" s="1" t="str">
        <f>VLOOKUP(A46,[3]LISTADHERENT!A$5:H$51,2)</f>
        <v>TIEYAM ERNEST</v>
      </c>
      <c r="C46" s="6">
        <f>+[3]TONT20000ANNUELLE!$C49+D46</f>
        <v>10073.14368012548</v>
      </c>
      <c r="D46" s="6">
        <f t="shared" si="0"/>
        <v>0</v>
      </c>
      <c r="E46" s="6">
        <f>[3]TONT20000JUIL2017!$D49+H46</f>
        <v>493635.2352232447</v>
      </c>
      <c r="F46" s="6"/>
      <c r="G46" s="7">
        <f>[4]TONTAOUT!$C45</f>
        <v>7000</v>
      </c>
      <c r="H46" s="7">
        <f t="shared" si="1"/>
        <v>3000</v>
      </c>
      <c r="I46" s="7">
        <f t="shared" si="2"/>
        <v>500</v>
      </c>
      <c r="J46" s="7">
        <f t="shared" si="3"/>
        <v>1000</v>
      </c>
      <c r="K46" s="7">
        <f t="shared" si="4"/>
        <v>2500</v>
      </c>
      <c r="L46" s="7"/>
      <c r="M46" s="7"/>
      <c r="N46" s="7">
        <f t="shared" si="5"/>
        <v>0</v>
      </c>
      <c r="O46" s="7"/>
      <c r="P46" s="5" t="s">
        <v>21</v>
      </c>
      <c r="Q46" s="5" t="s">
        <v>21</v>
      </c>
      <c r="R46" s="2"/>
      <c r="S46" s="2"/>
      <c r="T46" s="1"/>
    </row>
    <row r="47" spans="1:20" x14ac:dyDescent="0.25">
      <c r="A47" s="1" t="s">
        <v>64</v>
      </c>
      <c r="B47" s="1" t="str">
        <f>VLOOKUP(A47,[3]LISTADHERENT!A$5:H$51,2)</f>
        <v>TUGMA PIERRE LOTI</v>
      </c>
      <c r="C47" s="6">
        <f>+[3]TONT20000ANNUELLE!$C50+D47</f>
        <v>9608.7265791747759</v>
      </c>
      <c r="D47" s="6">
        <f t="shared" si="0"/>
        <v>0</v>
      </c>
      <c r="E47" s="6">
        <f>[3]TONT20000JUIL2017!$D50+H47</f>
        <v>453083.35723596084</v>
      </c>
      <c r="F47" s="6"/>
      <c r="G47" s="7">
        <f>[4]TONTAOUT!$C46</f>
        <v>0</v>
      </c>
      <c r="H47" s="7">
        <f t="shared" si="1"/>
        <v>0</v>
      </c>
      <c r="I47" s="7">
        <f t="shared" si="2"/>
        <v>0</v>
      </c>
      <c r="J47" s="7">
        <f t="shared" si="3"/>
        <v>0</v>
      </c>
      <c r="K47" s="7">
        <f t="shared" si="4"/>
        <v>0</v>
      </c>
      <c r="L47" s="7"/>
      <c r="M47" s="7"/>
      <c r="N47" s="7">
        <f t="shared" si="5"/>
        <v>0</v>
      </c>
      <c r="O47" s="7"/>
      <c r="P47" s="5" t="s">
        <v>21</v>
      </c>
      <c r="Q47" s="5" t="s">
        <v>21</v>
      </c>
      <c r="R47" s="2"/>
      <c r="S47" s="2"/>
      <c r="T47" s="1"/>
    </row>
    <row r="48" spans="1:20" x14ac:dyDescent="0.25">
      <c r="A48" s="1" t="s">
        <v>65</v>
      </c>
      <c r="B48" s="1" t="str">
        <f>VLOOKUP(A48,[3]LISTADHERENT!A$5:H$51,2)</f>
        <v>YEPMOU JEAN JACQUES</v>
      </c>
      <c r="C48" s="6">
        <f>+[3]TONT20000ANNUELLE!$C51+D48</f>
        <v>18219.865512472708</v>
      </c>
      <c r="D48" s="6">
        <f t="shared" si="0"/>
        <v>0</v>
      </c>
      <c r="E48" s="6">
        <f>[3]TONT20000JUIL2017!$D51+H48</f>
        <v>859148.07084951643</v>
      </c>
      <c r="F48" s="6"/>
      <c r="G48" s="7">
        <f>[4]TONTAOUT!$C47</f>
        <v>7000</v>
      </c>
      <c r="H48" s="7">
        <f t="shared" si="1"/>
        <v>3000</v>
      </c>
      <c r="I48" s="7">
        <f t="shared" si="2"/>
        <v>500</v>
      </c>
      <c r="J48" s="7">
        <f t="shared" si="3"/>
        <v>1000</v>
      </c>
      <c r="K48" s="7">
        <f t="shared" si="4"/>
        <v>2500</v>
      </c>
      <c r="L48" s="7"/>
      <c r="M48" s="7"/>
      <c r="N48" s="7">
        <f t="shared" si="5"/>
        <v>0</v>
      </c>
      <c r="O48" s="7"/>
      <c r="P48" s="5" t="s">
        <v>21</v>
      </c>
      <c r="Q48" s="5" t="s">
        <v>21</v>
      </c>
      <c r="R48" s="2"/>
      <c r="S48" s="2"/>
      <c r="T48" s="1"/>
    </row>
    <row r="49" spans="1:20" x14ac:dyDescent="0.25">
      <c r="A49" s="1" t="s">
        <v>66</v>
      </c>
      <c r="B49" s="1" t="str">
        <f>VLOOKUP(A49,[3]LISTADHERENT!A$5:H$51,2)</f>
        <v>YOUMBI EMMANUEL</v>
      </c>
      <c r="C49" s="6">
        <f>+[3]TONT20000ANNUELLE!$C52+D49</f>
        <v>33272.277262598771</v>
      </c>
      <c r="D49" s="6">
        <f t="shared" si="0"/>
        <v>0</v>
      </c>
      <c r="E49" s="6">
        <f>[3]TONT20000JUIL2017!$D52+H49</f>
        <v>1563802.3614040688</v>
      </c>
      <c r="F49" s="6"/>
      <c r="G49" s="7">
        <f>[4]TONTAOUT!$C48</f>
        <v>7000</v>
      </c>
      <c r="H49" s="7">
        <f t="shared" si="1"/>
        <v>3000</v>
      </c>
      <c r="I49" s="7">
        <f t="shared" si="2"/>
        <v>500</v>
      </c>
      <c r="J49" s="7">
        <f t="shared" si="3"/>
        <v>1000</v>
      </c>
      <c r="K49" s="7">
        <f t="shared" si="4"/>
        <v>2500</v>
      </c>
      <c r="M49" s="7"/>
      <c r="N49" s="7">
        <f t="shared" si="5"/>
        <v>0</v>
      </c>
      <c r="O49" s="7"/>
      <c r="P49" s="5" t="s">
        <v>21</v>
      </c>
      <c r="Q49" s="5" t="s">
        <v>21</v>
      </c>
      <c r="R49" s="2"/>
      <c r="S49" s="2"/>
      <c r="T49" s="1"/>
    </row>
    <row r="50" spans="1:20" x14ac:dyDescent="0.25">
      <c r="A50" s="1"/>
      <c r="B50" s="1"/>
      <c r="C50" s="6"/>
      <c r="D50" s="6"/>
      <c r="E50" s="6"/>
      <c r="F50" s="6"/>
      <c r="G50" s="6"/>
      <c r="H50" s="7"/>
      <c r="I50" s="7"/>
      <c r="J50" s="7"/>
      <c r="K50" s="7"/>
      <c r="M50" s="7"/>
      <c r="N50" s="7"/>
      <c r="O50" s="2"/>
      <c r="P50" s="7"/>
      <c r="Q50" s="2"/>
      <c r="R50" s="2"/>
      <c r="S50" s="2"/>
    </row>
    <row r="51" spans="1:20" x14ac:dyDescent="0.25">
      <c r="A51" s="1"/>
      <c r="B51" s="1"/>
      <c r="C51" s="6"/>
      <c r="D51" s="6"/>
      <c r="E51" s="6"/>
      <c r="F51" s="6"/>
      <c r="G51" s="6"/>
      <c r="H51" s="2"/>
      <c r="I51" s="12"/>
      <c r="N51" s="7"/>
      <c r="O51" s="2"/>
      <c r="P51" s="7"/>
      <c r="Q51" s="2"/>
      <c r="R51" s="2"/>
      <c r="S51" s="2"/>
    </row>
    <row r="52" spans="1:20" x14ac:dyDescent="0.25">
      <c r="A52" s="1"/>
      <c r="B52" s="1"/>
      <c r="C52" s="6"/>
      <c r="D52" s="1"/>
      <c r="E52" s="6"/>
      <c r="F52" s="1"/>
      <c r="G52" s="1"/>
    </row>
    <row r="53" spans="1:20" ht="18" x14ac:dyDescent="0.25">
      <c r="A53" s="1" t="s">
        <v>67</v>
      </c>
      <c r="B53" s="1"/>
      <c r="C53" s="11">
        <f t="shared" ref="C53:S53" si="6">SUM(C5:C49)</f>
        <v>484500</v>
      </c>
      <c r="D53" s="11">
        <f t="shared" si="6"/>
        <v>0</v>
      </c>
      <c r="E53" s="11">
        <f t="shared" si="6"/>
        <v>24239319</v>
      </c>
      <c r="F53" s="11">
        <f t="shared" si="6"/>
        <v>0</v>
      </c>
      <c r="G53" s="11">
        <f t="shared" si="6"/>
        <v>343000</v>
      </c>
      <c r="H53" s="11">
        <f t="shared" si="6"/>
        <v>359000</v>
      </c>
      <c r="I53" s="11">
        <f t="shared" si="6"/>
        <v>23000</v>
      </c>
      <c r="J53" s="11">
        <f t="shared" si="6"/>
        <v>46000</v>
      </c>
      <c r="K53" s="11">
        <f t="shared" si="6"/>
        <v>115000</v>
      </c>
      <c r="L53" s="11">
        <f t="shared" si="6"/>
        <v>0</v>
      </c>
      <c r="M53" s="11">
        <f t="shared" ref="M53:O53" si="7">SUM(M5:M49)</f>
        <v>150000</v>
      </c>
      <c r="N53" s="11">
        <f t="shared" si="7"/>
        <v>4500</v>
      </c>
      <c r="O53" s="11">
        <f t="shared" si="7"/>
        <v>391000</v>
      </c>
      <c r="P53" s="11"/>
      <c r="Q53" s="11"/>
      <c r="R53" s="11">
        <f t="shared" si="6"/>
        <v>0</v>
      </c>
      <c r="S53" s="11">
        <f t="shared" si="6"/>
        <v>0</v>
      </c>
    </row>
    <row r="56" spans="1:20" ht="18" x14ac:dyDescent="0.25">
      <c r="E56" s="11" t="s">
        <v>69</v>
      </c>
      <c r="F56" s="11">
        <f>[4]TONTAOUT!$F$57</f>
        <v>666000</v>
      </c>
    </row>
    <row r="57" spans="1:20" ht="18" x14ac:dyDescent="0.25">
      <c r="E57" s="11" t="s">
        <v>11</v>
      </c>
      <c r="F57" s="11">
        <f>[4]TONTAOUT!$F$58</f>
        <v>52500.000000000029</v>
      </c>
    </row>
    <row r="58" spans="1:20" ht="18" x14ac:dyDescent="0.25">
      <c r="E58" s="11" t="s">
        <v>12</v>
      </c>
      <c r="F58" s="11">
        <f>+H53</f>
        <v>359000</v>
      </c>
    </row>
    <row r="59" spans="1:20" ht="18" x14ac:dyDescent="0.25">
      <c r="E59" s="11" t="s">
        <v>13</v>
      </c>
      <c r="F59" s="11">
        <f>+I53</f>
        <v>23000</v>
      </c>
    </row>
    <row r="60" spans="1:20" ht="18" x14ac:dyDescent="0.25">
      <c r="E60" s="11" t="s">
        <v>68</v>
      </c>
      <c r="F60" s="11">
        <f>+J53</f>
        <v>46000</v>
      </c>
    </row>
    <row r="61" spans="1:20" ht="18" x14ac:dyDescent="0.25">
      <c r="E61" s="11" t="s">
        <v>15</v>
      </c>
      <c r="F61" s="11">
        <f>+K53</f>
        <v>115000</v>
      </c>
    </row>
    <row r="62" spans="1:20" ht="18" x14ac:dyDescent="0.25">
      <c r="E62" s="11" t="s">
        <v>77</v>
      </c>
      <c r="F62" s="11">
        <f>+O53</f>
        <v>391000</v>
      </c>
    </row>
    <row r="63" spans="1:20" ht="18" x14ac:dyDescent="0.25">
      <c r="E63" s="11" t="s">
        <v>73</v>
      </c>
      <c r="F63" s="11">
        <f>+P53</f>
        <v>0</v>
      </c>
    </row>
    <row r="64" spans="1:20" ht="18" x14ac:dyDescent="0.25">
      <c r="E64" s="11" t="s">
        <v>78</v>
      </c>
      <c r="F64" s="11">
        <f>+Q53</f>
        <v>0</v>
      </c>
    </row>
    <row r="65" spans="3:7" ht="18" x14ac:dyDescent="0.25">
      <c r="E65" s="11"/>
      <c r="F65" s="11"/>
    </row>
    <row r="66" spans="3:7" ht="18" x14ac:dyDescent="0.25">
      <c r="E66" s="11" t="s">
        <v>67</v>
      </c>
      <c r="F66" s="11">
        <f>SUM(F55:F64)</f>
        <v>1652500</v>
      </c>
    </row>
    <row r="68" spans="3:7" ht="18" x14ac:dyDescent="0.25">
      <c r="E68"/>
      <c r="F68" s="11" t="s">
        <v>72</v>
      </c>
      <c r="G68" s="11" t="s">
        <v>81</v>
      </c>
    </row>
    <row r="69" spans="3:7" ht="18" x14ac:dyDescent="0.25">
      <c r="E69" s="11" t="s">
        <v>23</v>
      </c>
      <c r="F69" s="11">
        <f>SUMIFS(M5:M48,P5:P48,"ESPECES")</f>
        <v>0</v>
      </c>
      <c r="G69" s="11">
        <f>SUMIFS(O5:O48,Q5:Q48,"ESPECES")</f>
        <v>0</v>
      </c>
    </row>
    <row r="70" spans="3:7" ht="18" x14ac:dyDescent="0.25">
      <c r="E70" s="11" t="s">
        <v>25</v>
      </c>
      <c r="F70" s="11">
        <f>SUMIFS(M5:M48,P5:P48,"BANQUE")</f>
        <v>0</v>
      </c>
      <c r="G70" s="11">
        <f>SUMIFS(O5:O48,Q5:Q48,"BANQUE")</f>
        <v>0</v>
      </c>
    </row>
    <row r="71" spans="3:7" ht="18" x14ac:dyDescent="0.25">
      <c r="E71" s="11"/>
      <c r="F71" s="11"/>
      <c r="G71" s="11"/>
    </row>
    <row r="72" spans="3:7" ht="18" x14ac:dyDescent="0.25">
      <c r="C72" s="11"/>
      <c r="E72" s="11" t="s">
        <v>67</v>
      </c>
      <c r="F72" s="11">
        <f>F69+F70</f>
        <v>0</v>
      </c>
      <c r="G72" s="11">
        <f>G69+G70</f>
        <v>0</v>
      </c>
    </row>
    <row r="73" spans="3:7" ht="18" x14ac:dyDescent="0.25">
      <c r="C73" s="11"/>
    </row>
  </sheetData>
  <autoFilter ref="A4:Q49">
    <sortState ref="A5:L48">
      <sortCondition ref="B5:B48"/>
    </sortState>
  </autoFilter>
  <dataValidations count="1">
    <dataValidation type="list" allowBlank="1" showInputMessage="1" showErrorMessage="1" sqref="P6:Q49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>
      <pane xSplit="2" ySplit="4" topLeftCell="C63" activePane="bottomRight" state="frozen"/>
      <selection pane="topRight" activeCell="C1" sqref="C1"/>
      <selection pane="bottomLeft" activeCell="A5" sqref="A5"/>
      <selection pane="bottomRight" activeCell="F64" sqref="F6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140625" style="2" customWidth="1"/>
    <col min="4" max="4" width="15.28515625" customWidth="1"/>
    <col min="5" max="5" width="23.5703125" style="2" customWidth="1"/>
    <col min="6" max="6" width="16.85546875" customWidth="1"/>
    <col min="7" max="7" width="13" customWidth="1"/>
    <col min="8" max="8" width="15" bestFit="1" customWidth="1"/>
    <col min="9" max="9" width="17.5703125" style="3" bestFit="1" customWidth="1"/>
    <col min="10" max="10" width="15.7109375" style="2" customWidth="1"/>
    <col min="11" max="11" width="12.42578125" style="2" customWidth="1"/>
    <col min="12" max="12" width="9.7109375" style="2" customWidth="1"/>
    <col min="13" max="13" width="12.42578125" style="2" customWidth="1"/>
    <col min="14" max="14" width="12.5703125" bestFit="1" customWidth="1"/>
    <col min="15" max="15" width="18.140625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6"/>
      <c r="D1" s="1"/>
      <c r="E1" s="6"/>
      <c r="F1" s="1"/>
      <c r="G1" s="1"/>
    </row>
    <row r="2" spans="1:20" x14ac:dyDescent="0.25">
      <c r="A2" s="1" t="s">
        <v>2</v>
      </c>
      <c r="B2" s="1" t="s">
        <v>3</v>
      </c>
      <c r="C2" s="6"/>
      <c r="D2" s="1"/>
      <c r="E2" s="6"/>
      <c r="F2" s="1"/>
      <c r="G2" s="1"/>
    </row>
    <row r="3" spans="1:20" x14ac:dyDescent="0.25">
      <c r="A3" s="1" t="s">
        <v>4</v>
      </c>
      <c r="B3" s="1" t="s">
        <v>5</v>
      </c>
      <c r="C3" s="6"/>
      <c r="D3" s="1"/>
      <c r="E3" s="6"/>
      <c r="F3" s="1"/>
      <c r="G3" s="1"/>
    </row>
    <row r="4" spans="1:20" ht="57.75" x14ac:dyDescent="0.25">
      <c r="A4" s="1" t="s">
        <v>6</v>
      </c>
      <c r="B4" s="1" t="s">
        <v>7</v>
      </c>
      <c r="C4" s="6" t="s">
        <v>71</v>
      </c>
      <c r="D4" s="4" t="s">
        <v>8</v>
      </c>
      <c r="E4" s="4" t="s">
        <v>9</v>
      </c>
      <c r="F4" s="1" t="s">
        <v>10</v>
      </c>
      <c r="G4" s="4" t="s">
        <v>70</v>
      </c>
      <c r="H4" s="1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72</v>
      </c>
      <c r="N4" s="4" t="s">
        <v>74</v>
      </c>
      <c r="O4" s="4" t="s">
        <v>75</v>
      </c>
      <c r="P4" s="4" t="s">
        <v>79</v>
      </c>
      <c r="Q4" s="4" t="s">
        <v>80</v>
      </c>
      <c r="R4" s="4" t="s">
        <v>76</v>
      </c>
      <c r="S4" s="4" t="s">
        <v>17</v>
      </c>
      <c r="T4" s="4" t="s">
        <v>18</v>
      </c>
    </row>
    <row r="5" spans="1:20" x14ac:dyDescent="0.25">
      <c r="A5" s="1" t="s">
        <v>19</v>
      </c>
      <c r="B5" s="1" t="str">
        <f>VLOOKUP(A5,[3]LISTADHERENT!A$5:H$52,2,0)</f>
        <v>ASELBY</v>
      </c>
      <c r="C5" s="6">
        <f>+[3]TONT20000ANNUELLE!$C5+D5</f>
        <v>7810.5241855147724</v>
      </c>
      <c r="D5" s="6">
        <f t="shared" ref="D5:D49" si="0">$P$53/$E$53*E5</f>
        <v>0</v>
      </c>
      <c r="E5" s="6">
        <f>[3]TONT20000JUIL2017!$D5+H5</f>
        <v>362884.80253099866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</row>
    <row r="6" spans="1:20" x14ac:dyDescent="0.25">
      <c r="A6" s="1" t="s">
        <v>20</v>
      </c>
      <c r="B6" s="1" t="str">
        <f>VLOOKUP(A6,[3]LISTADHERENT!A$5:H$52,2,0)</f>
        <v>BAKOP ACHILLE</v>
      </c>
      <c r="C6" s="6">
        <f>+[3]TONT20000ANNUELLE!$C6+D6</f>
        <v>10382.019313146753</v>
      </c>
      <c r="D6" s="6">
        <f t="shared" si="0"/>
        <v>0</v>
      </c>
      <c r="E6" s="6">
        <f>[3]TONT20000JUIL2017!$D6+H6</f>
        <v>512344.50474381261</v>
      </c>
      <c r="F6" s="6"/>
      <c r="G6" s="7">
        <f>[4]TONTAOUT!$C5</f>
        <v>70000</v>
      </c>
      <c r="H6" s="7">
        <v>30000</v>
      </c>
      <c r="I6" s="7">
        <v>5000</v>
      </c>
      <c r="J6" s="7">
        <v>10000</v>
      </c>
      <c r="K6" s="7">
        <v>25000</v>
      </c>
      <c r="L6" s="7"/>
      <c r="M6" s="7"/>
      <c r="N6" s="7">
        <f>IF(M6&lt;=500000,(M6*1*3/100),(M6*12/100))</f>
        <v>0</v>
      </c>
      <c r="O6" s="7"/>
      <c r="P6" s="5" t="s">
        <v>21</v>
      </c>
      <c r="Q6" s="5" t="s">
        <v>21</v>
      </c>
      <c r="R6" s="2"/>
      <c r="S6" s="2"/>
      <c r="T6" s="1"/>
    </row>
    <row r="7" spans="1:20" x14ac:dyDescent="0.25">
      <c r="A7" s="1" t="s">
        <v>22</v>
      </c>
      <c r="B7" s="1" t="str">
        <f>VLOOKUP(A7,[3]LISTADHERENT!A$5:H$51,2)</f>
        <v>BOUTCHOUANG WILLIAM</v>
      </c>
      <c r="C7" s="6">
        <f>+[3]TONT20000ANNUELLE!$C7+D7</f>
        <v>9613.7187442761879</v>
      </c>
      <c r="D7" s="6">
        <f t="shared" si="0"/>
        <v>0</v>
      </c>
      <c r="E7" s="6">
        <f>[3]TONT20000JUIL2017!$D7+H7</f>
        <v>459305.11636698479</v>
      </c>
      <c r="F7" s="6"/>
      <c r="G7" s="7">
        <f>[4]TONTAOUT!$C6</f>
        <v>7000</v>
      </c>
      <c r="H7" s="7">
        <f t="shared" ref="H7:H49" si="1">G7-(I7+J7+K7)</f>
        <v>3000</v>
      </c>
      <c r="I7" s="7">
        <f t="shared" ref="I7:I49" si="2">IF(G7=0,0,500)</f>
        <v>500</v>
      </c>
      <c r="J7" s="7">
        <f t="shared" ref="J7:J49" si="3">IF(G7=0,0,1000)</f>
        <v>1000</v>
      </c>
      <c r="K7" s="7">
        <f t="shared" ref="K7:K49" si="4">IF(G7=0,0,2500)</f>
        <v>2500</v>
      </c>
      <c r="L7" s="7"/>
      <c r="M7" s="7"/>
      <c r="N7" s="7">
        <f t="shared" ref="N7:N49" si="5">IF(M7&lt;=500000,(M7*1*3/100),(M7*12/100))</f>
        <v>0</v>
      </c>
      <c r="O7" s="7"/>
      <c r="P7" s="5" t="s">
        <v>21</v>
      </c>
      <c r="Q7" s="5" t="s">
        <v>21</v>
      </c>
      <c r="R7" s="2"/>
      <c r="S7" s="2"/>
      <c r="T7" s="1"/>
    </row>
    <row r="8" spans="1:20" x14ac:dyDescent="0.25">
      <c r="A8" s="1" t="s">
        <v>24</v>
      </c>
      <c r="B8" s="1" t="str">
        <f>VLOOKUP(A8,[3]LISTADHERENT!A$5:H$51,2)</f>
        <v>CHINGUE FABRICE</v>
      </c>
      <c r="C8" s="6">
        <f>+[3]TONT20000ANNUELLE!$C8+D8</f>
        <v>9683.0924457749716</v>
      </c>
      <c r="D8" s="6">
        <f t="shared" si="0"/>
        <v>0</v>
      </c>
      <c r="E8" s="6">
        <f>[3]TONT20000JUIL2017!$D8+H8</f>
        <v>462528.288252928</v>
      </c>
      <c r="F8" s="6"/>
      <c r="G8" s="7">
        <f>[4]TONTAOUT!$C7</f>
        <v>7000</v>
      </c>
      <c r="H8" s="7">
        <f t="shared" si="1"/>
        <v>3000</v>
      </c>
      <c r="I8" s="7">
        <f t="shared" si="2"/>
        <v>500</v>
      </c>
      <c r="J8" s="7">
        <f t="shared" si="3"/>
        <v>1000</v>
      </c>
      <c r="K8" s="7">
        <f t="shared" si="4"/>
        <v>2500</v>
      </c>
      <c r="L8" s="7"/>
      <c r="M8" s="7"/>
      <c r="N8" s="7">
        <f t="shared" si="5"/>
        <v>0</v>
      </c>
      <c r="O8" s="7"/>
      <c r="P8" s="5" t="s">
        <v>21</v>
      </c>
      <c r="Q8" s="5" t="s">
        <v>21</v>
      </c>
      <c r="R8" s="2"/>
      <c r="S8" s="2"/>
      <c r="T8" s="1"/>
    </row>
    <row r="9" spans="1:20" x14ac:dyDescent="0.25">
      <c r="A9" s="1" t="s">
        <v>26</v>
      </c>
      <c r="B9" s="1" t="str">
        <f>VLOOKUP(A9,[3]LISTADHERENT!A$5:H$51,2)</f>
        <v xml:space="preserve">DJOMO JEAN PAUL </v>
      </c>
      <c r="C9" s="6">
        <f>+[3]TONT20000ANNUELLE!$C9+D9</f>
        <v>9760.5232569057498</v>
      </c>
      <c r="D9" s="6">
        <f t="shared" si="0"/>
        <v>0</v>
      </c>
      <c r="E9" s="6">
        <f>[3]TONT20000JUIL2017!$D9+H9</f>
        <v>469801.26367426652</v>
      </c>
      <c r="F9" s="6"/>
      <c r="G9" s="7">
        <f>[4]TONTAOUT!$C8</f>
        <v>7000</v>
      </c>
      <c r="H9" s="7">
        <f t="shared" si="1"/>
        <v>3000</v>
      </c>
      <c r="I9" s="7">
        <f t="shared" si="2"/>
        <v>500</v>
      </c>
      <c r="J9" s="7">
        <f t="shared" si="3"/>
        <v>1000</v>
      </c>
      <c r="K9" s="7">
        <f t="shared" si="4"/>
        <v>2500</v>
      </c>
      <c r="L9" s="7"/>
      <c r="M9" s="7"/>
      <c r="N9" s="7">
        <f t="shared" si="5"/>
        <v>0</v>
      </c>
      <c r="O9" s="7"/>
      <c r="P9" s="5" t="s">
        <v>21</v>
      </c>
      <c r="Q9" s="5" t="s">
        <v>21</v>
      </c>
      <c r="R9" s="2"/>
      <c r="S9" s="2"/>
      <c r="T9" s="1"/>
    </row>
    <row r="10" spans="1:20" x14ac:dyDescent="0.25">
      <c r="A10" s="1" t="s">
        <v>27</v>
      </c>
      <c r="B10" s="1" t="str">
        <f>VLOOKUP(A10,[3]LISTADHERENT!A$5:H$51,2)</f>
        <v>DJOUKWE NANGUEN GUY BLAISE</v>
      </c>
      <c r="C10" s="6">
        <f>+[3]TONT20000ANNUELLE!$C10+D10</f>
        <v>9766.256301884845</v>
      </c>
      <c r="D10" s="6">
        <f t="shared" si="0"/>
        <v>0</v>
      </c>
      <c r="E10" s="6">
        <f>[3]TONT20000JUIL2017!$D10+H10</f>
        <v>476433.58144356601</v>
      </c>
      <c r="F10" s="6"/>
      <c r="G10" s="7">
        <f>[4]TONTAOUT!$C9</f>
        <v>7000</v>
      </c>
      <c r="H10" s="7">
        <f t="shared" si="1"/>
        <v>3000</v>
      </c>
      <c r="I10" s="7">
        <f t="shared" si="2"/>
        <v>500</v>
      </c>
      <c r="J10" s="7">
        <f t="shared" si="3"/>
        <v>1000</v>
      </c>
      <c r="K10" s="7">
        <f t="shared" si="4"/>
        <v>2500</v>
      </c>
      <c r="L10" s="7"/>
      <c r="M10" s="7"/>
      <c r="N10" s="7">
        <f t="shared" si="5"/>
        <v>0</v>
      </c>
      <c r="O10" s="7"/>
      <c r="P10" s="5" t="s">
        <v>21</v>
      </c>
      <c r="Q10" s="5" t="s">
        <v>21</v>
      </c>
      <c r="R10" s="2"/>
      <c r="S10" s="2"/>
      <c r="T10" s="1"/>
    </row>
    <row r="11" spans="1:20" x14ac:dyDescent="0.25">
      <c r="A11" s="1" t="s">
        <v>28</v>
      </c>
      <c r="B11" s="1" t="str">
        <f>VLOOKUP(A11,[3]LISTADHERENT!A$5:H$51,2)</f>
        <v>DJOUNKEP SAMUEL</v>
      </c>
      <c r="C11" s="6">
        <f>+[3]TONT20000ANNUELLE!$C12+D11</f>
        <v>23532.889886463974</v>
      </c>
      <c r="D11" s="6">
        <f t="shared" si="0"/>
        <v>0</v>
      </c>
      <c r="E11" s="6">
        <f>[3]TONT20000JUIL2017!$D12+H11</f>
        <v>1306003.795143957</v>
      </c>
      <c r="F11" s="6"/>
      <c r="G11" s="7">
        <f>[4]TONTAOUT!$C10</f>
        <v>7000</v>
      </c>
      <c r="H11" s="7">
        <f>(G11+200000)-(I11+J11+K11)</f>
        <v>203000</v>
      </c>
      <c r="I11" s="7">
        <f t="shared" si="2"/>
        <v>500</v>
      </c>
      <c r="J11" s="7">
        <f t="shared" si="3"/>
        <v>1000</v>
      </c>
      <c r="K11" s="7">
        <f t="shared" si="4"/>
        <v>2500</v>
      </c>
      <c r="L11" s="7"/>
      <c r="M11" s="7"/>
      <c r="N11" s="7">
        <f t="shared" si="5"/>
        <v>0</v>
      </c>
      <c r="O11" s="7"/>
      <c r="P11" s="5" t="s">
        <v>21</v>
      </c>
      <c r="Q11" s="5" t="s">
        <v>21</v>
      </c>
      <c r="R11" s="2"/>
      <c r="S11" s="2"/>
      <c r="T11" s="1"/>
    </row>
    <row r="12" spans="1:20" x14ac:dyDescent="0.25">
      <c r="A12" s="1" t="s">
        <v>29</v>
      </c>
      <c r="B12" s="1" t="str">
        <f>VLOOKUP(A12,[3]LISTADHERENT!A$5:H$51,2)</f>
        <v>DJUOMBESSY ANTOINE</v>
      </c>
      <c r="C12" s="6">
        <f>+[3]TONT20000ANNUELLE!$C13+D12</f>
        <v>9614.2906264064877</v>
      </c>
      <c r="D12" s="6">
        <f t="shared" si="0"/>
        <v>0</v>
      </c>
      <c r="E12" s="6">
        <f>[3]TONT20000JUIL2017!$D13+H12</f>
        <v>459331.68658544857</v>
      </c>
      <c r="F12" s="6"/>
      <c r="G12" s="7">
        <f>[4]TONTAOUT!$C11</f>
        <v>7000</v>
      </c>
      <c r="H12" s="7">
        <f t="shared" si="1"/>
        <v>3000</v>
      </c>
      <c r="I12" s="7">
        <f t="shared" si="2"/>
        <v>500</v>
      </c>
      <c r="J12" s="7">
        <f t="shared" si="3"/>
        <v>1000</v>
      </c>
      <c r="K12" s="7">
        <f t="shared" si="4"/>
        <v>2500</v>
      </c>
      <c r="L12" s="7"/>
      <c r="M12" s="7"/>
      <c r="N12" s="7">
        <f t="shared" si="5"/>
        <v>0</v>
      </c>
      <c r="O12" s="7"/>
      <c r="P12" s="5" t="s">
        <v>21</v>
      </c>
      <c r="Q12" s="5" t="s">
        <v>21</v>
      </c>
      <c r="R12" s="2"/>
      <c r="S12" s="2"/>
      <c r="T12" s="1"/>
    </row>
    <row r="13" spans="1:20" x14ac:dyDescent="0.25">
      <c r="A13" s="1" t="s">
        <v>30</v>
      </c>
      <c r="B13" s="1" t="str">
        <f>VLOOKUP(A13,[3]LISTADHERENT!A$5:H$51,2)</f>
        <v>DONHOU DAVID</v>
      </c>
      <c r="C13" s="6">
        <f>+[3]TONT20000ANNUELLE!$C14+D13</f>
        <v>10736.103411390943</v>
      </c>
      <c r="D13" s="6">
        <f t="shared" si="0"/>
        <v>0</v>
      </c>
      <c r="E13" s="6">
        <f>[3]TONT20000JUIL2017!$D14+H13</f>
        <v>511452.23589644249</v>
      </c>
      <c r="F13" s="6"/>
      <c r="G13" s="7">
        <f>[4]TONTAOUT!$C12</f>
        <v>7000</v>
      </c>
      <c r="H13" s="7">
        <f t="shared" si="1"/>
        <v>3000</v>
      </c>
      <c r="I13" s="7">
        <f t="shared" si="2"/>
        <v>500</v>
      </c>
      <c r="J13" s="7">
        <f t="shared" si="3"/>
        <v>1000</v>
      </c>
      <c r="K13" s="7">
        <f t="shared" si="4"/>
        <v>2500</v>
      </c>
      <c r="L13" s="7"/>
      <c r="M13" s="7"/>
      <c r="N13" s="7">
        <f t="shared" si="5"/>
        <v>0</v>
      </c>
      <c r="O13" s="7"/>
      <c r="P13" s="5" t="s">
        <v>21</v>
      </c>
      <c r="Q13" s="5" t="s">
        <v>21</v>
      </c>
      <c r="R13" s="2"/>
      <c r="S13" s="2"/>
      <c r="T13" s="1"/>
    </row>
    <row r="14" spans="1:20" x14ac:dyDescent="0.25">
      <c r="A14" s="1" t="s">
        <v>31</v>
      </c>
      <c r="B14" s="1" t="str">
        <f>VLOOKUP(A14,[3]LISTADHERENT!A$5:H$51,2)</f>
        <v>FOTSO THOMAS</v>
      </c>
      <c r="C14" s="6">
        <f>+[3]TONT20000ANNUELLE!$C15+D14</f>
        <v>9609.363641899281</v>
      </c>
      <c r="D14" s="6">
        <f t="shared" si="0"/>
        <v>0</v>
      </c>
      <c r="E14" s="6">
        <f>[3]TONT20000JUIL2017!$D15+H14</f>
        <v>459102.77393406886</v>
      </c>
      <c r="F14" s="6"/>
      <c r="G14" s="7">
        <f>[4]TONTAOUT!$C13</f>
        <v>7000</v>
      </c>
      <c r="H14" s="7">
        <f t="shared" si="1"/>
        <v>3000</v>
      </c>
      <c r="I14" s="7">
        <f t="shared" si="2"/>
        <v>500</v>
      </c>
      <c r="J14" s="7">
        <f t="shared" si="3"/>
        <v>1000</v>
      </c>
      <c r="K14" s="7">
        <f t="shared" si="4"/>
        <v>2500</v>
      </c>
      <c r="L14" s="7"/>
      <c r="M14" s="7"/>
      <c r="N14" s="7">
        <f t="shared" si="5"/>
        <v>0</v>
      </c>
      <c r="O14" s="7"/>
      <c r="P14" s="5" t="s">
        <v>21</v>
      </c>
      <c r="Q14" s="5" t="s">
        <v>21</v>
      </c>
      <c r="R14" s="2"/>
      <c r="S14" s="2"/>
      <c r="T14" s="1"/>
    </row>
    <row r="15" spans="1:20" x14ac:dyDescent="0.25">
      <c r="A15" s="1" t="s">
        <v>32</v>
      </c>
      <c r="B15" s="1" t="str">
        <f>VLOOKUP(A15,[3]LISTADHERENT!A$5:H$51,2)</f>
        <v>HENGUE PAUL OMER</v>
      </c>
      <c r="C15" s="6">
        <f>+[3]TONT20000ANNUELLE!$C16+D15</f>
        <v>11005.591867561863</v>
      </c>
      <c r="D15" s="6">
        <f t="shared" si="0"/>
        <v>0</v>
      </c>
      <c r="E15" s="6">
        <f>[3]TONT20000JUIL2017!$D16+H15</f>
        <v>523972.94038172328</v>
      </c>
      <c r="F15" s="6"/>
      <c r="G15" s="7">
        <f>[4]TONTAOUT!$C14</f>
        <v>7000</v>
      </c>
      <c r="H15" s="7">
        <f t="shared" si="1"/>
        <v>3000</v>
      </c>
      <c r="I15" s="7">
        <f t="shared" si="2"/>
        <v>500</v>
      </c>
      <c r="J15" s="7">
        <f t="shared" si="3"/>
        <v>1000</v>
      </c>
      <c r="K15" s="7">
        <f t="shared" si="4"/>
        <v>2500</v>
      </c>
      <c r="L15" s="7"/>
      <c r="M15" s="7"/>
      <c r="N15" s="7">
        <f t="shared" si="5"/>
        <v>0</v>
      </c>
      <c r="O15" s="7"/>
      <c r="P15" s="5" t="s">
        <v>21</v>
      </c>
      <c r="Q15" s="5" t="s">
        <v>21</v>
      </c>
      <c r="R15" s="2"/>
      <c r="S15" s="2"/>
      <c r="T15" s="1"/>
    </row>
    <row r="16" spans="1:20" x14ac:dyDescent="0.25">
      <c r="A16" s="1" t="s">
        <v>33</v>
      </c>
      <c r="B16" s="1" t="str">
        <f>VLOOKUP(A16,[3]LISTADHERENT!A$5:H$51,2)</f>
        <v>HODIEP JULES</v>
      </c>
      <c r="C16" s="6">
        <f>+[3]TONT20000ANNUELLE!$C17+D16</f>
        <v>1105.4921488043335</v>
      </c>
      <c r="D16" s="6">
        <f t="shared" si="0"/>
        <v>0</v>
      </c>
      <c r="E16" s="6">
        <f>[3]TONT20000JUIL2017!$D17+H16</f>
        <v>51362.276153298939</v>
      </c>
      <c r="F16" s="6"/>
      <c r="G16" s="7">
        <f>[4]TONTAOUT!$C15</f>
        <v>0</v>
      </c>
      <c r="H16" s="7">
        <f t="shared" si="1"/>
        <v>0</v>
      </c>
      <c r="I16" s="7">
        <f t="shared" si="2"/>
        <v>0</v>
      </c>
      <c r="J16" s="7">
        <f t="shared" si="3"/>
        <v>0</v>
      </c>
      <c r="K16" s="7">
        <f t="shared" si="4"/>
        <v>0</v>
      </c>
      <c r="L16" s="7"/>
      <c r="M16" s="7"/>
      <c r="N16" s="7">
        <f t="shared" si="5"/>
        <v>0</v>
      </c>
      <c r="O16" s="7"/>
      <c r="P16" s="5" t="s">
        <v>21</v>
      </c>
      <c r="Q16" s="5" t="s">
        <v>21</v>
      </c>
      <c r="R16" s="2"/>
      <c r="S16" s="2"/>
      <c r="T16" s="1"/>
    </row>
    <row r="17" spans="1:20" x14ac:dyDescent="0.25">
      <c r="A17" s="1" t="s">
        <v>34</v>
      </c>
      <c r="B17" s="1" t="str">
        <f>VLOOKUP(A17,[3]LISTADHERENT!A$5:H$51,2)</f>
        <v>HOTCHO BENJAMIN</v>
      </c>
      <c r="C17" s="6">
        <f>+[3]TONT20000ANNUELLE!$C18+D17</f>
        <v>12032.450223449854</v>
      </c>
      <c r="D17" s="6">
        <f t="shared" si="0"/>
        <v>0</v>
      </c>
      <c r="E17" s="6">
        <f>[3]TONT20000JUIL2017!$D18+H17</f>
        <v>571681.8114962629</v>
      </c>
      <c r="F17" s="6"/>
      <c r="G17" s="7">
        <f>[4]TONTAOUT!$C16</f>
        <v>7000</v>
      </c>
      <c r="H17" s="7">
        <f t="shared" si="1"/>
        <v>3000</v>
      </c>
      <c r="I17" s="7">
        <f t="shared" si="2"/>
        <v>500</v>
      </c>
      <c r="J17" s="7">
        <f t="shared" si="3"/>
        <v>1000</v>
      </c>
      <c r="K17" s="7">
        <f t="shared" si="4"/>
        <v>2500</v>
      </c>
      <c r="L17" s="7"/>
      <c r="M17" s="7"/>
      <c r="N17" s="7">
        <f t="shared" si="5"/>
        <v>0</v>
      </c>
      <c r="O17" s="7"/>
      <c r="P17" s="5" t="s">
        <v>21</v>
      </c>
      <c r="Q17" s="5" t="s">
        <v>21</v>
      </c>
      <c r="R17" s="2"/>
      <c r="S17" s="2"/>
      <c r="T17" s="1"/>
    </row>
    <row r="18" spans="1:20" x14ac:dyDescent="0.25">
      <c r="A18" s="1" t="s">
        <v>35</v>
      </c>
      <c r="B18" s="1" t="str">
        <f>VLOOKUP(A18,[3]LISTADHERENT!A$5:H$51,2)</f>
        <v>KEPHE DAVID</v>
      </c>
      <c r="C18" s="6">
        <f>+[3]TONT20000ANNUELLE!$C19+D18</f>
        <v>5686.5508530547913</v>
      </c>
      <c r="D18" s="6">
        <f t="shared" si="0"/>
        <v>0</v>
      </c>
      <c r="E18" s="6">
        <f>[3]TONT20000JUIL2017!$D19+H18</f>
        <v>273846.40424524882</v>
      </c>
      <c r="F18" s="6"/>
      <c r="G18" s="7">
        <f>[4]TONTAOUT!$C17</f>
        <v>0</v>
      </c>
      <c r="H18" s="7">
        <f t="shared" si="1"/>
        <v>0</v>
      </c>
      <c r="I18" s="7">
        <f t="shared" si="2"/>
        <v>0</v>
      </c>
      <c r="J18" s="7">
        <f t="shared" si="3"/>
        <v>0</v>
      </c>
      <c r="K18" s="7">
        <f t="shared" si="4"/>
        <v>0</v>
      </c>
      <c r="L18" s="7"/>
      <c r="M18" s="7"/>
      <c r="N18" s="7">
        <f t="shared" si="5"/>
        <v>0</v>
      </c>
      <c r="O18" s="7"/>
      <c r="P18" s="5" t="s">
        <v>21</v>
      </c>
      <c r="Q18" s="5" t="s">
        <v>21</v>
      </c>
      <c r="R18" s="2"/>
      <c r="S18" s="2"/>
      <c r="T18" s="1"/>
    </row>
    <row r="19" spans="1:20" x14ac:dyDescent="0.25">
      <c r="A19" s="1" t="s">
        <v>36</v>
      </c>
      <c r="B19" s="1" t="str">
        <f>VLOOKUP(A19,[3]LISTADHERENT!A$5:H$51,2)</f>
        <v>KEPSEU FRANCIS</v>
      </c>
      <c r="C19" s="6">
        <f>+[3]TONT20000ANNUELLE!$C20+D19</f>
        <v>50825.502051431162</v>
      </c>
      <c r="D19" s="6">
        <f t="shared" si="0"/>
        <v>0</v>
      </c>
      <c r="E19" s="6">
        <f>[3]TONT20000JUIL2017!$D20+H19</f>
        <v>3230048.6002943022</v>
      </c>
      <c r="F19" s="6"/>
      <c r="G19" s="7">
        <f>[4]TONTAOUT!$C18</f>
        <v>10000</v>
      </c>
      <c r="H19" s="7">
        <f t="shared" si="1"/>
        <v>6000</v>
      </c>
      <c r="I19" s="7">
        <f t="shared" si="2"/>
        <v>500</v>
      </c>
      <c r="J19" s="7">
        <f t="shared" si="3"/>
        <v>1000</v>
      </c>
      <c r="K19" s="7">
        <f t="shared" si="4"/>
        <v>2500</v>
      </c>
      <c r="L19" s="7"/>
      <c r="M19" s="7"/>
      <c r="N19" s="7">
        <f t="shared" si="5"/>
        <v>0</v>
      </c>
      <c r="O19" s="7"/>
      <c r="P19" s="5" t="s">
        <v>21</v>
      </c>
      <c r="Q19" s="5" t="s">
        <v>21</v>
      </c>
      <c r="R19" s="2"/>
      <c r="S19" s="2"/>
      <c r="T19" s="1"/>
    </row>
    <row r="20" spans="1:20" x14ac:dyDescent="0.25">
      <c r="A20" s="1" t="s">
        <v>37</v>
      </c>
      <c r="B20" s="1" t="str">
        <f>VLOOKUP(A20,[3]LISTADHERENT!A$5:H$51,2)</f>
        <v>KOUAMOU EMMANUEL</v>
      </c>
      <c r="C20" s="6">
        <f>+[3]TONT20000ANNUELLE!$C21+D20</f>
        <v>9605.7343899185253</v>
      </c>
      <c r="D20" s="6">
        <f t="shared" si="0"/>
        <v>0</v>
      </c>
      <c r="E20" s="6">
        <f>[3]TONT20000JUIL2017!$D21+H20</f>
        <v>458934.15523997229</v>
      </c>
      <c r="F20" s="6"/>
      <c r="G20" s="7">
        <f>[4]TONTAOUT!$C19</f>
        <v>7000</v>
      </c>
      <c r="H20" s="7">
        <f t="shared" si="1"/>
        <v>3000</v>
      </c>
      <c r="I20" s="7">
        <f t="shared" si="2"/>
        <v>500</v>
      </c>
      <c r="J20" s="7">
        <f t="shared" si="3"/>
        <v>1000</v>
      </c>
      <c r="K20" s="7">
        <f t="shared" si="4"/>
        <v>2500</v>
      </c>
      <c r="L20" s="7"/>
      <c r="M20" s="7"/>
      <c r="N20" s="7">
        <f t="shared" si="5"/>
        <v>0</v>
      </c>
      <c r="O20" s="7">
        <v>50000</v>
      </c>
      <c r="P20" s="5" t="s">
        <v>21</v>
      </c>
      <c r="Q20" s="5" t="s">
        <v>21</v>
      </c>
      <c r="R20" s="2"/>
      <c r="S20" s="2"/>
      <c r="T20" s="1"/>
    </row>
    <row r="21" spans="1:20" x14ac:dyDescent="0.25">
      <c r="A21" s="1" t="s">
        <v>38</v>
      </c>
      <c r="B21" s="1" t="str">
        <f>VLOOKUP(A21,[3]LISTADHERENT!A$5:H$51,2)</f>
        <v>KOUAMOU MOISE</v>
      </c>
      <c r="C21" s="6">
        <f>+[3]TONT20000ANNUELLE!$C22+D21</f>
        <v>9669.4085330991038</v>
      </c>
      <c r="D21" s="6">
        <f t="shared" si="0"/>
        <v>0</v>
      </c>
      <c r="E21" s="6">
        <f>[3]TONT20000JUIL2017!$D22+H21</f>
        <v>478687.5925422195</v>
      </c>
      <c r="F21" s="6"/>
      <c r="G21" s="7">
        <f>[4]TONTAOUT!$C20</f>
        <v>7000</v>
      </c>
      <c r="H21" s="7">
        <f t="shared" si="1"/>
        <v>3000</v>
      </c>
      <c r="I21" s="7">
        <f t="shared" si="2"/>
        <v>500</v>
      </c>
      <c r="J21" s="7">
        <f t="shared" si="3"/>
        <v>1000</v>
      </c>
      <c r="K21" s="7">
        <f t="shared" si="4"/>
        <v>2500</v>
      </c>
      <c r="L21" s="7"/>
      <c r="M21" s="7"/>
      <c r="N21" s="7">
        <f t="shared" si="5"/>
        <v>0</v>
      </c>
      <c r="O21" s="7"/>
      <c r="P21" s="5" t="s">
        <v>21</v>
      </c>
      <c r="Q21" s="5" t="s">
        <v>21</v>
      </c>
      <c r="R21" s="2"/>
      <c r="S21" s="2"/>
      <c r="T21" s="1"/>
    </row>
    <row r="22" spans="1:20" x14ac:dyDescent="0.25">
      <c r="A22" s="1" t="s">
        <v>39</v>
      </c>
      <c r="B22" s="1" t="str">
        <f>VLOOKUP(A22,[3]LISTADHERENT!A$5:H$51,2)</f>
        <v>KOUAMO VICTOR PEGUY</v>
      </c>
      <c r="C22" s="6">
        <f>+[3]TONT20000ANNUELLE!$C23+D22</f>
        <v>9612.9708984134868</v>
      </c>
      <c r="D22" s="6">
        <f t="shared" si="0"/>
        <v>0</v>
      </c>
      <c r="E22" s="6">
        <f>[3]TONT20000JUIL2017!$D23+H22</f>
        <v>459270.37069668615</v>
      </c>
      <c r="F22" s="6"/>
      <c r="G22" s="7">
        <f>[4]TONTAOUT!$C21</f>
        <v>7000</v>
      </c>
      <c r="H22" s="7">
        <f t="shared" si="1"/>
        <v>3000</v>
      </c>
      <c r="I22" s="7">
        <f t="shared" si="2"/>
        <v>500</v>
      </c>
      <c r="J22" s="7">
        <f t="shared" si="3"/>
        <v>1000</v>
      </c>
      <c r="K22" s="7">
        <f t="shared" si="4"/>
        <v>2500</v>
      </c>
      <c r="L22" s="7"/>
      <c r="M22" s="7"/>
      <c r="N22" s="7">
        <f t="shared" si="5"/>
        <v>0</v>
      </c>
      <c r="O22" s="7"/>
      <c r="P22" s="5" t="s">
        <v>21</v>
      </c>
      <c r="Q22" s="5" t="s">
        <v>21</v>
      </c>
      <c r="R22" s="2"/>
      <c r="S22" s="2"/>
      <c r="T22" s="1"/>
    </row>
    <row r="23" spans="1:20" x14ac:dyDescent="0.25">
      <c r="A23" s="1" t="s">
        <v>40</v>
      </c>
      <c r="B23" s="1" t="str">
        <f>VLOOKUP(A23,[3]LISTADHERENT!A$5:H$51,2)</f>
        <v>KOUATCHO MESSACK</v>
      </c>
      <c r="C23" s="6">
        <f>+[3]TONT20000ANNUELLE!$C24+D23</f>
        <v>9637.8697665481159</v>
      </c>
      <c r="D23" s="6">
        <f t="shared" si="0"/>
        <v>0</v>
      </c>
      <c r="E23" s="6">
        <f>[3]TONT20000JUIL2017!$D24+H23</f>
        <v>460427.19713133667</v>
      </c>
      <c r="F23" s="6"/>
      <c r="G23" s="7">
        <f>[4]TONTAOUT!$C22</f>
        <v>7000</v>
      </c>
      <c r="H23" s="7">
        <f t="shared" si="1"/>
        <v>3000</v>
      </c>
      <c r="I23" s="7">
        <f t="shared" si="2"/>
        <v>500</v>
      </c>
      <c r="J23" s="7">
        <f t="shared" si="3"/>
        <v>1000</v>
      </c>
      <c r="K23" s="7">
        <f t="shared" si="4"/>
        <v>2500</v>
      </c>
      <c r="L23" s="7"/>
      <c r="M23" s="7"/>
      <c r="N23" s="7">
        <f t="shared" si="5"/>
        <v>0</v>
      </c>
      <c r="O23" s="7"/>
      <c r="P23" s="5" t="s">
        <v>21</v>
      </c>
      <c r="Q23" s="5" t="s">
        <v>21</v>
      </c>
      <c r="R23" s="2"/>
      <c r="S23" s="2"/>
      <c r="T23" s="1"/>
    </row>
    <row r="24" spans="1:20" x14ac:dyDescent="0.25">
      <c r="A24" s="1" t="s">
        <v>41</v>
      </c>
      <c r="B24" s="1" t="str">
        <f>VLOOKUP(A24,[3]LISTADHERENT!A$5:H$51,2)</f>
        <v>LOWE JEAN</v>
      </c>
      <c r="C24" s="6">
        <f>+[3]TONT20000ANNUELLE!$C25+D24</f>
        <v>9601.8903666973165</v>
      </c>
      <c r="D24" s="6">
        <f t="shared" si="0"/>
        <v>0</v>
      </c>
      <c r="E24" s="6">
        <f>[3]TONT20000JUIL2017!$D25+H24</f>
        <v>456225.48081758316</v>
      </c>
      <c r="F24" s="6"/>
      <c r="G24" s="7">
        <f>[4]TONTAOUT!$C23</f>
        <v>7000</v>
      </c>
      <c r="H24" s="7">
        <f t="shared" si="1"/>
        <v>3000</v>
      </c>
      <c r="I24" s="7">
        <f t="shared" si="2"/>
        <v>500</v>
      </c>
      <c r="J24" s="7">
        <f t="shared" si="3"/>
        <v>1000</v>
      </c>
      <c r="K24" s="7">
        <f t="shared" si="4"/>
        <v>2500</v>
      </c>
      <c r="L24" s="7"/>
      <c r="M24" s="7">
        <v>150000</v>
      </c>
      <c r="N24" s="7">
        <f t="shared" si="5"/>
        <v>4500</v>
      </c>
      <c r="O24" s="7"/>
      <c r="P24" s="5" t="s">
        <v>21</v>
      </c>
      <c r="Q24" s="5" t="s">
        <v>21</v>
      </c>
      <c r="R24" s="2"/>
      <c r="S24" s="2"/>
      <c r="T24" s="1"/>
    </row>
    <row r="25" spans="1:20" x14ac:dyDescent="0.25">
      <c r="A25" s="1" t="s">
        <v>42</v>
      </c>
      <c r="B25" s="1" t="str">
        <f>VLOOKUP(A25,[3]LISTADHERENT!A$5:H$51,2)</f>
        <v>NANKAM APPOLINAIRE</v>
      </c>
      <c r="C25" s="6">
        <f>+[3]TONT20000ANNUELLE!$C26+D25</f>
        <v>9614.1806490737363</v>
      </c>
      <c r="D25" s="6">
        <f t="shared" si="0"/>
        <v>0</v>
      </c>
      <c r="E25" s="6">
        <f>[3]TONT20000JUIL2017!$D26+H25</f>
        <v>459326.57692805165</v>
      </c>
      <c r="F25" s="6"/>
      <c r="G25" s="7">
        <f>[4]TONTAOUT!$C24</f>
        <v>7000</v>
      </c>
      <c r="H25" s="7">
        <f t="shared" si="1"/>
        <v>3000</v>
      </c>
      <c r="I25" s="7">
        <f t="shared" si="2"/>
        <v>500</v>
      </c>
      <c r="J25" s="7">
        <f t="shared" si="3"/>
        <v>1000</v>
      </c>
      <c r="K25" s="7">
        <f t="shared" si="4"/>
        <v>2500</v>
      </c>
      <c r="L25" s="7"/>
      <c r="M25" s="7"/>
      <c r="N25" s="7">
        <f t="shared" si="5"/>
        <v>0</v>
      </c>
      <c r="O25" s="7">
        <v>21000</v>
      </c>
      <c r="P25" s="5" t="s">
        <v>21</v>
      </c>
      <c r="Q25" s="5" t="s">
        <v>21</v>
      </c>
      <c r="R25" s="2"/>
      <c r="S25" s="2"/>
      <c r="T25" s="1"/>
    </row>
    <row r="26" spans="1:20" x14ac:dyDescent="0.25">
      <c r="A26" s="1" t="s">
        <v>43</v>
      </c>
      <c r="B26" s="1" t="str">
        <f>VLOOKUP(A26,[3]LISTADHERENT!A$5:H$51,2)</f>
        <v>NDJOMO ETIENNE</v>
      </c>
      <c r="C26" s="6">
        <f>+[3]TONT20000ANNUELLE!$C27+D26</f>
        <v>10142.147328779693</v>
      </c>
      <c r="D26" s="6">
        <f t="shared" si="0"/>
        <v>0</v>
      </c>
      <c r="E26" s="6">
        <f>[3]TONT20000JUIL2017!$D27+H26</f>
        <v>504929.00132917956</v>
      </c>
      <c r="F26" s="6"/>
      <c r="G26" s="7">
        <f>[4]TONTAOUT!$C25</f>
        <v>12000</v>
      </c>
      <c r="H26" s="7">
        <f t="shared" si="1"/>
        <v>8000</v>
      </c>
      <c r="I26" s="7">
        <f t="shared" si="2"/>
        <v>500</v>
      </c>
      <c r="J26" s="7">
        <f t="shared" si="3"/>
        <v>1000</v>
      </c>
      <c r="K26" s="7">
        <f t="shared" si="4"/>
        <v>2500</v>
      </c>
      <c r="L26" s="7"/>
      <c r="M26" s="7"/>
      <c r="N26" s="7">
        <f t="shared" si="5"/>
        <v>0</v>
      </c>
      <c r="O26" s="7"/>
      <c r="P26" s="5" t="s">
        <v>21</v>
      </c>
      <c r="Q26" s="5" t="s">
        <v>21</v>
      </c>
      <c r="R26" s="2"/>
      <c r="S26" s="2"/>
      <c r="T26" s="1"/>
    </row>
    <row r="27" spans="1:20" x14ac:dyDescent="0.25">
      <c r="A27" s="8" t="s">
        <v>44</v>
      </c>
      <c r="B27" s="1" t="str">
        <f>VLOOKUP(A27,[3]LISTADHERENT!A$5:H$51,2)</f>
        <v>NDOMBOU JEAN CLAUDE</v>
      </c>
      <c r="C27" s="6">
        <f>+[3]TONT20000ANNUELLE!$C28+D27</f>
        <v>9238.1272579911511</v>
      </c>
      <c r="D27" s="6">
        <f t="shared" si="0"/>
        <v>0</v>
      </c>
      <c r="E27" s="6">
        <f>[3]TONT20000JUIL2017!$D28+H27</f>
        <v>432211.22133675992</v>
      </c>
      <c r="F27" s="6"/>
      <c r="G27" s="7">
        <f>[4]TONTAOUT!$C26</f>
        <v>7000</v>
      </c>
      <c r="H27" s="7">
        <f t="shared" si="1"/>
        <v>3000</v>
      </c>
      <c r="I27" s="7">
        <f t="shared" si="2"/>
        <v>500</v>
      </c>
      <c r="J27" s="7">
        <f t="shared" si="3"/>
        <v>1000</v>
      </c>
      <c r="K27" s="7">
        <f t="shared" si="4"/>
        <v>2500</v>
      </c>
      <c r="L27" s="7"/>
      <c r="M27" s="7"/>
      <c r="N27" s="7">
        <f t="shared" si="5"/>
        <v>0</v>
      </c>
      <c r="O27" s="7"/>
      <c r="P27" s="5" t="s">
        <v>21</v>
      </c>
      <c r="Q27" s="5" t="s">
        <v>21</v>
      </c>
      <c r="R27" s="2"/>
      <c r="S27" s="2"/>
      <c r="T27" s="1"/>
    </row>
    <row r="28" spans="1:20" x14ac:dyDescent="0.25">
      <c r="A28" s="1" t="s">
        <v>45</v>
      </c>
      <c r="B28" s="1" t="str">
        <f>VLOOKUP(A28,[3]LISTADHERENT!A$5:H$51,2)</f>
        <v>NGONDIEP CLAUDE</v>
      </c>
      <c r="C28" s="6">
        <f>+[3]TONT20000ANNUELLE!$C29+D28</f>
        <v>9818.0852206574273</v>
      </c>
      <c r="D28" s="6">
        <f t="shared" si="0"/>
        <v>0</v>
      </c>
      <c r="E28" s="6">
        <f>[3]TONT20000JUIL2017!$D29+H28</f>
        <v>469038.87337429397</v>
      </c>
      <c r="F28" s="6"/>
      <c r="G28" s="7">
        <f>[4]TONTAOUT!$C27</f>
        <v>7000</v>
      </c>
      <c r="H28" s="7">
        <f t="shared" si="1"/>
        <v>3000</v>
      </c>
      <c r="I28" s="7">
        <f t="shared" si="2"/>
        <v>500</v>
      </c>
      <c r="J28" s="7">
        <f t="shared" si="3"/>
        <v>1000</v>
      </c>
      <c r="K28" s="7">
        <f t="shared" si="4"/>
        <v>2500</v>
      </c>
      <c r="L28" s="7"/>
      <c r="M28" s="7"/>
      <c r="N28" s="7">
        <f t="shared" si="5"/>
        <v>0</v>
      </c>
      <c r="O28" s="7"/>
      <c r="P28" s="5" t="s">
        <v>21</v>
      </c>
      <c r="Q28" s="5" t="s">
        <v>21</v>
      </c>
      <c r="R28" s="2"/>
      <c r="S28" s="2"/>
      <c r="T28" s="1"/>
    </row>
    <row r="29" spans="1:20" x14ac:dyDescent="0.25">
      <c r="A29" s="1" t="s">
        <v>46</v>
      </c>
      <c r="B29" s="1" t="str">
        <f>VLOOKUP(A29,[3]LISTADHERENT!A$5:H$51,2)</f>
        <v>NGONGANG JEAN THEODORE</v>
      </c>
      <c r="C29" s="6">
        <f>+[3]TONT20000ANNUELLE!$C30+D29</f>
        <v>780.12501758361475</v>
      </c>
      <c r="D29" s="6">
        <f t="shared" si="0"/>
        <v>0</v>
      </c>
      <c r="E29" s="6">
        <f>[3]TONT20000JUIL2017!$D30+H29</f>
        <v>65075.050410979144</v>
      </c>
      <c r="F29" s="6"/>
      <c r="G29" s="7">
        <f>[4]TONTAOUT!$C28</f>
        <v>0</v>
      </c>
      <c r="H29" s="7">
        <f t="shared" si="1"/>
        <v>0</v>
      </c>
      <c r="I29" s="7">
        <f t="shared" si="2"/>
        <v>0</v>
      </c>
      <c r="J29" s="7">
        <f t="shared" si="3"/>
        <v>0</v>
      </c>
      <c r="K29" s="7">
        <f t="shared" si="4"/>
        <v>0</v>
      </c>
      <c r="L29" s="7"/>
      <c r="M29" s="7"/>
      <c r="N29" s="7">
        <f t="shared" si="5"/>
        <v>0</v>
      </c>
      <c r="O29" s="7"/>
      <c r="P29" s="5" t="s">
        <v>21</v>
      </c>
      <c r="Q29" s="5" t="s">
        <v>21</v>
      </c>
      <c r="R29" s="2"/>
      <c r="S29" s="2"/>
      <c r="T29" s="1"/>
    </row>
    <row r="30" spans="1:20" x14ac:dyDescent="0.25">
      <c r="A30" s="1" t="s">
        <v>47</v>
      </c>
      <c r="B30" s="1" t="str">
        <f>VLOOKUP(A30,[3]LISTADHERENT!A$5:H$51,2)</f>
        <v>NGUIEMEGNI MATHIEU BLAISE</v>
      </c>
      <c r="C30" s="6">
        <f>+[3]TONT20000ANNUELLE!$C31+D30</f>
        <v>10436.791669212371</v>
      </c>
      <c r="D30" s="6">
        <f t="shared" si="0"/>
        <v>0</v>
      </c>
      <c r="E30" s="6">
        <f>[3]TONT20000JUIL2017!$D31+H30</f>
        <v>497538.63880477578</v>
      </c>
      <c r="F30" s="6"/>
      <c r="G30" s="7">
        <f>[4]TONTAOUT!$C29</f>
        <v>7000</v>
      </c>
      <c r="H30" s="7">
        <f t="shared" si="1"/>
        <v>3000</v>
      </c>
      <c r="I30" s="7">
        <f t="shared" si="2"/>
        <v>500</v>
      </c>
      <c r="J30" s="7">
        <f t="shared" si="3"/>
        <v>1000</v>
      </c>
      <c r="K30" s="7">
        <f t="shared" si="4"/>
        <v>2500</v>
      </c>
      <c r="L30" s="7"/>
      <c r="M30" s="7"/>
      <c r="N30" s="7">
        <f t="shared" si="5"/>
        <v>0</v>
      </c>
      <c r="O30" s="7"/>
      <c r="P30" s="5" t="s">
        <v>21</v>
      </c>
      <c r="Q30" s="5" t="s">
        <v>21</v>
      </c>
      <c r="R30" s="2"/>
      <c r="S30" s="2"/>
      <c r="T30" s="1"/>
    </row>
    <row r="31" spans="1:20" x14ac:dyDescent="0.25">
      <c r="A31" s="1" t="s">
        <v>48</v>
      </c>
      <c r="B31" s="1" t="str">
        <f>VLOOKUP(A31,[3]LISTADHERENT!A$5:H$51,2)</f>
        <v>NJEPDJIO MBOUKAM DELUXE</v>
      </c>
      <c r="C31" s="6">
        <f>+[3]TONT20000ANNUELLE!$C32+D31</f>
        <v>9722.1015272976729</v>
      </c>
      <c r="D31" s="6">
        <f t="shared" si="0"/>
        <v>0</v>
      </c>
      <c r="E31" s="6">
        <f>[3]TONT20000JUIL2017!$D32+H31</f>
        <v>464466.01947052567</v>
      </c>
      <c r="F31" s="6"/>
      <c r="G31" s="7">
        <f>[4]TONTAOUT!$C30</f>
        <v>7000</v>
      </c>
      <c r="H31" s="7">
        <f t="shared" si="1"/>
        <v>3000</v>
      </c>
      <c r="I31" s="7">
        <f t="shared" si="2"/>
        <v>500</v>
      </c>
      <c r="J31" s="7">
        <f t="shared" si="3"/>
        <v>1000</v>
      </c>
      <c r="K31" s="7">
        <f t="shared" si="4"/>
        <v>2500</v>
      </c>
      <c r="L31" s="7"/>
      <c r="M31" s="7"/>
      <c r="N31" s="7">
        <f t="shared" si="5"/>
        <v>0</v>
      </c>
      <c r="O31" s="7"/>
      <c r="P31" s="5" t="s">
        <v>21</v>
      </c>
      <c r="Q31" s="5" t="s">
        <v>21</v>
      </c>
      <c r="R31" s="2"/>
      <c r="S31" s="2"/>
      <c r="T31" s="1"/>
    </row>
    <row r="32" spans="1:20" x14ac:dyDescent="0.25">
      <c r="A32" s="1" t="s">
        <v>49</v>
      </c>
      <c r="B32" s="1" t="str">
        <f>VLOOKUP(A32,[3]LISTADHERENT!A$5:H$51,2)</f>
        <v>NKAMGANG JUSTIN DEJOLIE</v>
      </c>
      <c r="C32" s="6">
        <f>+[3]TONT20000ANNUELLE!$C33+D32</f>
        <v>11448.282993591136</v>
      </c>
      <c r="D32" s="6">
        <f t="shared" si="0"/>
        <v>0</v>
      </c>
      <c r="E32" s="6">
        <f>[3]TONT20000JUIL2017!$D33+H32</f>
        <v>557221.39315556001</v>
      </c>
      <c r="F32" s="6"/>
      <c r="G32" s="7">
        <f>[4]TONTAOUT!$C31</f>
        <v>10000</v>
      </c>
      <c r="H32" s="7">
        <f t="shared" si="1"/>
        <v>6000</v>
      </c>
      <c r="I32" s="7">
        <f t="shared" si="2"/>
        <v>500</v>
      </c>
      <c r="J32" s="7">
        <f t="shared" si="3"/>
        <v>1000</v>
      </c>
      <c r="K32" s="7">
        <f t="shared" si="4"/>
        <v>2500</v>
      </c>
      <c r="L32" s="7"/>
      <c r="M32" s="7"/>
      <c r="N32" s="7">
        <f t="shared" si="5"/>
        <v>0</v>
      </c>
      <c r="O32" s="7"/>
      <c r="P32" s="5" t="s">
        <v>21</v>
      </c>
      <c r="Q32" s="5" t="s">
        <v>21</v>
      </c>
      <c r="R32" s="2"/>
      <c r="S32" s="2"/>
      <c r="T32" s="1"/>
    </row>
    <row r="33" spans="1:20" s="10" customFormat="1" x14ac:dyDescent="0.25">
      <c r="A33" s="1" t="s">
        <v>50</v>
      </c>
      <c r="B33" s="1" t="str">
        <f>VLOOKUP(A33,[3]LISTADHERENT!A$5:H$51,2)</f>
        <v>NKEPSEU DIEUDONNE</v>
      </c>
      <c r="C33" s="6">
        <f>+[3]TONT20000ANNUELLE!$C34+D33</f>
        <v>12341.151797021166</v>
      </c>
      <c r="D33" s="6">
        <f t="shared" si="0"/>
        <v>0</v>
      </c>
      <c r="E33" s="6">
        <f>[3]TONT20000JUIL2017!$D34+H33</f>
        <v>607075.14041845209</v>
      </c>
      <c r="F33" s="6"/>
      <c r="G33" s="7">
        <f>[4]TONTAOUT!$C32</f>
        <v>12000</v>
      </c>
      <c r="H33" s="7">
        <f t="shared" si="1"/>
        <v>8000</v>
      </c>
      <c r="I33" s="7">
        <f t="shared" si="2"/>
        <v>500</v>
      </c>
      <c r="J33" s="7">
        <f t="shared" si="3"/>
        <v>1000</v>
      </c>
      <c r="K33" s="7">
        <f t="shared" si="4"/>
        <v>2500</v>
      </c>
      <c r="L33" s="7"/>
      <c r="M33" s="7"/>
      <c r="N33" s="7">
        <f t="shared" si="5"/>
        <v>0</v>
      </c>
      <c r="O33" s="7">
        <v>200000</v>
      </c>
      <c r="P33" s="5" t="s">
        <v>21</v>
      </c>
      <c r="Q33" s="5" t="s">
        <v>21</v>
      </c>
      <c r="R33" s="9"/>
      <c r="S33" s="9"/>
      <c r="T33" s="1"/>
    </row>
    <row r="34" spans="1:20" x14ac:dyDescent="0.25">
      <c r="A34" s="1" t="s">
        <v>51</v>
      </c>
      <c r="B34" s="1" t="str">
        <f>VLOOKUP(A34,[3]LISTADHERENT!A$5:H$51,2)</f>
        <v>NTEPDIE TUEMAC MZ</v>
      </c>
      <c r="C34" s="6">
        <f>+[3]TONT20000ANNUELLE!$C35+D34</f>
        <v>0</v>
      </c>
      <c r="D34" s="6">
        <f t="shared" si="0"/>
        <v>0</v>
      </c>
      <c r="E34" s="6">
        <f>[3]TONT20000JUIL2017!$D35+H34</f>
        <v>0</v>
      </c>
      <c r="F34" s="6"/>
      <c r="G34" s="7">
        <f>[4]TONTAOUT!$C33</f>
        <v>0</v>
      </c>
      <c r="H34" s="7">
        <f t="shared" si="1"/>
        <v>0</v>
      </c>
      <c r="I34" s="7">
        <f t="shared" si="2"/>
        <v>0</v>
      </c>
      <c r="J34" s="7">
        <f t="shared" si="3"/>
        <v>0</v>
      </c>
      <c r="K34" s="7">
        <f t="shared" si="4"/>
        <v>0</v>
      </c>
      <c r="L34" s="7"/>
      <c r="M34" s="7"/>
      <c r="N34" s="7">
        <f t="shared" si="5"/>
        <v>0</v>
      </c>
      <c r="O34" s="7"/>
      <c r="P34" s="5" t="s">
        <v>21</v>
      </c>
      <c r="Q34" s="5" t="s">
        <v>21</v>
      </c>
      <c r="R34" s="2"/>
      <c r="S34" s="2"/>
      <c r="T34" s="1"/>
    </row>
    <row r="35" spans="1:20" x14ac:dyDescent="0.25">
      <c r="A35" s="1" t="s">
        <v>52</v>
      </c>
      <c r="B35" s="1" t="str">
        <f>VLOOKUP(A35,[3]LISTADHERENT!A$5:H$51,2)</f>
        <v>PATEGO NJOSSU GUSTAVE</v>
      </c>
      <c r="C35" s="6">
        <f>+[3]TONT20000ANNUELLE!$C38+D35</f>
        <v>9608.4643944049203</v>
      </c>
      <c r="D35" s="6">
        <f t="shared" si="0"/>
        <v>0</v>
      </c>
      <c r="E35" s="6">
        <f>[3]TONT20000JUIL2017!$D38+H35</f>
        <v>459053.72122305894</v>
      </c>
      <c r="F35" s="6"/>
      <c r="G35" s="7">
        <f>[4]TONTAOUT!$C34</f>
        <v>7000</v>
      </c>
      <c r="H35" s="7">
        <f t="shared" si="1"/>
        <v>3000</v>
      </c>
      <c r="I35" s="7">
        <f t="shared" si="2"/>
        <v>500</v>
      </c>
      <c r="J35" s="7">
        <f t="shared" si="3"/>
        <v>1000</v>
      </c>
      <c r="K35" s="7">
        <f t="shared" si="4"/>
        <v>2500</v>
      </c>
      <c r="L35" s="7"/>
      <c r="M35" s="7"/>
      <c r="N35" s="7">
        <f t="shared" si="5"/>
        <v>0</v>
      </c>
      <c r="O35" s="7"/>
      <c r="P35" s="5" t="s">
        <v>21</v>
      </c>
      <c r="Q35" s="5" t="s">
        <v>21</v>
      </c>
      <c r="R35" s="2"/>
      <c r="S35" s="2"/>
      <c r="T35" s="1"/>
    </row>
    <row r="36" spans="1:20" x14ac:dyDescent="0.25">
      <c r="A36" s="1" t="s">
        <v>53</v>
      </c>
      <c r="B36" s="1" t="str">
        <f>VLOOKUP(A36,[3]LISTADHERENT!A$5:H$51,2)</f>
        <v>SEUNOU RICHELOT</v>
      </c>
      <c r="C36" s="6">
        <f>+[3]TONT20000ANNUELLE!$C39+D36</f>
        <v>9702.6489821721352</v>
      </c>
      <c r="D36" s="6">
        <f t="shared" si="0"/>
        <v>0</v>
      </c>
      <c r="E36" s="6">
        <f>[3]TONT20000JUIL2017!$D39+H36</f>
        <v>463429.63181773521</v>
      </c>
      <c r="F36" s="6"/>
      <c r="G36" s="7">
        <f>[4]TONTAOUT!$C35</f>
        <v>7000</v>
      </c>
      <c r="H36" s="7">
        <f t="shared" si="1"/>
        <v>3000</v>
      </c>
      <c r="I36" s="7">
        <f t="shared" si="2"/>
        <v>500</v>
      </c>
      <c r="J36" s="7">
        <f t="shared" si="3"/>
        <v>1000</v>
      </c>
      <c r="K36" s="7">
        <f t="shared" si="4"/>
        <v>2500</v>
      </c>
      <c r="L36" s="7"/>
      <c r="M36" s="7"/>
      <c r="N36" s="7">
        <f t="shared" si="5"/>
        <v>0</v>
      </c>
      <c r="O36" s="7"/>
      <c r="P36" s="5" t="s">
        <v>21</v>
      </c>
      <c r="Q36" s="5" t="s">
        <v>21</v>
      </c>
      <c r="R36" s="2"/>
      <c r="S36" s="2"/>
      <c r="T36" s="1"/>
    </row>
    <row r="37" spans="1:20" x14ac:dyDescent="0.25">
      <c r="A37" s="1" t="s">
        <v>54</v>
      </c>
      <c r="B37" s="1" t="str">
        <f>VLOOKUP(A37,[3]LISTADHERENT!A$5:H$51,2)</f>
        <v>SIME ABEL</v>
      </c>
      <c r="C37" s="6">
        <f>+[3]TONT20000ANNUELLE!$C40+D37</f>
        <v>8868.7233284812482</v>
      </c>
      <c r="D37" s="6">
        <f t="shared" si="0"/>
        <v>0</v>
      </c>
      <c r="E37" s="6">
        <f>[3]TONT20000JUIL2017!$D40+H37</f>
        <v>423330.21694720368</v>
      </c>
      <c r="F37" s="6"/>
      <c r="G37" s="7">
        <f>[4]TONTAOUT!$C36</f>
        <v>7000</v>
      </c>
      <c r="H37" s="7">
        <f t="shared" si="1"/>
        <v>3000</v>
      </c>
      <c r="I37" s="7">
        <f t="shared" si="2"/>
        <v>500</v>
      </c>
      <c r="J37" s="7">
        <f t="shared" si="3"/>
        <v>1000</v>
      </c>
      <c r="K37" s="7">
        <f t="shared" si="4"/>
        <v>2500</v>
      </c>
      <c r="L37" s="7"/>
      <c r="M37" s="7"/>
      <c r="N37" s="7">
        <f t="shared" si="5"/>
        <v>0</v>
      </c>
      <c r="O37" s="7"/>
      <c r="P37" s="5" t="s">
        <v>21</v>
      </c>
      <c r="Q37" s="5" t="s">
        <v>21</v>
      </c>
      <c r="R37" s="2"/>
      <c r="S37" s="2"/>
      <c r="T37" s="1"/>
    </row>
    <row r="38" spans="1:20" x14ac:dyDescent="0.25">
      <c r="A38" s="1" t="s">
        <v>55</v>
      </c>
      <c r="B38" s="1" t="str">
        <f>VLOOKUP(A38,[3]LISTADHERENT!A$5:H$51,2)</f>
        <v>SIME FONGANG ERIC</v>
      </c>
      <c r="C38" s="6">
        <f>+[3]TONT20000ANNUELLE!$C41+D38</f>
        <v>9662.133332786987</v>
      </c>
      <c r="D38" s="6">
        <f t="shared" si="0"/>
        <v>0</v>
      </c>
      <c r="E38" s="6">
        <f>[3]TONT20000JUIL2017!$D41+H38</f>
        <v>461547.23403272976</v>
      </c>
      <c r="F38" s="6"/>
      <c r="G38" s="7">
        <f>[4]TONTAOUT!$C37</f>
        <v>7000</v>
      </c>
      <c r="H38" s="7">
        <f t="shared" si="1"/>
        <v>3000</v>
      </c>
      <c r="I38" s="7">
        <f t="shared" si="2"/>
        <v>500</v>
      </c>
      <c r="J38" s="7">
        <f t="shared" si="3"/>
        <v>1000</v>
      </c>
      <c r="K38" s="7">
        <f t="shared" si="4"/>
        <v>2500</v>
      </c>
      <c r="L38" s="7"/>
      <c r="M38" s="7"/>
      <c r="N38" s="7">
        <f t="shared" si="5"/>
        <v>0</v>
      </c>
      <c r="O38" s="7"/>
      <c r="P38" s="5" t="s">
        <v>21</v>
      </c>
      <c r="Q38" s="5" t="s">
        <v>21</v>
      </c>
      <c r="R38" s="2"/>
      <c r="S38" s="2"/>
      <c r="T38" s="1"/>
    </row>
    <row r="39" spans="1:20" x14ac:dyDescent="0.25">
      <c r="A39" s="1" t="s">
        <v>56</v>
      </c>
      <c r="B39" s="1" t="str">
        <f>VLOOKUP(A39,[3]LISTADHERENT!A$5:H$51,2)</f>
        <v>SIME MATHIEU</v>
      </c>
      <c r="C39" s="6">
        <f>+[3]TONT20000ANNUELLE!$C42+D39</f>
        <v>9653.6430826986725</v>
      </c>
      <c r="D39" s="6">
        <f t="shared" si="0"/>
        <v>0</v>
      </c>
      <c r="E39" s="6">
        <f>[3]TONT20000JUIL2017!$D42+H39</f>
        <v>461152.76848169166</v>
      </c>
      <c r="F39" s="6"/>
      <c r="G39" s="7">
        <f>[4]TONTAOUT!$C38</f>
        <v>7000</v>
      </c>
      <c r="H39" s="7">
        <f t="shared" si="1"/>
        <v>3000</v>
      </c>
      <c r="I39" s="7">
        <f t="shared" si="2"/>
        <v>500</v>
      </c>
      <c r="J39" s="7">
        <f t="shared" si="3"/>
        <v>1000</v>
      </c>
      <c r="K39" s="7">
        <f t="shared" si="4"/>
        <v>2500</v>
      </c>
      <c r="L39" s="7"/>
      <c r="M39" s="7"/>
      <c r="N39" s="7">
        <f t="shared" si="5"/>
        <v>0</v>
      </c>
      <c r="O39" s="7">
        <v>95000</v>
      </c>
      <c r="P39" s="5" t="s">
        <v>21</v>
      </c>
      <c r="Q39" s="5" t="s">
        <v>21</v>
      </c>
      <c r="R39" s="2"/>
      <c r="S39" s="2"/>
      <c r="T39" s="1"/>
    </row>
    <row r="40" spans="1:20" x14ac:dyDescent="0.25">
      <c r="A40" s="1" t="s">
        <v>57</v>
      </c>
      <c r="B40" s="1" t="str">
        <f>VLOOKUP(A40,[3]LISTADHERENT!A$5:H$51,2)</f>
        <v>SIME PIERRE</v>
      </c>
      <c r="C40" s="6">
        <f>+[3]TONT20000ANNUELLE!$C43+D40</f>
        <v>12719.372246864517</v>
      </c>
      <c r="D40" s="6">
        <f t="shared" si="0"/>
        <v>0</v>
      </c>
      <c r="E40" s="6">
        <f>[3]TONT20000JUIL2017!$D43+H40</f>
        <v>625655.19749734446</v>
      </c>
      <c r="F40" s="6"/>
      <c r="G40" s="7">
        <f>[4]TONTAOUT!$C39</f>
        <v>12000</v>
      </c>
      <c r="H40" s="7">
        <f t="shared" si="1"/>
        <v>8000</v>
      </c>
      <c r="I40" s="7">
        <f t="shared" si="2"/>
        <v>500</v>
      </c>
      <c r="J40" s="7">
        <f t="shared" si="3"/>
        <v>1000</v>
      </c>
      <c r="K40" s="7">
        <f t="shared" si="4"/>
        <v>2500</v>
      </c>
      <c r="L40" s="7"/>
      <c r="M40" s="7"/>
      <c r="N40" s="7">
        <f t="shared" si="5"/>
        <v>0</v>
      </c>
      <c r="O40" s="7"/>
      <c r="P40" s="5" t="s">
        <v>21</v>
      </c>
      <c r="Q40" s="5" t="s">
        <v>21</v>
      </c>
      <c r="R40" s="2"/>
      <c r="S40" s="2"/>
      <c r="T40" s="1"/>
    </row>
    <row r="41" spans="1:20" x14ac:dyDescent="0.25">
      <c r="A41" s="1" t="s">
        <v>58</v>
      </c>
      <c r="B41" s="1" t="str">
        <f>VLOOKUP(A41,[3]LISTADHERENT!A$5:H$51,2)</f>
        <v>TAGNE NANGUEN MARTIN</v>
      </c>
      <c r="C41" s="6">
        <f>+[3]TONT20000ANNUELLE!$C44+D41</f>
        <v>8929.8382649369523</v>
      </c>
      <c r="D41" s="6">
        <f t="shared" si="0"/>
        <v>0</v>
      </c>
      <c r="E41" s="6">
        <f>[3]TONT20000JUIL2017!$D44+H41</f>
        <v>427524.06928995653</v>
      </c>
      <c r="F41" s="6"/>
      <c r="G41" s="7">
        <f>[4]TONTAOUT!$C40</f>
        <v>7000</v>
      </c>
      <c r="H41" s="7">
        <f t="shared" si="1"/>
        <v>3000</v>
      </c>
      <c r="I41" s="7">
        <f t="shared" si="2"/>
        <v>500</v>
      </c>
      <c r="J41" s="7">
        <f t="shared" si="3"/>
        <v>1000</v>
      </c>
      <c r="K41" s="7">
        <f t="shared" si="4"/>
        <v>2500</v>
      </c>
      <c r="L41" s="7"/>
      <c r="M41" s="7"/>
      <c r="N41" s="7">
        <f t="shared" si="5"/>
        <v>0</v>
      </c>
      <c r="O41" s="7"/>
      <c r="P41" s="5" t="s">
        <v>21</v>
      </c>
      <c r="Q41" s="5" t="s">
        <v>21</v>
      </c>
      <c r="R41" s="2"/>
      <c r="S41" s="2"/>
      <c r="T41" s="1"/>
    </row>
    <row r="42" spans="1:20" x14ac:dyDescent="0.25">
      <c r="A42" s="1" t="s">
        <v>59</v>
      </c>
      <c r="B42" s="1" t="str">
        <f>VLOOKUP(A42,[3]LISTADHERENT!A$5:H$51,2)</f>
        <v>TCHOUAMOU JEAN PAUL</v>
      </c>
      <c r="C42" s="6">
        <f>+[3]TONT20000ANNUELLE!$C45+D42</f>
        <v>642.24252727100691</v>
      </c>
      <c r="D42" s="6">
        <f t="shared" si="0"/>
        <v>0</v>
      </c>
      <c r="E42" s="6">
        <f>[3]TONT20000JUIL2017!$D45+H42</f>
        <v>39482.770354666689</v>
      </c>
      <c r="F42" s="6"/>
      <c r="G42" s="7">
        <f>[4]TONTAOUT!$C41</f>
        <v>0</v>
      </c>
      <c r="H42" s="7">
        <f t="shared" si="1"/>
        <v>0</v>
      </c>
      <c r="I42" s="7">
        <f t="shared" si="2"/>
        <v>0</v>
      </c>
      <c r="J42" s="7">
        <f t="shared" si="3"/>
        <v>0</v>
      </c>
      <c r="K42" s="7">
        <f t="shared" si="4"/>
        <v>0</v>
      </c>
      <c r="L42" s="7"/>
      <c r="M42" s="7"/>
      <c r="N42" s="7">
        <f t="shared" si="5"/>
        <v>0</v>
      </c>
      <c r="O42" s="7"/>
      <c r="P42" s="5" t="s">
        <v>21</v>
      </c>
      <c r="Q42" s="5" t="s">
        <v>21</v>
      </c>
      <c r="R42" s="2"/>
      <c r="S42" s="2"/>
      <c r="T42" s="1"/>
    </row>
    <row r="43" spans="1:20" x14ac:dyDescent="0.25">
      <c r="A43" s="1" t="s">
        <v>60</v>
      </c>
      <c r="B43" s="1" t="str">
        <f>VLOOKUP(A43,[3]LISTADHERENT!A$5:H$51,2)</f>
        <v>TCHOUAMOU MATHIEU</v>
      </c>
      <c r="C43" s="6">
        <f>+[3]TONT20000ANNUELLE!$C46+D43</f>
        <v>9612.4235783839267</v>
      </c>
      <c r="D43" s="6">
        <f t="shared" si="0"/>
        <v>0</v>
      </c>
      <c r="E43" s="6">
        <f>[3]TONT20000JUIL2017!$D46+H43</f>
        <v>459237.66888934624</v>
      </c>
      <c r="F43" s="6"/>
      <c r="G43" s="7">
        <f>[4]TONTAOUT!$C42</f>
        <v>7000</v>
      </c>
      <c r="H43" s="7">
        <f t="shared" si="1"/>
        <v>3000</v>
      </c>
      <c r="I43" s="7">
        <f t="shared" si="2"/>
        <v>500</v>
      </c>
      <c r="J43" s="7">
        <f t="shared" si="3"/>
        <v>1000</v>
      </c>
      <c r="K43" s="7">
        <f t="shared" si="4"/>
        <v>2500</v>
      </c>
      <c r="L43" s="7"/>
      <c r="M43" s="7"/>
      <c r="N43" s="7">
        <f t="shared" si="5"/>
        <v>0</v>
      </c>
      <c r="O43" s="7"/>
      <c r="P43" s="5" t="s">
        <v>21</v>
      </c>
      <c r="Q43" s="5" t="s">
        <v>21</v>
      </c>
      <c r="R43" s="2"/>
      <c r="S43" s="2"/>
      <c r="T43" s="1"/>
    </row>
    <row r="44" spans="1:20" x14ac:dyDescent="0.25">
      <c r="A44" s="1" t="s">
        <v>61</v>
      </c>
      <c r="B44" s="1" t="str">
        <f>VLOOKUP(A44,[3]LISTADHERENT!A$5:H$51,2)</f>
        <v>TCHOUANTE FRANCOIS</v>
      </c>
      <c r="C44" s="6">
        <f>+[3]TONT20000ANNUELLE!$C47+D44</f>
        <v>10777.497036508537</v>
      </c>
      <c r="D44" s="6">
        <f t="shared" si="0"/>
        <v>0</v>
      </c>
      <c r="E44" s="6">
        <f>[3]TONT20000JUIL2017!$D47+H44</f>
        <v>524395.66254746122</v>
      </c>
      <c r="F44" s="6"/>
      <c r="G44" s="7">
        <f>[4]TONTAOUT!$C43</f>
        <v>7000</v>
      </c>
      <c r="H44" s="7">
        <f t="shared" si="1"/>
        <v>3000</v>
      </c>
      <c r="I44" s="7">
        <f t="shared" si="2"/>
        <v>500</v>
      </c>
      <c r="J44" s="7">
        <f t="shared" si="3"/>
        <v>1000</v>
      </c>
      <c r="K44" s="7">
        <f t="shared" si="4"/>
        <v>2500</v>
      </c>
      <c r="L44" s="7"/>
      <c r="M44" s="7"/>
      <c r="N44" s="7">
        <f t="shared" si="5"/>
        <v>0</v>
      </c>
      <c r="O44" s="7"/>
      <c r="P44" s="5" t="s">
        <v>21</v>
      </c>
      <c r="Q44" s="5" t="s">
        <v>21</v>
      </c>
      <c r="R44" s="2"/>
      <c r="S44" s="2"/>
      <c r="T44" s="1"/>
    </row>
    <row r="45" spans="1:20" x14ac:dyDescent="0.25">
      <c r="A45" s="1" t="s">
        <v>62</v>
      </c>
      <c r="B45" s="1" t="str">
        <f>VLOOKUP(A45,[3]LISTADHERENT!A$5:H$51,2)</f>
        <v>TCHOUTOU NANA CLAUDE</v>
      </c>
      <c r="C45" s="6">
        <f>+[3]TONT20000ANNUELLE!$C48+D45</f>
        <v>315.76381726896312</v>
      </c>
      <c r="D45" s="6">
        <f t="shared" si="0"/>
        <v>0</v>
      </c>
      <c r="E45" s="6">
        <f>[3]TONT20000JUIL2017!$D48+H45</f>
        <v>24314.241406329722</v>
      </c>
      <c r="F45" s="6"/>
      <c r="G45" s="7">
        <f>[4]TONTAOUT!$C44</f>
        <v>0</v>
      </c>
      <c r="H45" s="7">
        <f t="shared" si="1"/>
        <v>0</v>
      </c>
      <c r="I45" s="7">
        <f t="shared" si="2"/>
        <v>0</v>
      </c>
      <c r="J45" s="7">
        <f t="shared" si="3"/>
        <v>0</v>
      </c>
      <c r="K45" s="7">
        <f t="shared" si="4"/>
        <v>0</v>
      </c>
      <c r="L45" s="7"/>
      <c r="M45" s="7"/>
      <c r="N45" s="7">
        <f t="shared" si="5"/>
        <v>0</v>
      </c>
      <c r="O45" s="7">
        <v>25000</v>
      </c>
      <c r="P45" s="5" t="s">
        <v>21</v>
      </c>
      <c r="Q45" s="5" t="s">
        <v>21</v>
      </c>
      <c r="R45" s="2"/>
      <c r="S45" s="2"/>
      <c r="T45" s="1"/>
    </row>
    <row r="46" spans="1:20" x14ac:dyDescent="0.25">
      <c r="A46" s="1" t="s">
        <v>63</v>
      </c>
      <c r="B46" s="1" t="str">
        <f>VLOOKUP(A46,[3]LISTADHERENT!A$5:H$51,2)</f>
        <v>TIEYAM ERNEST</v>
      </c>
      <c r="C46" s="6">
        <f>+[3]TONT20000ANNUELLE!$C49+D46</f>
        <v>10073.14368012548</v>
      </c>
      <c r="D46" s="6">
        <f t="shared" si="0"/>
        <v>0</v>
      </c>
      <c r="E46" s="6">
        <f>[3]TONT20000JUIL2017!$D49+H46</f>
        <v>493635.2352232447</v>
      </c>
      <c r="F46" s="6"/>
      <c r="G46" s="7">
        <f>[4]TONTAOUT!$C45</f>
        <v>7000</v>
      </c>
      <c r="H46" s="7">
        <f t="shared" si="1"/>
        <v>3000</v>
      </c>
      <c r="I46" s="7">
        <f t="shared" si="2"/>
        <v>500</v>
      </c>
      <c r="J46" s="7">
        <f t="shared" si="3"/>
        <v>1000</v>
      </c>
      <c r="K46" s="7">
        <f t="shared" si="4"/>
        <v>2500</v>
      </c>
      <c r="L46" s="7"/>
      <c r="M46" s="7"/>
      <c r="N46" s="7">
        <f t="shared" si="5"/>
        <v>0</v>
      </c>
      <c r="O46" s="7"/>
      <c r="P46" s="5" t="s">
        <v>21</v>
      </c>
      <c r="Q46" s="5" t="s">
        <v>21</v>
      </c>
      <c r="R46" s="2"/>
      <c r="S46" s="2"/>
      <c r="T46" s="1"/>
    </row>
    <row r="47" spans="1:20" x14ac:dyDescent="0.25">
      <c r="A47" s="1" t="s">
        <v>64</v>
      </c>
      <c r="B47" s="1" t="str">
        <f>VLOOKUP(A47,[3]LISTADHERENT!A$5:H$51,2)</f>
        <v>TUGMA PIERRE LOTI</v>
      </c>
      <c r="C47" s="6">
        <f>+[3]TONT20000ANNUELLE!$C50+D47</f>
        <v>9608.7265791747759</v>
      </c>
      <c r="D47" s="6">
        <f t="shared" si="0"/>
        <v>0</v>
      </c>
      <c r="E47" s="6">
        <f>[3]TONT20000JUIL2017!$D50+H47</f>
        <v>453083.35723596084</v>
      </c>
      <c r="F47" s="6"/>
      <c r="G47" s="7">
        <f>[4]TONTAOUT!$C46</f>
        <v>0</v>
      </c>
      <c r="H47" s="7">
        <f t="shared" si="1"/>
        <v>0</v>
      </c>
      <c r="I47" s="7">
        <f t="shared" si="2"/>
        <v>0</v>
      </c>
      <c r="J47" s="7">
        <f t="shared" si="3"/>
        <v>0</v>
      </c>
      <c r="K47" s="7">
        <f t="shared" si="4"/>
        <v>0</v>
      </c>
      <c r="L47" s="7"/>
      <c r="M47" s="7"/>
      <c r="N47" s="7">
        <f t="shared" si="5"/>
        <v>0</v>
      </c>
      <c r="O47" s="7"/>
      <c r="P47" s="5" t="s">
        <v>21</v>
      </c>
      <c r="Q47" s="5" t="s">
        <v>21</v>
      </c>
      <c r="R47" s="2"/>
      <c r="S47" s="2"/>
      <c r="T47" s="1"/>
    </row>
    <row r="48" spans="1:20" x14ac:dyDescent="0.25">
      <c r="A48" s="1" t="s">
        <v>65</v>
      </c>
      <c r="B48" s="1" t="str">
        <f>VLOOKUP(A48,[3]LISTADHERENT!A$5:H$51,2)</f>
        <v>YEPMOU JEAN JACQUES</v>
      </c>
      <c r="C48" s="6">
        <f>+[3]TONT20000ANNUELLE!$C51+D48</f>
        <v>18219.865512472708</v>
      </c>
      <c r="D48" s="6">
        <f t="shared" si="0"/>
        <v>0</v>
      </c>
      <c r="E48" s="6">
        <f>[3]TONT20000JUIL2017!$D51+H48</f>
        <v>859148.07084951643</v>
      </c>
      <c r="F48" s="6"/>
      <c r="G48" s="7">
        <f>[4]TONTAOUT!$C47</f>
        <v>7000</v>
      </c>
      <c r="H48" s="7">
        <f t="shared" si="1"/>
        <v>3000</v>
      </c>
      <c r="I48" s="7">
        <f t="shared" si="2"/>
        <v>500</v>
      </c>
      <c r="J48" s="7">
        <f t="shared" si="3"/>
        <v>1000</v>
      </c>
      <c r="K48" s="7">
        <f t="shared" si="4"/>
        <v>2500</v>
      </c>
      <c r="L48" s="7"/>
      <c r="M48" s="7"/>
      <c r="N48" s="7">
        <f t="shared" si="5"/>
        <v>0</v>
      </c>
      <c r="O48" s="7"/>
      <c r="P48" s="5" t="s">
        <v>21</v>
      </c>
      <c r="Q48" s="5" t="s">
        <v>21</v>
      </c>
      <c r="R48" s="2"/>
      <c r="S48" s="2"/>
      <c r="T48" s="1"/>
    </row>
    <row r="49" spans="1:20" x14ac:dyDescent="0.25">
      <c r="A49" s="1" t="s">
        <v>66</v>
      </c>
      <c r="B49" s="1" t="str">
        <f>VLOOKUP(A49,[3]LISTADHERENT!A$5:H$51,2)</f>
        <v>YOUMBI EMMANUEL</v>
      </c>
      <c r="C49" s="6">
        <f>+[3]TONT20000ANNUELLE!$C52+D49</f>
        <v>33272.277262598771</v>
      </c>
      <c r="D49" s="6">
        <f t="shared" si="0"/>
        <v>0</v>
      </c>
      <c r="E49" s="6">
        <f>[3]TONT20000JUIL2017!$D52+H49</f>
        <v>1563802.3614040688</v>
      </c>
      <c r="F49" s="6"/>
      <c r="G49" s="7">
        <f>[4]TONTAOUT!$C48</f>
        <v>7000</v>
      </c>
      <c r="H49" s="7">
        <f t="shared" si="1"/>
        <v>3000</v>
      </c>
      <c r="I49" s="7">
        <f t="shared" si="2"/>
        <v>500</v>
      </c>
      <c r="J49" s="7">
        <f t="shared" si="3"/>
        <v>1000</v>
      </c>
      <c r="K49" s="7">
        <f t="shared" si="4"/>
        <v>2500</v>
      </c>
      <c r="M49" s="7"/>
      <c r="N49" s="7">
        <f t="shared" si="5"/>
        <v>0</v>
      </c>
      <c r="O49" s="7"/>
      <c r="P49" s="5" t="s">
        <v>21</v>
      </c>
      <c r="Q49" s="5" t="s">
        <v>21</v>
      </c>
      <c r="R49" s="2"/>
      <c r="S49" s="2"/>
      <c r="T49" s="1"/>
    </row>
    <row r="50" spans="1:20" x14ac:dyDescent="0.25">
      <c r="A50" s="1"/>
      <c r="B50" s="1"/>
      <c r="C50" s="6"/>
      <c r="D50" s="6"/>
      <c r="E50" s="6"/>
      <c r="F50" s="6"/>
      <c r="G50" s="6"/>
      <c r="H50" s="7"/>
      <c r="I50" s="7"/>
      <c r="J50" s="7"/>
      <c r="K50" s="7"/>
      <c r="M50" s="7"/>
      <c r="N50" s="7"/>
      <c r="O50" s="2"/>
      <c r="P50" s="7"/>
      <c r="Q50" s="2"/>
      <c r="R50" s="2"/>
      <c r="S50" s="2"/>
    </row>
    <row r="51" spans="1:20" x14ac:dyDescent="0.25">
      <c r="A51" s="1"/>
      <c r="B51" s="1"/>
      <c r="C51" s="6"/>
      <c r="D51" s="6"/>
      <c r="E51" s="6"/>
      <c r="F51" s="6"/>
      <c r="G51" s="6"/>
      <c r="H51" s="2"/>
      <c r="I51" s="12"/>
      <c r="N51" s="7"/>
      <c r="O51" s="2"/>
      <c r="P51" s="7"/>
      <c r="Q51" s="2"/>
      <c r="R51" s="2"/>
      <c r="S51" s="2"/>
    </row>
    <row r="52" spans="1:20" x14ac:dyDescent="0.25">
      <c r="A52" s="1"/>
      <c r="B52" s="1"/>
      <c r="C52" s="6"/>
      <c r="D52" s="1"/>
      <c r="E52" s="6"/>
      <c r="F52" s="1"/>
      <c r="G52" s="1"/>
    </row>
    <row r="53" spans="1:20" ht="18" x14ac:dyDescent="0.25">
      <c r="A53" s="1" t="s">
        <v>67</v>
      </c>
      <c r="B53" s="1"/>
      <c r="C53" s="11">
        <f t="shared" ref="C53:S53" si="6">SUM(C5:C49)</f>
        <v>484500</v>
      </c>
      <c r="D53" s="11">
        <f t="shared" si="6"/>
        <v>0</v>
      </c>
      <c r="E53" s="11">
        <f t="shared" si="6"/>
        <v>24239319</v>
      </c>
      <c r="F53" s="11">
        <f t="shared" si="6"/>
        <v>0</v>
      </c>
      <c r="G53" s="11">
        <f t="shared" si="6"/>
        <v>343000</v>
      </c>
      <c r="H53" s="11">
        <f t="shared" si="6"/>
        <v>359000</v>
      </c>
      <c r="I53" s="11">
        <f t="shared" si="6"/>
        <v>23000</v>
      </c>
      <c r="J53" s="11">
        <f t="shared" si="6"/>
        <v>46000</v>
      </c>
      <c r="K53" s="11">
        <f t="shared" si="6"/>
        <v>115000</v>
      </c>
      <c r="L53" s="11">
        <f t="shared" si="6"/>
        <v>0</v>
      </c>
      <c r="M53" s="11">
        <f t="shared" si="6"/>
        <v>150000</v>
      </c>
      <c r="N53" s="11">
        <f t="shared" si="6"/>
        <v>4500</v>
      </c>
      <c r="O53" s="11">
        <f t="shared" si="6"/>
        <v>391000</v>
      </c>
      <c r="P53" s="11"/>
      <c r="Q53" s="11"/>
      <c r="R53" s="11">
        <f t="shared" si="6"/>
        <v>0</v>
      </c>
      <c r="S53" s="11">
        <f t="shared" si="6"/>
        <v>0</v>
      </c>
    </row>
    <row r="56" spans="1:20" ht="18" x14ac:dyDescent="0.25">
      <c r="E56" s="11" t="s">
        <v>69</v>
      </c>
      <c r="F56" s="11">
        <f>[4]TONTAOUT!$F$57</f>
        <v>666000</v>
      </c>
    </row>
    <row r="57" spans="1:20" ht="18" x14ac:dyDescent="0.25">
      <c r="E57" s="11" t="s">
        <v>11</v>
      </c>
      <c r="F57" s="11">
        <f>[4]TONTAOUT!$F$58</f>
        <v>52500.000000000029</v>
      </c>
    </row>
    <row r="58" spans="1:20" ht="18" x14ac:dyDescent="0.25">
      <c r="E58" s="11" t="s">
        <v>12</v>
      </c>
      <c r="F58" s="11">
        <f>+H53</f>
        <v>359000</v>
      </c>
    </row>
    <row r="59" spans="1:20" ht="18" x14ac:dyDescent="0.25">
      <c r="E59" s="11" t="s">
        <v>13</v>
      </c>
      <c r="F59" s="11">
        <f>+I53</f>
        <v>23000</v>
      </c>
    </row>
    <row r="60" spans="1:20" ht="18" x14ac:dyDescent="0.25">
      <c r="E60" s="11" t="s">
        <v>68</v>
      </c>
      <c r="F60" s="11">
        <f>+J53</f>
        <v>46000</v>
      </c>
    </row>
    <row r="61" spans="1:20" ht="18" x14ac:dyDescent="0.25">
      <c r="E61" s="11" t="s">
        <v>15</v>
      </c>
      <c r="F61" s="11">
        <f>+K53</f>
        <v>115000</v>
      </c>
    </row>
    <row r="62" spans="1:20" ht="18" x14ac:dyDescent="0.25">
      <c r="E62" s="11" t="s">
        <v>77</v>
      </c>
      <c r="F62" s="11">
        <f>+M53</f>
        <v>150000</v>
      </c>
    </row>
    <row r="63" spans="1:20" ht="18" x14ac:dyDescent="0.25">
      <c r="E63" s="11" t="s">
        <v>73</v>
      </c>
      <c r="F63" s="11">
        <f>+N53</f>
        <v>4500</v>
      </c>
    </row>
    <row r="64" spans="1:20" ht="18" x14ac:dyDescent="0.25">
      <c r="E64" s="11" t="s">
        <v>78</v>
      </c>
      <c r="F64" s="11">
        <f>+O53</f>
        <v>391000</v>
      </c>
    </row>
    <row r="65" spans="3:7" ht="18" x14ac:dyDescent="0.25">
      <c r="E65" s="11"/>
      <c r="F65" s="11"/>
    </row>
    <row r="66" spans="3:7" ht="18" x14ac:dyDescent="0.25">
      <c r="E66" s="11" t="s">
        <v>67</v>
      </c>
      <c r="F66" s="11">
        <f>SUM(F55:F64)</f>
        <v>1807000</v>
      </c>
    </row>
    <row r="68" spans="3:7" ht="18" x14ac:dyDescent="0.25">
      <c r="E68"/>
      <c r="F68" s="11" t="s">
        <v>72</v>
      </c>
      <c r="G68" s="11" t="s">
        <v>81</v>
      </c>
    </row>
    <row r="69" spans="3:7" ht="18" x14ac:dyDescent="0.25">
      <c r="E69" s="11" t="s">
        <v>23</v>
      </c>
      <c r="F69" s="11">
        <f>SUMIFS(M5:M48,P5:P48,"ESPECES")</f>
        <v>0</v>
      </c>
      <c r="G69" s="11">
        <f>SUMIFS(O5:O48,Q5:Q48,"ESPECES")</f>
        <v>0</v>
      </c>
    </row>
    <row r="70" spans="3:7" ht="18" x14ac:dyDescent="0.25">
      <c r="E70" s="11" t="s">
        <v>25</v>
      </c>
      <c r="F70" s="11">
        <f>SUMIFS(M5:M48,P5:P48,"BANQUE")</f>
        <v>0</v>
      </c>
      <c r="G70" s="11">
        <f>SUMIFS(O5:O48,Q5:Q48,"BANQUE")</f>
        <v>0</v>
      </c>
    </row>
    <row r="71" spans="3:7" ht="18" x14ac:dyDescent="0.25">
      <c r="E71" s="11"/>
      <c r="F71" s="11"/>
      <c r="G71" s="11"/>
    </row>
    <row r="72" spans="3:7" ht="18" x14ac:dyDescent="0.25">
      <c r="C72" s="11"/>
      <c r="E72" s="11" t="s">
        <v>67</v>
      </c>
      <c r="F72" s="11">
        <f>F69+F70</f>
        <v>0</v>
      </c>
      <c r="G72" s="11">
        <f>G69+G70</f>
        <v>0</v>
      </c>
    </row>
    <row r="73" spans="3:7" ht="18" x14ac:dyDescent="0.25">
      <c r="C73" s="11"/>
    </row>
  </sheetData>
  <autoFilter ref="A4:Q49">
    <sortState ref="A5:L48">
      <sortCondition ref="B5:B48"/>
    </sortState>
  </autoFilter>
  <dataValidations count="1">
    <dataValidation type="list" allowBlank="1" showInputMessage="1" showErrorMessage="1" sqref="P6:Q49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abSelected="1" workbookViewId="0">
      <pane xSplit="2" ySplit="4" topLeftCell="C68" activePane="bottomRight" state="frozen"/>
      <selection pane="topRight" activeCell="C1" sqref="C1"/>
      <selection pane="bottomLeft" activeCell="A5" sqref="A5"/>
      <selection pane="bottomRight" activeCell="F57" sqref="F5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140625" style="2" customWidth="1"/>
    <col min="4" max="4" width="15.28515625" customWidth="1"/>
    <col min="5" max="5" width="23.5703125" style="2" customWidth="1"/>
    <col min="6" max="6" width="16.85546875" customWidth="1"/>
    <col min="7" max="7" width="13" customWidth="1"/>
    <col min="8" max="8" width="15" bestFit="1" customWidth="1"/>
    <col min="9" max="9" width="17.5703125" style="3" bestFit="1" customWidth="1"/>
    <col min="10" max="10" width="15.7109375" style="2" customWidth="1"/>
    <col min="11" max="11" width="12.42578125" style="2" customWidth="1"/>
    <col min="12" max="12" width="9.7109375" style="2" customWidth="1"/>
    <col min="13" max="13" width="12.42578125" style="2" customWidth="1"/>
    <col min="14" max="14" width="12.5703125" bestFit="1" customWidth="1"/>
    <col min="15" max="15" width="18.140625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6"/>
      <c r="D1" s="1"/>
      <c r="E1" s="6"/>
      <c r="F1" s="1"/>
      <c r="G1" s="1"/>
    </row>
    <row r="2" spans="1:20" x14ac:dyDescent="0.25">
      <c r="A2" s="1" t="s">
        <v>2</v>
      </c>
      <c r="B2" s="1" t="s">
        <v>3</v>
      </c>
      <c r="C2" s="6"/>
      <c r="D2" s="1"/>
      <c r="E2" s="6"/>
      <c r="F2" s="1"/>
      <c r="G2" s="1"/>
    </row>
    <row r="3" spans="1:20" x14ac:dyDescent="0.25">
      <c r="A3" s="1" t="s">
        <v>4</v>
      </c>
      <c r="B3" s="1" t="s">
        <v>5</v>
      </c>
      <c r="C3" s="6"/>
      <c r="D3" s="1"/>
      <c r="E3" s="6"/>
      <c r="F3" s="1"/>
      <c r="G3" s="1"/>
    </row>
    <row r="4" spans="1:20" ht="57.75" x14ac:dyDescent="0.25">
      <c r="A4" s="1" t="s">
        <v>6</v>
      </c>
      <c r="B4" s="1" t="s">
        <v>7</v>
      </c>
      <c r="C4" s="6" t="s">
        <v>71</v>
      </c>
      <c r="D4" s="4" t="s">
        <v>8</v>
      </c>
      <c r="E4" s="4" t="s">
        <v>9</v>
      </c>
      <c r="F4" s="1" t="s">
        <v>10</v>
      </c>
      <c r="G4" s="4" t="s">
        <v>70</v>
      </c>
      <c r="H4" s="1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72</v>
      </c>
      <c r="N4" s="4" t="s">
        <v>74</v>
      </c>
      <c r="O4" s="4" t="s">
        <v>75</v>
      </c>
      <c r="P4" s="4" t="s">
        <v>79</v>
      </c>
      <c r="Q4" s="4" t="s">
        <v>80</v>
      </c>
      <c r="R4" s="4" t="s">
        <v>76</v>
      </c>
      <c r="S4" s="4" t="s">
        <v>17</v>
      </c>
      <c r="T4" s="4" t="s">
        <v>18</v>
      </c>
    </row>
    <row r="5" spans="1:20" x14ac:dyDescent="0.25">
      <c r="A5" s="1" t="s">
        <v>19</v>
      </c>
      <c r="B5" s="1" t="str">
        <f>VLOOKUP(A5,[3]LISTADHERENT!A$5:H$52,2,0)</f>
        <v>ASELBY</v>
      </c>
      <c r="C5" s="6">
        <f>+[3]TONT20000ANNUELLE!$C5+D5</f>
        <v>7810.5241855147724</v>
      </c>
      <c r="D5" s="6">
        <f t="shared" ref="D5:D49" si="0">$P$53/$E$53*E5</f>
        <v>0</v>
      </c>
      <c r="E5" s="6">
        <f>[3]TONT20000JUIL2017!$D5+H5</f>
        <v>362884.80253099866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</row>
    <row r="6" spans="1:20" x14ac:dyDescent="0.25">
      <c r="A6" s="1" t="s">
        <v>20</v>
      </c>
      <c r="B6" s="1" t="str">
        <f>VLOOKUP(A6,[3]LISTADHERENT!A$5:H$52,2,0)</f>
        <v>BAKOP ACHILLE</v>
      </c>
      <c r="C6" s="6">
        <f>+[3]TONT20000ANNUELLE!$C6+D6</f>
        <v>10382.019313146753</v>
      </c>
      <c r="D6" s="6">
        <f t="shared" si="0"/>
        <v>0</v>
      </c>
      <c r="E6" s="6">
        <f>[3]TONT20000JUIL2017!$D6+H6</f>
        <v>482344.50474381261</v>
      </c>
      <c r="F6" s="6"/>
      <c r="G6" s="7">
        <f>[4]TONTSEPT!$C5</f>
        <v>0</v>
      </c>
      <c r="H6" s="7">
        <f t="shared" ref="H6:H49" si="1">G6-(I6+J6+K6)</f>
        <v>0</v>
      </c>
      <c r="I6" s="7">
        <f t="shared" ref="I6" si="2">IF(G6=0,0,500)</f>
        <v>0</v>
      </c>
      <c r="J6" s="7">
        <f t="shared" ref="J6" si="3">IF(G6=0,0,1000)</f>
        <v>0</v>
      </c>
      <c r="K6" s="7">
        <f t="shared" ref="K6" si="4">IF(G6=0,0,2500)</f>
        <v>0</v>
      </c>
      <c r="L6" s="7"/>
      <c r="M6" s="7"/>
      <c r="N6" s="7">
        <f>IF(M6&lt;=500000,(M6*1*3/100),(M6*12/100))</f>
        <v>0</v>
      </c>
      <c r="O6" s="7"/>
      <c r="P6" s="5" t="s">
        <v>21</v>
      </c>
      <c r="Q6" s="5" t="s">
        <v>21</v>
      </c>
      <c r="R6" s="2"/>
      <c r="S6" s="2"/>
      <c r="T6" s="1"/>
    </row>
    <row r="7" spans="1:20" x14ac:dyDescent="0.25">
      <c r="A7" s="1" t="s">
        <v>22</v>
      </c>
      <c r="B7" s="1" t="str">
        <f>VLOOKUP(A7,[3]LISTADHERENT!A$5:H$51,2)</f>
        <v>BOUTCHOUANG WILLIAM</v>
      </c>
      <c r="C7" s="6">
        <f>+[3]TONT20000ANNUELLE!$C7+D7</f>
        <v>9613.7187442761879</v>
      </c>
      <c r="D7" s="6">
        <f t="shared" si="0"/>
        <v>0</v>
      </c>
      <c r="E7" s="6">
        <f>[3]TONT20000JUIL2017!$D7+H7</f>
        <v>456305.11636698479</v>
      </c>
      <c r="F7" s="6"/>
      <c r="G7" s="7">
        <f>[4]TONTSEPT!$C6</f>
        <v>0</v>
      </c>
      <c r="H7" s="7">
        <f t="shared" si="1"/>
        <v>0</v>
      </c>
      <c r="I7" s="7">
        <f t="shared" ref="I7:I49" si="5">IF(G7=0,0,500)</f>
        <v>0</v>
      </c>
      <c r="J7" s="7">
        <f t="shared" ref="J7:J49" si="6">IF(G7=0,0,1000)</f>
        <v>0</v>
      </c>
      <c r="K7" s="7">
        <f t="shared" ref="K7:K49" si="7">IF(G7=0,0,2500)</f>
        <v>0</v>
      </c>
      <c r="L7" s="7"/>
      <c r="M7" s="7"/>
      <c r="N7" s="7">
        <f t="shared" ref="N7:N49" si="8">IF(M7&lt;=500000,(M7*1*3/100),(M7*12/100))</f>
        <v>0</v>
      </c>
      <c r="O7" s="7"/>
      <c r="P7" s="5" t="s">
        <v>21</v>
      </c>
      <c r="Q7" s="5" t="s">
        <v>21</v>
      </c>
      <c r="R7" s="2"/>
      <c r="S7" s="2"/>
      <c r="T7" s="1"/>
    </row>
    <row r="8" spans="1:20" x14ac:dyDescent="0.25">
      <c r="A8" s="1" t="s">
        <v>24</v>
      </c>
      <c r="B8" s="1" t="str">
        <f>VLOOKUP(A8,[3]LISTADHERENT!A$5:H$51,2)</f>
        <v>CHINGUE FABRICE</v>
      </c>
      <c r="C8" s="6">
        <f>+[3]TONT20000ANNUELLE!$C8+D8</f>
        <v>9683.0924457749716</v>
      </c>
      <c r="D8" s="6">
        <f t="shared" si="0"/>
        <v>0</v>
      </c>
      <c r="E8" s="6">
        <f>[3]TONT20000JUIL2017!$D8+H8</f>
        <v>459528.288252928</v>
      </c>
      <c r="F8" s="6"/>
      <c r="G8" s="7">
        <f>[4]TONTSEPT!$C7</f>
        <v>0</v>
      </c>
      <c r="H8" s="7">
        <f t="shared" si="1"/>
        <v>0</v>
      </c>
      <c r="I8" s="7">
        <f t="shared" si="5"/>
        <v>0</v>
      </c>
      <c r="J8" s="7">
        <f t="shared" si="6"/>
        <v>0</v>
      </c>
      <c r="K8" s="7">
        <f t="shared" si="7"/>
        <v>0</v>
      </c>
      <c r="L8" s="7"/>
      <c r="M8" s="7"/>
      <c r="N8" s="7">
        <f t="shared" si="8"/>
        <v>0</v>
      </c>
      <c r="O8" s="7"/>
      <c r="P8" s="5" t="s">
        <v>21</v>
      </c>
      <c r="Q8" s="5" t="s">
        <v>21</v>
      </c>
      <c r="R8" s="2"/>
      <c r="S8" s="2"/>
      <c r="T8" s="1"/>
    </row>
    <row r="9" spans="1:20" x14ac:dyDescent="0.25">
      <c r="A9" s="1" t="s">
        <v>26</v>
      </c>
      <c r="B9" s="1" t="str">
        <f>VLOOKUP(A9,[3]LISTADHERENT!A$5:H$51,2)</f>
        <v xml:space="preserve">DJOMO JEAN PAUL </v>
      </c>
      <c r="C9" s="6">
        <f>+[3]TONT20000ANNUELLE!$C9+D9</f>
        <v>9760.5232569057498</v>
      </c>
      <c r="D9" s="6">
        <f t="shared" si="0"/>
        <v>0</v>
      </c>
      <c r="E9" s="6">
        <f>[3]TONT20000JUIL2017!$D9+H9</f>
        <v>466801.26367426652</v>
      </c>
      <c r="F9" s="6"/>
      <c r="G9" s="7">
        <f>[4]TONTSEPT!$C8</f>
        <v>0</v>
      </c>
      <c r="H9" s="7">
        <f t="shared" si="1"/>
        <v>0</v>
      </c>
      <c r="I9" s="7">
        <f t="shared" si="5"/>
        <v>0</v>
      </c>
      <c r="J9" s="7">
        <f t="shared" si="6"/>
        <v>0</v>
      </c>
      <c r="K9" s="7">
        <f t="shared" si="7"/>
        <v>0</v>
      </c>
      <c r="L9" s="7"/>
      <c r="M9" s="7"/>
      <c r="N9" s="7">
        <f t="shared" si="8"/>
        <v>0</v>
      </c>
      <c r="O9" s="7"/>
      <c r="P9" s="5" t="s">
        <v>21</v>
      </c>
      <c r="Q9" s="5" t="s">
        <v>21</v>
      </c>
      <c r="R9" s="2"/>
      <c r="S9" s="2"/>
      <c r="T9" s="1"/>
    </row>
    <row r="10" spans="1:20" x14ac:dyDescent="0.25">
      <c r="A10" s="1" t="s">
        <v>27</v>
      </c>
      <c r="B10" s="1" t="str">
        <f>VLOOKUP(A10,[3]LISTADHERENT!A$5:H$51,2)</f>
        <v>DJOUKWE NANGUEN GUY BLAISE</v>
      </c>
      <c r="C10" s="6">
        <f>+[3]TONT20000ANNUELLE!$C10+D10</f>
        <v>9766.256301884845</v>
      </c>
      <c r="D10" s="6">
        <f t="shared" si="0"/>
        <v>0</v>
      </c>
      <c r="E10" s="6">
        <f>[3]TONT20000JUIL2017!$D10+H10</f>
        <v>473433.58144356601</v>
      </c>
      <c r="F10" s="6"/>
      <c r="G10" s="7">
        <f>[4]TONTSEPT!$C9</f>
        <v>0</v>
      </c>
      <c r="H10" s="7">
        <f t="shared" si="1"/>
        <v>0</v>
      </c>
      <c r="I10" s="7">
        <f t="shared" si="5"/>
        <v>0</v>
      </c>
      <c r="J10" s="7">
        <f t="shared" si="6"/>
        <v>0</v>
      </c>
      <c r="K10" s="7">
        <f t="shared" si="7"/>
        <v>0</v>
      </c>
      <c r="L10" s="7"/>
      <c r="M10" s="7"/>
      <c r="N10" s="7">
        <f t="shared" si="8"/>
        <v>0</v>
      </c>
      <c r="O10" s="7"/>
      <c r="P10" s="5" t="s">
        <v>21</v>
      </c>
      <c r="Q10" s="5" t="s">
        <v>21</v>
      </c>
      <c r="R10" s="2"/>
      <c r="S10" s="2"/>
      <c r="T10" s="1"/>
    </row>
    <row r="11" spans="1:20" x14ac:dyDescent="0.25">
      <c r="A11" s="1" t="s">
        <v>28</v>
      </c>
      <c r="B11" s="1" t="str">
        <f>VLOOKUP(A11,[3]LISTADHERENT!A$5:H$51,2)</f>
        <v>DJOUNKEP SAMUEL</v>
      </c>
      <c r="C11" s="6">
        <f>+[3]TONT20000ANNUELLE!$C12+D11</f>
        <v>23532.889886463974</v>
      </c>
      <c r="D11" s="6">
        <f t="shared" si="0"/>
        <v>0</v>
      </c>
      <c r="E11" s="6">
        <f>[3]TONT20000JUIL2017!$D12+H11</f>
        <v>1103003.795143957</v>
      </c>
      <c r="F11" s="6"/>
      <c r="G11" s="7">
        <f>[4]TONTSEPT!$C10</f>
        <v>0</v>
      </c>
      <c r="H11" s="7">
        <f t="shared" si="1"/>
        <v>0</v>
      </c>
      <c r="I11" s="7">
        <f t="shared" si="5"/>
        <v>0</v>
      </c>
      <c r="J11" s="7">
        <f t="shared" si="6"/>
        <v>0</v>
      </c>
      <c r="K11" s="7">
        <f t="shared" si="7"/>
        <v>0</v>
      </c>
      <c r="L11" s="7"/>
      <c r="M11" s="7"/>
      <c r="N11" s="7">
        <f t="shared" si="8"/>
        <v>0</v>
      </c>
      <c r="O11" s="7"/>
      <c r="P11" s="5" t="s">
        <v>21</v>
      </c>
      <c r="Q11" s="5" t="s">
        <v>21</v>
      </c>
      <c r="R11" s="2"/>
      <c r="S11" s="2"/>
      <c r="T11" s="1"/>
    </row>
    <row r="12" spans="1:20" x14ac:dyDescent="0.25">
      <c r="A12" s="1" t="s">
        <v>29</v>
      </c>
      <c r="B12" s="1" t="str">
        <f>VLOOKUP(A12,[3]LISTADHERENT!A$5:H$51,2)</f>
        <v>DJUOMBESSY ANTOINE</v>
      </c>
      <c r="C12" s="6">
        <f>+[3]TONT20000ANNUELLE!$C13+D12</f>
        <v>9614.2906264064877</v>
      </c>
      <c r="D12" s="6">
        <f t="shared" si="0"/>
        <v>0</v>
      </c>
      <c r="E12" s="6">
        <f>[3]TONT20000JUIL2017!$D13+H12</f>
        <v>456331.68658544857</v>
      </c>
      <c r="F12" s="6"/>
      <c r="G12" s="7">
        <f>[4]TONTSEPT!$C11</f>
        <v>0</v>
      </c>
      <c r="H12" s="7">
        <f t="shared" si="1"/>
        <v>0</v>
      </c>
      <c r="I12" s="7">
        <f t="shared" si="5"/>
        <v>0</v>
      </c>
      <c r="J12" s="7">
        <f t="shared" si="6"/>
        <v>0</v>
      </c>
      <c r="K12" s="7">
        <f t="shared" si="7"/>
        <v>0</v>
      </c>
      <c r="L12" s="7"/>
      <c r="M12" s="7"/>
      <c r="N12" s="7">
        <f t="shared" si="8"/>
        <v>0</v>
      </c>
      <c r="O12" s="7"/>
      <c r="P12" s="5" t="s">
        <v>21</v>
      </c>
      <c r="Q12" s="5" t="s">
        <v>21</v>
      </c>
      <c r="R12" s="2"/>
      <c r="S12" s="2"/>
      <c r="T12" s="1"/>
    </row>
    <row r="13" spans="1:20" x14ac:dyDescent="0.25">
      <c r="A13" s="1" t="s">
        <v>30</v>
      </c>
      <c r="B13" s="1" t="str">
        <f>VLOOKUP(A13,[3]LISTADHERENT!A$5:H$51,2)</f>
        <v>DONHOU DAVID</v>
      </c>
      <c r="C13" s="6">
        <f>+[3]TONT20000ANNUELLE!$C14+D13</f>
        <v>10736.103411390943</v>
      </c>
      <c r="D13" s="6">
        <f t="shared" si="0"/>
        <v>0</v>
      </c>
      <c r="E13" s="6">
        <f>[3]TONT20000JUIL2017!$D14+H13</f>
        <v>508452.23589644249</v>
      </c>
      <c r="F13" s="6"/>
      <c r="G13" s="7">
        <f>[4]TONTSEPT!$C12</f>
        <v>0</v>
      </c>
      <c r="H13" s="7">
        <f t="shared" si="1"/>
        <v>0</v>
      </c>
      <c r="I13" s="7">
        <f t="shared" si="5"/>
        <v>0</v>
      </c>
      <c r="J13" s="7">
        <f t="shared" si="6"/>
        <v>0</v>
      </c>
      <c r="K13" s="7">
        <f t="shared" si="7"/>
        <v>0</v>
      </c>
      <c r="L13" s="7"/>
      <c r="M13" s="7"/>
      <c r="N13" s="7">
        <f t="shared" si="8"/>
        <v>0</v>
      </c>
      <c r="O13" s="7"/>
      <c r="P13" s="5" t="s">
        <v>21</v>
      </c>
      <c r="Q13" s="5" t="s">
        <v>21</v>
      </c>
      <c r="R13" s="2"/>
      <c r="S13" s="2"/>
      <c r="T13" s="1"/>
    </row>
    <row r="14" spans="1:20" x14ac:dyDescent="0.25">
      <c r="A14" s="1" t="s">
        <v>31</v>
      </c>
      <c r="B14" s="1" t="str">
        <f>VLOOKUP(A14,[3]LISTADHERENT!A$5:H$51,2)</f>
        <v>FOTSO THOMAS</v>
      </c>
      <c r="C14" s="6">
        <f>+[3]TONT20000ANNUELLE!$C15+D14</f>
        <v>9609.363641899281</v>
      </c>
      <c r="D14" s="6">
        <f t="shared" si="0"/>
        <v>0</v>
      </c>
      <c r="E14" s="6">
        <f>[3]TONT20000JUIL2017!$D15+H14</f>
        <v>456102.77393406886</v>
      </c>
      <c r="F14" s="6"/>
      <c r="G14" s="7">
        <f>[4]TONTSEPT!$C13</f>
        <v>0</v>
      </c>
      <c r="H14" s="7">
        <f t="shared" si="1"/>
        <v>0</v>
      </c>
      <c r="I14" s="7">
        <f t="shared" si="5"/>
        <v>0</v>
      </c>
      <c r="J14" s="7">
        <f t="shared" si="6"/>
        <v>0</v>
      </c>
      <c r="K14" s="7">
        <f t="shared" si="7"/>
        <v>0</v>
      </c>
      <c r="L14" s="7"/>
      <c r="M14" s="7"/>
      <c r="N14" s="7">
        <f t="shared" si="8"/>
        <v>0</v>
      </c>
      <c r="O14" s="7"/>
      <c r="P14" s="5" t="s">
        <v>21</v>
      </c>
      <c r="Q14" s="5" t="s">
        <v>21</v>
      </c>
      <c r="R14" s="2"/>
      <c r="S14" s="2"/>
      <c r="T14" s="1"/>
    </row>
    <row r="15" spans="1:20" x14ac:dyDescent="0.25">
      <c r="A15" s="1" t="s">
        <v>32</v>
      </c>
      <c r="B15" s="1" t="str">
        <f>VLOOKUP(A15,[3]LISTADHERENT!A$5:H$51,2)</f>
        <v>HENGUE PAUL OMER</v>
      </c>
      <c r="C15" s="6">
        <f>+[3]TONT20000ANNUELLE!$C16+D15</f>
        <v>11005.591867561863</v>
      </c>
      <c r="D15" s="6">
        <f t="shared" si="0"/>
        <v>0</v>
      </c>
      <c r="E15" s="6">
        <f>[3]TONT20000JUIL2017!$D16+H15</f>
        <v>520972.94038172328</v>
      </c>
      <c r="F15" s="6"/>
      <c r="G15" s="7">
        <f>[4]TONTSEPT!$C14</f>
        <v>0</v>
      </c>
      <c r="H15" s="7">
        <f t="shared" si="1"/>
        <v>0</v>
      </c>
      <c r="I15" s="7">
        <f t="shared" si="5"/>
        <v>0</v>
      </c>
      <c r="J15" s="7">
        <f t="shared" si="6"/>
        <v>0</v>
      </c>
      <c r="K15" s="7">
        <f t="shared" si="7"/>
        <v>0</v>
      </c>
      <c r="L15" s="7"/>
      <c r="M15" s="7"/>
      <c r="N15" s="7">
        <f t="shared" si="8"/>
        <v>0</v>
      </c>
      <c r="O15" s="7"/>
      <c r="P15" s="5" t="s">
        <v>21</v>
      </c>
      <c r="Q15" s="5" t="s">
        <v>21</v>
      </c>
      <c r="R15" s="2"/>
      <c r="S15" s="2"/>
      <c r="T15" s="1"/>
    </row>
    <row r="16" spans="1:20" x14ac:dyDescent="0.25">
      <c r="A16" s="1" t="s">
        <v>33</v>
      </c>
      <c r="B16" s="1" t="str">
        <f>VLOOKUP(A16,[3]LISTADHERENT!A$5:H$51,2)</f>
        <v>HODIEP JULES</v>
      </c>
      <c r="C16" s="6">
        <f>+[3]TONT20000ANNUELLE!$C17+D16</f>
        <v>1105.4921488043335</v>
      </c>
      <c r="D16" s="6">
        <f t="shared" si="0"/>
        <v>0</v>
      </c>
      <c r="E16" s="6">
        <f>[3]TONT20000JUIL2017!$D17+H16</f>
        <v>51362.276153298939</v>
      </c>
      <c r="F16" s="6"/>
      <c r="G16" s="7">
        <f>[4]TONTSEPT!$C15</f>
        <v>0</v>
      </c>
      <c r="H16" s="7">
        <f t="shared" si="1"/>
        <v>0</v>
      </c>
      <c r="I16" s="7">
        <f t="shared" si="5"/>
        <v>0</v>
      </c>
      <c r="J16" s="7">
        <f t="shared" si="6"/>
        <v>0</v>
      </c>
      <c r="K16" s="7">
        <f t="shared" si="7"/>
        <v>0</v>
      </c>
      <c r="L16" s="7"/>
      <c r="M16" s="7"/>
      <c r="N16" s="7">
        <f t="shared" si="8"/>
        <v>0</v>
      </c>
      <c r="O16" s="7"/>
      <c r="P16" s="5" t="s">
        <v>21</v>
      </c>
      <c r="Q16" s="5" t="s">
        <v>21</v>
      </c>
      <c r="R16" s="2"/>
      <c r="S16" s="2"/>
      <c r="T16" s="1"/>
    </row>
    <row r="17" spans="1:20" x14ac:dyDescent="0.25">
      <c r="A17" s="1" t="s">
        <v>34</v>
      </c>
      <c r="B17" s="1" t="str">
        <f>VLOOKUP(A17,[3]LISTADHERENT!A$5:H$51,2)</f>
        <v>HOTCHO BENJAMIN</v>
      </c>
      <c r="C17" s="6">
        <f>+[3]TONT20000ANNUELLE!$C18+D17</f>
        <v>12032.450223449854</v>
      </c>
      <c r="D17" s="6">
        <f t="shared" si="0"/>
        <v>0</v>
      </c>
      <c r="E17" s="6">
        <f>[3]TONT20000JUIL2017!$D18+H17</f>
        <v>568681.8114962629</v>
      </c>
      <c r="F17" s="6"/>
      <c r="G17" s="7">
        <f>[4]TONTSEPT!$C16</f>
        <v>0</v>
      </c>
      <c r="H17" s="7">
        <f t="shared" si="1"/>
        <v>0</v>
      </c>
      <c r="I17" s="7">
        <f t="shared" si="5"/>
        <v>0</v>
      </c>
      <c r="J17" s="7">
        <f t="shared" si="6"/>
        <v>0</v>
      </c>
      <c r="K17" s="7">
        <f t="shared" si="7"/>
        <v>0</v>
      </c>
      <c r="L17" s="7"/>
      <c r="M17" s="7"/>
      <c r="N17" s="7">
        <f t="shared" si="8"/>
        <v>0</v>
      </c>
      <c r="O17" s="7"/>
      <c r="P17" s="5" t="s">
        <v>21</v>
      </c>
      <c r="Q17" s="5" t="s">
        <v>21</v>
      </c>
      <c r="R17" s="2"/>
      <c r="S17" s="2"/>
      <c r="T17" s="1"/>
    </row>
    <row r="18" spans="1:20" x14ac:dyDescent="0.25">
      <c r="A18" s="1" t="s">
        <v>35</v>
      </c>
      <c r="B18" s="1" t="str">
        <f>VLOOKUP(A18,[3]LISTADHERENT!A$5:H$51,2)</f>
        <v>KEPHE DAVID</v>
      </c>
      <c r="C18" s="6">
        <f>+[3]TONT20000ANNUELLE!$C19+D18</f>
        <v>5686.5508530547913</v>
      </c>
      <c r="D18" s="6">
        <f t="shared" si="0"/>
        <v>0</v>
      </c>
      <c r="E18" s="6">
        <f>[3]TONT20000JUIL2017!$D19+H18</f>
        <v>273846.40424524882</v>
      </c>
      <c r="F18" s="6"/>
      <c r="G18" s="7">
        <f>[4]TONTSEPT!$C17</f>
        <v>0</v>
      </c>
      <c r="H18" s="7">
        <f t="shared" si="1"/>
        <v>0</v>
      </c>
      <c r="I18" s="7">
        <f t="shared" si="5"/>
        <v>0</v>
      </c>
      <c r="J18" s="7">
        <f t="shared" si="6"/>
        <v>0</v>
      </c>
      <c r="K18" s="7">
        <f t="shared" si="7"/>
        <v>0</v>
      </c>
      <c r="L18" s="7"/>
      <c r="M18" s="7"/>
      <c r="N18" s="7">
        <f t="shared" si="8"/>
        <v>0</v>
      </c>
      <c r="O18" s="7"/>
      <c r="P18" s="5" t="s">
        <v>21</v>
      </c>
      <c r="Q18" s="5" t="s">
        <v>21</v>
      </c>
      <c r="R18" s="2"/>
      <c r="S18" s="2"/>
      <c r="T18" s="1"/>
    </row>
    <row r="19" spans="1:20" x14ac:dyDescent="0.25">
      <c r="A19" s="1" t="s">
        <v>36</v>
      </c>
      <c r="B19" s="1" t="str">
        <f>VLOOKUP(A19,[3]LISTADHERENT!A$5:H$51,2)</f>
        <v>KEPSEU FRANCIS</v>
      </c>
      <c r="C19" s="6">
        <f>+[3]TONT20000ANNUELLE!$C20+D19</f>
        <v>50825.502051431162</v>
      </c>
      <c r="D19" s="6">
        <f t="shared" si="0"/>
        <v>0</v>
      </c>
      <c r="E19" s="6">
        <f>[3]TONT20000JUIL2017!$D20+H19</f>
        <v>3224048.6002943022</v>
      </c>
      <c r="F19" s="6"/>
      <c r="G19" s="7">
        <f>[4]TONTSEPT!$C18</f>
        <v>0</v>
      </c>
      <c r="H19" s="7">
        <f t="shared" si="1"/>
        <v>0</v>
      </c>
      <c r="I19" s="7">
        <f t="shared" si="5"/>
        <v>0</v>
      </c>
      <c r="J19" s="7">
        <f t="shared" si="6"/>
        <v>0</v>
      </c>
      <c r="K19" s="7">
        <f t="shared" si="7"/>
        <v>0</v>
      </c>
      <c r="L19" s="7"/>
      <c r="M19" s="7"/>
      <c r="N19" s="7">
        <f t="shared" si="8"/>
        <v>0</v>
      </c>
      <c r="O19" s="7"/>
      <c r="P19" s="5" t="s">
        <v>21</v>
      </c>
      <c r="Q19" s="5" t="s">
        <v>21</v>
      </c>
      <c r="R19" s="2"/>
      <c r="S19" s="2"/>
      <c r="T19" s="1"/>
    </row>
    <row r="20" spans="1:20" x14ac:dyDescent="0.25">
      <c r="A20" s="1" t="s">
        <v>37</v>
      </c>
      <c r="B20" s="1" t="str">
        <f>VLOOKUP(A20,[3]LISTADHERENT!A$5:H$51,2)</f>
        <v>KOUAMOU EMMANUEL</v>
      </c>
      <c r="C20" s="6">
        <f>+[3]TONT20000ANNUELLE!$C21+D20</f>
        <v>9605.7343899185253</v>
      </c>
      <c r="D20" s="6">
        <f t="shared" si="0"/>
        <v>0</v>
      </c>
      <c r="E20" s="6">
        <f>[3]TONT20000JUIL2017!$D21+H20</f>
        <v>455934.15523997229</v>
      </c>
      <c r="F20" s="6"/>
      <c r="G20" s="7">
        <f>[4]TONTSEPT!$C19</f>
        <v>0</v>
      </c>
      <c r="H20" s="7">
        <f t="shared" si="1"/>
        <v>0</v>
      </c>
      <c r="I20" s="7">
        <f t="shared" si="5"/>
        <v>0</v>
      </c>
      <c r="J20" s="7">
        <f t="shared" si="6"/>
        <v>0</v>
      </c>
      <c r="K20" s="7">
        <f t="shared" si="7"/>
        <v>0</v>
      </c>
      <c r="L20" s="7"/>
      <c r="M20" s="7"/>
      <c r="N20" s="7">
        <f t="shared" si="8"/>
        <v>0</v>
      </c>
      <c r="O20" s="7"/>
      <c r="P20" s="5" t="s">
        <v>21</v>
      </c>
      <c r="Q20" s="5" t="s">
        <v>21</v>
      </c>
      <c r="R20" s="2"/>
      <c r="S20" s="2"/>
      <c r="T20" s="1"/>
    </row>
    <row r="21" spans="1:20" x14ac:dyDescent="0.25">
      <c r="A21" s="1" t="s">
        <v>38</v>
      </c>
      <c r="B21" s="1" t="str">
        <f>VLOOKUP(A21,[3]LISTADHERENT!A$5:H$51,2)</f>
        <v>KOUAMOU MOISE</v>
      </c>
      <c r="C21" s="6">
        <f>+[3]TONT20000ANNUELLE!$C22+D21</f>
        <v>9669.4085330991038</v>
      </c>
      <c r="D21" s="6">
        <f t="shared" si="0"/>
        <v>0</v>
      </c>
      <c r="E21" s="6">
        <f>[3]TONT20000JUIL2017!$D22+H21</f>
        <v>475687.5925422195</v>
      </c>
      <c r="F21" s="6"/>
      <c r="G21" s="7">
        <f>[4]TONTSEPT!$C20</f>
        <v>0</v>
      </c>
      <c r="H21" s="7">
        <f t="shared" si="1"/>
        <v>0</v>
      </c>
      <c r="I21" s="7">
        <f t="shared" si="5"/>
        <v>0</v>
      </c>
      <c r="J21" s="7">
        <f t="shared" si="6"/>
        <v>0</v>
      </c>
      <c r="K21" s="7">
        <f t="shared" si="7"/>
        <v>0</v>
      </c>
      <c r="L21" s="7"/>
      <c r="M21" s="7"/>
      <c r="N21" s="7">
        <f t="shared" si="8"/>
        <v>0</v>
      </c>
      <c r="O21" s="7"/>
      <c r="P21" s="5" t="s">
        <v>21</v>
      </c>
      <c r="Q21" s="5" t="s">
        <v>21</v>
      </c>
      <c r="R21" s="2"/>
      <c r="S21" s="2"/>
      <c r="T21" s="1"/>
    </row>
    <row r="22" spans="1:20" x14ac:dyDescent="0.25">
      <c r="A22" s="1" t="s">
        <v>39</v>
      </c>
      <c r="B22" s="1" t="str">
        <f>VLOOKUP(A22,[3]LISTADHERENT!A$5:H$51,2)</f>
        <v>KOUAMO VICTOR PEGUY</v>
      </c>
      <c r="C22" s="6">
        <f>+[3]TONT20000ANNUELLE!$C23+D22</f>
        <v>9612.9708984134868</v>
      </c>
      <c r="D22" s="6">
        <f t="shared" si="0"/>
        <v>0</v>
      </c>
      <c r="E22" s="6">
        <f>[3]TONT20000JUIL2017!$D23+H22</f>
        <v>456270.37069668615</v>
      </c>
      <c r="F22" s="6"/>
      <c r="G22" s="7">
        <f>[4]TONTSEPT!$C21</f>
        <v>0</v>
      </c>
      <c r="H22" s="7">
        <f t="shared" si="1"/>
        <v>0</v>
      </c>
      <c r="I22" s="7">
        <f t="shared" si="5"/>
        <v>0</v>
      </c>
      <c r="J22" s="7">
        <f t="shared" si="6"/>
        <v>0</v>
      </c>
      <c r="K22" s="7">
        <f t="shared" si="7"/>
        <v>0</v>
      </c>
      <c r="L22" s="7"/>
      <c r="M22" s="7"/>
      <c r="N22" s="7">
        <f t="shared" si="8"/>
        <v>0</v>
      </c>
      <c r="O22" s="7"/>
      <c r="P22" s="5" t="s">
        <v>21</v>
      </c>
      <c r="Q22" s="5" t="s">
        <v>21</v>
      </c>
      <c r="R22" s="2"/>
      <c r="S22" s="2"/>
      <c r="T22" s="1"/>
    </row>
    <row r="23" spans="1:20" x14ac:dyDescent="0.25">
      <c r="A23" s="1" t="s">
        <v>40</v>
      </c>
      <c r="B23" s="1" t="str">
        <f>VLOOKUP(A23,[3]LISTADHERENT!A$5:H$51,2)</f>
        <v>KOUATCHO MESSACK</v>
      </c>
      <c r="C23" s="6">
        <f>+[3]TONT20000ANNUELLE!$C24+D23</f>
        <v>9637.8697665481159</v>
      </c>
      <c r="D23" s="6">
        <f t="shared" si="0"/>
        <v>0</v>
      </c>
      <c r="E23" s="6">
        <f>[3]TONT20000JUIL2017!$D24+H23</f>
        <v>457427.19713133667</v>
      </c>
      <c r="F23" s="6"/>
      <c r="G23" s="7">
        <f>[4]TONTSEPT!$C22</f>
        <v>0</v>
      </c>
      <c r="H23" s="7">
        <f t="shared" si="1"/>
        <v>0</v>
      </c>
      <c r="I23" s="7">
        <f t="shared" si="5"/>
        <v>0</v>
      </c>
      <c r="J23" s="7">
        <f t="shared" si="6"/>
        <v>0</v>
      </c>
      <c r="K23" s="7">
        <f t="shared" si="7"/>
        <v>0</v>
      </c>
      <c r="L23" s="7"/>
      <c r="M23" s="7"/>
      <c r="N23" s="7">
        <f t="shared" si="8"/>
        <v>0</v>
      </c>
      <c r="O23" s="7"/>
      <c r="P23" s="5" t="s">
        <v>21</v>
      </c>
      <c r="Q23" s="5" t="s">
        <v>21</v>
      </c>
      <c r="R23" s="2"/>
      <c r="S23" s="2"/>
      <c r="T23" s="1"/>
    </row>
    <row r="24" spans="1:20" x14ac:dyDescent="0.25">
      <c r="A24" s="1" t="s">
        <v>41</v>
      </c>
      <c r="B24" s="1" t="str">
        <f>VLOOKUP(A24,[3]LISTADHERENT!A$5:H$51,2)</f>
        <v>LOWE JEAN</v>
      </c>
      <c r="C24" s="6">
        <f>+[3]TONT20000ANNUELLE!$C25+D24</f>
        <v>9601.8903666973165</v>
      </c>
      <c r="D24" s="6">
        <f t="shared" si="0"/>
        <v>0</v>
      </c>
      <c r="E24" s="6">
        <f>[3]TONT20000JUIL2017!$D25+H24</f>
        <v>453225.48081758316</v>
      </c>
      <c r="F24" s="6"/>
      <c r="G24" s="7">
        <f>[4]TONTSEPT!$C23</f>
        <v>0</v>
      </c>
      <c r="H24" s="7">
        <f t="shared" si="1"/>
        <v>0</v>
      </c>
      <c r="I24" s="7">
        <f t="shared" si="5"/>
        <v>0</v>
      </c>
      <c r="J24" s="7">
        <f t="shared" si="6"/>
        <v>0</v>
      </c>
      <c r="K24" s="7">
        <f t="shared" si="7"/>
        <v>0</v>
      </c>
      <c r="L24" s="7"/>
      <c r="M24" s="7"/>
      <c r="N24" s="7">
        <f t="shared" si="8"/>
        <v>0</v>
      </c>
      <c r="O24" s="7"/>
      <c r="P24" s="5" t="s">
        <v>21</v>
      </c>
      <c r="Q24" s="5" t="s">
        <v>21</v>
      </c>
      <c r="R24" s="2"/>
      <c r="S24" s="2"/>
      <c r="T24" s="1"/>
    </row>
    <row r="25" spans="1:20" x14ac:dyDescent="0.25">
      <c r="A25" s="1" t="s">
        <v>42</v>
      </c>
      <c r="B25" s="1" t="str">
        <f>VLOOKUP(A25,[3]LISTADHERENT!A$5:H$51,2)</f>
        <v>NANKAM APPOLINAIRE</v>
      </c>
      <c r="C25" s="6">
        <f>+[3]TONT20000ANNUELLE!$C26+D25</f>
        <v>9614.1806490737363</v>
      </c>
      <c r="D25" s="6">
        <f t="shared" si="0"/>
        <v>0</v>
      </c>
      <c r="E25" s="6">
        <f>[3]TONT20000JUIL2017!$D26+H25</f>
        <v>456326.57692805165</v>
      </c>
      <c r="F25" s="6"/>
      <c r="G25" s="7">
        <f>[4]TONTSEPT!$C24</f>
        <v>0</v>
      </c>
      <c r="H25" s="7">
        <f t="shared" si="1"/>
        <v>0</v>
      </c>
      <c r="I25" s="7">
        <f t="shared" si="5"/>
        <v>0</v>
      </c>
      <c r="J25" s="7">
        <f t="shared" si="6"/>
        <v>0</v>
      </c>
      <c r="K25" s="7">
        <f t="shared" si="7"/>
        <v>0</v>
      </c>
      <c r="L25" s="7"/>
      <c r="M25" s="7"/>
      <c r="N25" s="7">
        <f t="shared" si="8"/>
        <v>0</v>
      </c>
      <c r="O25" s="7"/>
      <c r="P25" s="5" t="s">
        <v>21</v>
      </c>
      <c r="Q25" s="5" t="s">
        <v>21</v>
      </c>
      <c r="R25" s="2"/>
      <c r="S25" s="2"/>
      <c r="T25" s="1"/>
    </row>
    <row r="26" spans="1:20" x14ac:dyDescent="0.25">
      <c r="A26" s="1" t="s">
        <v>43</v>
      </c>
      <c r="B26" s="1" t="str">
        <f>VLOOKUP(A26,[3]LISTADHERENT!A$5:H$51,2)</f>
        <v>NDJOMO ETIENNE</v>
      </c>
      <c r="C26" s="6">
        <f>+[3]TONT20000ANNUELLE!$C27+D26</f>
        <v>10142.147328779693</v>
      </c>
      <c r="D26" s="6">
        <f t="shared" si="0"/>
        <v>0</v>
      </c>
      <c r="E26" s="6">
        <f>[3]TONT20000JUIL2017!$D27+H26</f>
        <v>496929.00132917956</v>
      </c>
      <c r="F26" s="6"/>
      <c r="G26" s="7">
        <f>[4]TONTSEPT!$C25</f>
        <v>0</v>
      </c>
      <c r="H26" s="7">
        <f t="shared" si="1"/>
        <v>0</v>
      </c>
      <c r="I26" s="7">
        <f t="shared" si="5"/>
        <v>0</v>
      </c>
      <c r="J26" s="7">
        <f t="shared" si="6"/>
        <v>0</v>
      </c>
      <c r="K26" s="7">
        <f t="shared" si="7"/>
        <v>0</v>
      </c>
      <c r="L26" s="7"/>
      <c r="M26" s="7"/>
      <c r="N26" s="7">
        <f t="shared" si="8"/>
        <v>0</v>
      </c>
      <c r="O26" s="7"/>
      <c r="P26" s="5" t="s">
        <v>21</v>
      </c>
      <c r="Q26" s="5" t="s">
        <v>21</v>
      </c>
      <c r="R26" s="2"/>
      <c r="S26" s="2"/>
      <c r="T26" s="1"/>
    </row>
    <row r="27" spans="1:20" x14ac:dyDescent="0.25">
      <c r="A27" s="8" t="s">
        <v>44</v>
      </c>
      <c r="B27" s="1" t="str">
        <f>VLOOKUP(A27,[3]LISTADHERENT!A$5:H$51,2)</f>
        <v>NDOMBOU JEAN CLAUDE</v>
      </c>
      <c r="C27" s="6">
        <f>+[3]TONT20000ANNUELLE!$C28+D27</f>
        <v>9238.1272579911511</v>
      </c>
      <c r="D27" s="6">
        <f t="shared" si="0"/>
        <v>0</v>
      </c>
      <c r="E27" s="6">
        <f>[3]TONT20000JUIL2017!$D28+H27</f>
        <v>429211.22133675992</v>
      </c>
      <c r="F27" s="6"/>
      <c r="G27" s="7">
        <f>[4]TONTSEPT!$C26</f>
        <v>0</v>
      </c>
      <c r="H27" s="7">
        <f t="shared" si="1"/>
        <v>0</v>
      </c>
      <c r="I27" s="7">
        <f t="shared" si="5"/>
        <v>0</v>
      </c>
      <c r="J27" s="7">
        <f t="shared" si="6"/>
        <v>0</v>
      </c>
      <c r="K27" s="7">
        <f t="shared" si="7"/>
        <v>0</v>
      </c>
      <c r="L27" s="7"/>
      <c r="M27" s="7"/>
      <c r="N27" s="7">
        <f t="shared" si="8"/>
        <v>0</v>
      </c>
      <c r="O27" s="7"/>
      <c r="P27" s="5" t="s">
        <v>21</v>
      </c>
      <c r="Q27" s="5" t="s">
        <v>21</v>
      </c>
      <c r="R27" s="2"/>
      <c r="S27" s="2"/>
      <c r="T27" s="1"/>
    </row>
    <row r="28" spans="1:20" x14ac:dyDescent="0.25">
      <c r="A28" s="1" t="s">
        <v>45</v>
      </c>
      <c r="B28" s="1" t="str">
        <f>VLOOKUP(A28,[3]LISTADHERENT!A$5:H$51,2)</f>
        <v>NGONDIEP CLAUDE</v>
      </c>
      <c r="C28" s="6">
        <f>+[3]TONT20000ANNUELLE!$C29+D28</f>
        <v>9818.0852206574273</v>
      </c>
      <c r="D28" s="6">
        <f t="shared" si="0"/>
        <v>0</v>
      </c>
      <c r="E28" s="6">
        <f>[3]TONT20000JUIL2017!$D29+H28</f>
        <v>466038.87337429397</v>
      </c>
      <c r="F28" s="6"/>
      <c r="G28" s="7">
        <f>[4]TONTSEPT!$C27</f>
        <v>0</v>
      </c>
      <c r="H28" s="7">
        <f t="shared" si="1"/>
        <v>0</v>
      </c>
      <c r="I28" s="7">
        <f t="shared" si="5"/>
        <v>0</v>
      </c>
      <c r="J28" s="7">
        <f t="shared" si="6"/>
        <v>0</v>
      </c>
      <c r="K28" s="7">
        <f t="shared" si="7"/>
        <v>0</v>
      </c>
      <c r="L28" s="7"/>
      <c r="M28" s="7"/>
      <c r="N28" s="7">
        <f t="shared" si="8"/>
        <v>0</v>
      </c>
      <c r="O28" s="7"/>
      <c r="P28" s="5" t="s">
        <v>21</v>
      </c>
      <c r="Q28" s="5" t="s">
        <v>21</v>
      </c>
      <c r="R28" s="2"/>
      <c r="S28" s="2"/>
      <c r="T28" s="1"/>
    </row>
    <row r="29" spans="1:20" x14ac:dyDescent="0.25">
      <c r="A29" s="1" t="s">
        <v>46</v>
      </c>
      <c r="B29" s="1" t="str">
        <f>VLOOKUP(A29,[3]LISTADHERENT!A$5:H$51,2)</f>
        <v>NGONGANG JEAN THEODORE</v>
      </c>
      <c r="C29" s="6">
        <f>+[3]TONT20000ANNUELLE!$C30+D29</f>
        <v>780.12501758361475</v>
      </c>
      <c r="D29" s="6">
        <f t="shared" si="0"/>
        <v>0</v>
      </c>
      <c r="E29" s="6">
        <f>[3]TONT20000JUIL2017!$D30+H29</f>
        <v>65075.050410979144</v>
      </c>
      <c r="F29" s="6"/>
      <c r="G29" s="7">
        <f>[4]TONTSEPT!$C28</f>
        <v>0</v>
      </c>
      <c r="H29" s="7">
        <f t="shared" si="1"/>
        <v>0</v>
      </c>
      <c r="I29" s="7">
        <f t="shared" si="5"/>
        <v>0</v>
      </c>
      <c r="J29" s="7">
        <f t="shared" si="6"/>
        <v>0</v>
      </c>
      <c r="K29" s="7">
        <f t="shared" si="7"/>
        <v>0</v>
      </c>
      <c r="L29" s="7"/>
      <c r="M29" s="7"/>
      <c r="N29" s="7">
        <f t="shared" si="8"/>
        <v>0</v>
      </c>
      <c r="O29" s="7"/>
      <c r="P29" s="5" t="s">
        <v>21</v>
      </c>
      <c r="Q29" s="5" t="s">
        <v>21</v>
      </c>
      <c r="R29" s="2"/>
      <c r="S29" s="2"/>
      <c r="T29" s="1"/>
    </row>
    <row r="30" spans="1:20" x14ac:dyDescent="0.25">
      <c r="A30" s="1" t="s">
        <v>47</v>
      </c>
      <c r="B30" s="1" t="str">
        <f>VLOOKUP(A30,[3]LISTADHERENT!A$5:H$51,2)</f>
        <v>NGUIEMEGNI MATHIEU BLAISE</v>
      </c>
      <c r="C30" s="6">
        <f>+[3]TONT20000ANNUELLE!$C31+D30</f>
        <v>10436.791669212371</v>
      </c>
      <c r="D30" s="6">
        <f t="shared" si="0"/>
        <v>0</v>
      </c>
      <c r="E30" s="6">
        <f>[3]TONT20000JUIL2017!$D31+H30</f>
        <v>494538.63880477578</v>
      </c>
      <c r="F30" s="6"/>
      <c r="G30" s="7">
        <f>[4]TONTSEPT!$C29</f>
        <v>0</v>
      </c>
      <c r="H30" s="7">
        <f t="shared" si="1"/>
        <v>0</v>
      </c>
      <c r="I30" s="7">
        <f t="shared" si="5"/>
        <v>0</v>
      </c>
      <c r="J30" s="7">
        <f t="shared" si="6"/>
        <v>0</v>
      </c>
      <c r="K30" s="7">
        <f t="shared" si="7"/>
        <v>0</v>
      </c>
      <c r="L30" s="7"/>
      <c r="M30" s="7"/>
      <c r="N30" s="7">
        <f t="shared" si="8"/>
        <v>0</v>
      </c>
      <c r="O30" s="7"/>
      <c r="P30" s="5" t="s">
        <v>21</v>
      </c>
      <c r="Q30" s="5" t="s">
        <v>21</v>
      </c>
      <c r="R30" s="2"/>
      <c r="S30" s="2"/>
      <c r="T30" s="1"/>
    </row>
    <row r="31" spans="1:20" x14ac:dyDescent="0.25">
      <c r="A31" s="1" t="s">
        <v>48</v>
      </c>
      <c r="B31" s="1" t="str">
        <f>VLOOKUP(A31,[3]LISTADHERENT!A$5:H$51,2)</f>
        <v>NJEPDJIO MBOUKAM DELUXE</v>
      </c>
      <c r="C31" s="6">
        <f>+[3]TONT20000ANNUELLE!$C32+D31</f>
        <v>9722.1015272976729</v>
      </c>
      <c r="D31" s="6">
        <f t="shared" si="0"/>
        <v>0</v>
      </c>
      <c r="E31" s="6">
        <f>[3]TONT20000JUIL2017!$D32+H31</f>
        <v>461466.01947052567</v>
      </c>
      <c r="F31" s="6"/>
      <c r="G31" s="7">
        <f>[4]TONTSEPT!$C30</f>
        <v>0</v>
      </c>
      <c r="H31" s="7">
        <f t="shared" si="1"/>
        <v>0</v>
      </c>
      <c r="I31" s="7">
        <f t="shared" si="5"/>
        <v>0</v>
      </c>
      <c r="J31" s="7">
        <f t="shared" si="6"/>
        <v>0</v>
      </c>
      <c r="K31" s="7">
        <f t="shared" si="7"/>
        <v>0</v>
      </c>
      <c r="L31" s="7"/>
      <c r="M31" s="7"/>
      <c r="N31" s="7">
        <f t="shared" si="8"/>
        <v>0</v>
      </c>
      <c r="O31" s="7"/>
      <c r="P31" s="5" t="s">
        <v>21</v>
      </c>
      <c r="Q31" s="5" t="s">
        <v>21</v>
      </c>
      <c r="R31" s="2"/>
      <c r="S31" s="2"/>
      <c r="T31" s="1"/>
    </row>
    <row r="32" spans="1:20" x14ac:dyDescent="0.25">
      <c r="A32" s="1" t="s">
        <v>49</v>
      </c>
      <c r="B32" s="1" t="str">
        <f>VLOOKUP(A32,[3]LISTADHERENT!A$5:H$51,2)</f>
        <v>NKAMGANG JUSTIN DEJOLIE</v>
      </c>
      <c r="C32" s="6">
        <f>+[3]TONT20000ANNUELLE!$C33+D32</f>
        <v>11448.282993591136</v>
      </c>
      <c r="D32" s="6">
        <f t="shared" si="0"/>
        <v>0</v>
      </c>
      <c r="E32" s="6">
        <f>[3]TONT20000JUIL2017!$D33+H32</f>
        <v>551221.39315556001</v>
      </c>
      <c r="F32" s="6"/>
      <c r="G32" s="7">
        <f>[4]TONTSEPT!$C31</f>
        <v>0</v>
      </c>
      <c r="H32" s="7">
        <f t="shared" si="1"/>
        <v>0</v>
      </c>
      <c r="I32" s="7">
        <f t="shared" si="5"/>
        <v>0</v>
      </c>
      <c r="J32" s="7">
        <f t="shared" si="6"/>
        <v>0</v>
      </c>
      <c r="K32" s="7">
        <f t="shared" si="7"/>
        <v>0</v>
      </c>
      <c r="L32" s="7"/>
      <c r="M32" s="7"/>
      <c r="N32" s="7">
        <f t="shared" si="8"/>
        <v>0</v>
      </c>
      <c r="O32" s="7"/>
      <c r="P32" s="5" t="s">
        <v>21</v>
      </c>
      <c r="Q32" s="5" t="s">
        <v>21</v>
      </c>
      <c r="R32" s="2"/>
      <c r="S32" s="2"/>
      <c r="T32" s="1"/>
    </row>
    <row r="33" spans="1:20" s="10" customFormat="1" x14ac:dyDescent="0.25">
      <c r="A33" s="1" t="s">
        <v>50</v>
      </c>
      <c r="B33" s="1" t="str">
        <f>VLOOKUP(A33,[3]LISTADHERENT!A$5:H$51,2)</f>
        <v>NKEPSEU DIEUDONNE</v>
      </c>
      <c r="C33" s="6">
        <f>+[3]TONT20000ANNUELLE!$C34+D33</f>
        <v>12341.151797021166</v>
      </c>
      <c r="D33" s="6">
        <f t="shared" si="0"/>
        <v>0</v>
      </c>
      <c r="E33" s="6">
        <f>[3]TONT20000JUIL2017!$D34+H33</f>
        <v>599075.14041845209</v>
      </c>
      <c r="F33" s="6"/>
      <c r="G33" s="7">
        <f>[4]TONTSEPT!$C32</f>
        <v>0</v>
      </c>
      <c r="H33" s="7">
        <f t="shared" si="1"/>
        <v>0</v>
      </c>
      <c r="I33" s="7">
        <f t="shared" si="5"/>
        <v>0</v>
      </c>
      <c r="J33" s="7">
        <f t="shared" si="6"/>
        <v>0</v>
      </c>
      <c r="K33" s="7">
        <f t="shared" si="7"/>
        <v>0</v>
      </c>
      <c r="L33" s="7"/>
      <c r="M33" s="7"/>
      <c r="N33" s="7">
        <f t="shared" si="8"/>
        <v>0</v>
      </c>
      <c r="O33" s="7"/>
      <c r="P33" s="5" t="s">
        <v>21</v>
      </c>
      <c r="Q33" s="5" t="s">
        <v>21</v>
      </c>
      <c r="R33" s="9"/>
      <c r="S33" s="9"/>
      <c r="T33" s="1"/>
    </row>
    <row r="34" spans="1:20" x14ac:dyDescent="0.25">
      <c r="A34" s="1" t="s">
        <v>51</v>
      </c>
      <c r="B34" s="1" t="str">
        <f>VLOOKUP(A34,[3]LISTADHERENT!A$5:H$51,2)</f>
        <v>NTEPDIE TUEMAC MZ</v>
      </c>
      <c r="C34" s="6">
        <f>+[3]TONT20000ANNUELLE!$C35+D34</f>
        <v>0</v>
      </c>
      <c r="D34" s="6">
        <f t="shared" si="0"/>
        <v>0</v>
      </c>
      <c r="E34" s="6">
        <f>[3]TONT20000JUIL2017!$D35+H34</f>
        <v>0</v>
      </c>
      <c r="F34" s="6"/>
      <c r="G34" s="7">
        <f>[4]TONTSEPT!$C33</f>
        <v>0</v>
      </c>
      <c r="H34" s="7">
        <f t="shared" si="1"/>
        <v>0</v>
      </c>
      <c r="I34" s="7">
        <f t="shared" si="5"/>
        <v>0</v>
      </c>
      <c r="J34" s="7">
        <f t="shared" si="6"/>
        <v>0</v>
      </c>
      <c r="K34" s="7">
        <f t="shared" si="7"/>
        <v>0</v>
      </c>
      <c r="L34" s="7"/>
      <c r="M34" s="7"/>
      <c r="N34" s="7">
        <f t="shared" si="8"/>
        <v>0</v>
      </c>
      <c r="O34" s="7"/>
      <c r="P34" s="5" t="s">
        <v>21</v>
      </c>
      <c r="Q34" s="5" t="s">
        <v>21</v>
      </c>
      <c r="R34" s="2"/>
      <c r="S34" s="2"/>
      <c r="T34" s="1"/>
    </row>
    <row r="35" spans="1:20" x14ac:dyDescent="0.25">
      <c r="A35" s="1" t="s">
        <v>52</v>
      </c>
      <c r="B35" s="1" t="str">
        <f>VLOOKUP(A35,[3]LISTADHERENT!A$5:H$51,2)</f>
        <v>PATEGO NJOSSU GUSTAVE</v>
      </c>
      <c r="C35" s="6">
        <f>+[3]TONT20000ANNUELLE!$C38+D35</f>
        <v>9608.4643944049203</v>
      </c>
      <c r="D35" s="6">
        <f t="shared" si="0"/>
        <v>0</v>
      </c>
      <c r="E35" s="6">
        <f>[3]TONT20000JUIL2017!$D38+H35</f>
        <v>456053.72122305894</v>
      </c>
      <c r="F35" s="6"/>
      <c r="G35" s="7">
        <f>[4]TONTSEPT!$C34</f>
        <v>0</v>
      </c>
      <c r="H35" s="7">
        <f t="shared" si="1"/>
        <v>0</v>
      </c>
      <c r="I35" s="7">
        <f t="shared" si="5"/>
        <v>0</v>
      </c>
      <c r="J35" s="7">
        <f t="shared" si="6"/>
        <v>0</v>
      </c>
      <c r="K35" s="7">
        <f t="shared" si="7"/>
        <v>0</v>
      </c>
      <c r="L35" s="7"/>
      <c r="M35" s="7"/>
      <c r="N35" s="7">
        <f t="shared" si="8"/>
        <v>0</v>
      </c>
      <c r="O35" s="7"/>
      <c r="P35" s="5" t="s">
        <v>21</v>
      </c>
      <c r="Q35" s="5" t="s">
        <v>21</v>
      </c>
      <c r="R35" s="2"/>
      <c r="S35" s="2"/>
      <c r="T35" s="1"/>
    </row>
    <row r="36" spans="1:20" x14ac:dyDescent="0.25">
      <c r="A36" s="1" t="s">
        <v>53</v>
      </c>
      <c r="B36" s="1" t="str">
        <f>VLOOKUP(A36,[3]LISTADHERENT!A$5:H$51,2)</f>
        <v>SEUNOU RICHELOT</v>
      </c>
      <c r="C36" s="6">
        <f>+[3]TONT20000ANNUELLE!$C39+D36</f>
        <v>9702.6489821721352</v>
      </c>
      <c r="D36" s="6">
        <f t="shared" si="0"/>
        <v>0</v>
      </c>
      <c r="E36" s="6">
        <f>[3]TONT20000JUIL2017!$D39+H36</f>
        <v>460429.63181773521</v>
      </c>
      <c r="F36" s="6"/>
      <c r="G36" s="7">
        <f>[4]TONTSEPT!$C35</f>
        <v>0</v>
      </c>
      <c r="H36" s="7">
        <f t="shared" si="1"/>
        <v>0</v>
      </c>
      <c r="I36" s="7">
        <f t="shared" si="5"/>
        <v>0</v>
      </c>
      <c r="J36" s="7">
        <f t="shared" si="6"/>
        <v>0</v>
      </c>
      <c r="K36" s="7">
        <f t="shared" si="7"/>
        <v>0</v>
      </c>
      <c r="L36" s="7"/>
      <c r="M36" s="7"/>
      <c r="N36" s="7">
        <f t="shared" si="8"/>
        <v>0</v>
      </c>
      <c r="O36" s="7"/>
      <c r="P36" s="5" t="s">
        <v>21</v>
      </c>
      <c r="Q36" s="5" t="s">
        <v>21</v>
      </c>
      <c r="R36" s="2"/>
      <c r="S36" s="2"/>
      <c r="T36" s="1"/>
    </row>
    <row r="37" spans="1:20" x14ac:dyDescent="0.25">
      <c r="A37" s="1" t="s">
        <v>54</v>
      </c>
      <c r="B37" s="1" t="str">
        <f>VLOOKUP(A37,[3]LISTADHERENT!A$5:H$51,2)</f>
        <v>SIME ABEL</v>
      </c>
      <c r="C37" s="6">
        <f>+[3]TONT20000ANNUELLE!$C40+D37</f>
        <v>8868.7233284812482</v>
      </c>
      <c r="D37" s="6">
        <f t="shared" si="0"/>
        <v>0</v>
      </c>
      <c r="E37" s="6">
        <f>[3]TONT20000JUIL2017!$D40+H37</f>
        <v>420330.21694720368</v>
      </c>
      <c r="F37" s="6"/>
      <c r="G37" s="7">
        <f>[4]TONTSEPT!$C36</f>
        <v>0</v>
      </c>
      <c r="H37" s="7">
        <f t="shared" si="1"/>
        <v>0</v>
      </c>
      <c r="I37" s="7">
        <f t="shared" si="5"/>
        <v>0</v>
      </c>
      <c r="J37" s="7">
        <f t="shared" si="6"/>
        <v>0</v>
      </c>
      <c r="K37" s="7">
        <f t="shared" si="7"/>
        <v>0</v>
      </c>
      <c r="L37" s="7"/>
      <c r="M37" s="7"/>
      <c r="N37" s="7">
        <f t="shared" si="8"/>
        <v>0</v>
      </c>
      <c r="O37" s="7"/>
      <c r="P37" s="5" t="s">
        <v>21</v>
      </c>
      <c r="Q37" s="5" t="s">
        <v>21</v>
      </c>
      <c r="R37" s="2"/>
      <c r="S37" s="2"/>
      <c r="T37" s="1"/>
    </row>
    <row r="38" spans="1:20" x14ac:dyDescent="0.25">
      <c r="A38" s="1" t="s">
        <v>55</v>
      </c>
      <c r="B38" s="1" t="str">
        <f>VLOOKUP(A38,[3]LISTADHERENT!A$5:H$51,2)</f>
        <v>SIME FONGANG ERIC</v>
      </c>
      <c r="C38" s="6">
        <f>+[3]TONT20000ANNUELLE!$C41+D38</f>
        <v>9662.133332786987</v>
      </c>
      <c r="D38" s="6">
        <f t="shared" si="0"/>
        <v>0</v>
      </c>
      <c r="E38" s="6">
        <f>[3]TONT20000JUIL2017!$D41+H38</f>
        <v>458547.23403272976</v>
      </c>
      <c r="F38" s="6"/>
      <c r="G38" s="7">
        <f>[4]TONTSEPT!$C37</f>
        <v>0</v>
      </c>
      <c r="H38" s="7">
        <f t="shared" si="1"/>
        <v>0</v>
      </c>
      <c r="I38" s="7">
        <f t="shared" si="5"/>
        <v>0</v>
      </c>
      <c r="J38" s="7">
        <f t="shared" si="6"/>
        <v>0</v>
      </c>
      <c r="K38" s="7">
        <f t="shared" si="7"/>
        <v>0</v>
      </c>
      <c r="L38" s="7"/>
      <c r="M38" s="7"/>
      <c r="N38" s="7">
        <f t="shared" si="8"/>
        <v>0</v>
      </c>
      <c r="O38" s="7"/>
      <c r="P38" s="5" t="s">
        <v>21</v>
      </c>
      <c r="Q38" s="5" t="s">
        <v>21</v>
      </c>
      <c r="R38" s="2"/>
      <c r="S38" s="2"/>
      <c r="T38" s="1"/>
    </row>
    <row r="39" spans="1:20" x14ac:dyDescent="0.25">
      <c r="A39" s="1" t="s">
        <v>56</v>
      </c>
      <c r="B39" s="1" t="str">
        <f>VLOOKUP(A39,[3]LISTADHERENT!A$5:H$51,2)</f>
        <v>SIME MATHIEU</v>
      </c>
      <c r="C39" s="6">
        <f>+[3]TONT20000ANNUELLE!$C42+D39</f>
        <v>9653.6430826986725</v>
      </c>
      <c r="D39" s="6">
        <f t="shared" si="0"/>
        <v>0</v>
      </c>
      <c r="E39" s="6">
        <f>[3]TONT20000JUIL2017!$D42+H39</f>
        <v>458152.76848169166</v>
      </c>
      <c r="F39" s="6"/>
      <c r="G39" s="7">
        <f>[4]TONTSEPT!$C38</f>
        <v>0</v>
      </c>
      <c r="H39" s="7">
        <f t="shared" si="1"/>
        <v>0</v>
      </c>
      <c r="I39" s="7">
        <f t="shared" si="5"/>
        <v>0</v>
      </c>
      <c r="J39" s="7">
        <f t="shared" si="6"/>
        <v>0</v>
      </c>
      <c r="K39" s="7">
        <f t="shared" si="7"/>
        <v>0</v>
      </c>
      <c r="L39" s="7"/>
      <c r="M39" s="7"/>
      <c r="N39" s="7">
        <f t="shared" si="8"/>
        <v>0</v>
      </c>
      <c r="O39" s="7"/>
      <c r="P39" s="5" t="s">
        <v>21</v>
      </c>
      <c r="Q39" s="5" t="s">
        <v>21</v>
      </c>
      <c r="R39" s="2"/>
      <c r="S39" s="2"/>
      <c r="T39" s="1"/>
    </row>
    <row r="40" spans="1:20" x14ac:dyDescent="0.25">
      <c r="A40" s="1" t="s">
        <v>57</v>
      </c>
      <c r="B40" s="1" t="str">
        <f>VLOOKUP(A40,[3]LISTADHERENT!A$5:H$51,2)</f>
        <v>SIME PIERRE</v>
      </c>
      <c r="C40" s="6">
        <f>+[3]TONT20000ANNUELLE!$C43+D40</f>
        <v>12719.372246864517</v>
      </c>
      <c r="D40" s="6">
        <f t="shared" si="0"/>
        <v>0</v>
      </c>
      <c r="E40" s="6">
        <f>[3]TONT20000JUIL2017!$D43+H40</f>
        <v>617655.19749734446</v>
      </c>
      <c r="F40" s="6"/>
      <c r="G40" s="7">
        <f>[4]TONTSEPT!$C39</f>
        <v>0</v>
      </c>
      <c r="H40" s="7">
        <f t="shared" si="1"/>
        <v>0</v>
      </c>
      <c r="I40" s="7">
        <f t="shared" si="5"/>
        <v>0</v>
      </c>
      <c r="J40" s="7">
        <f t="shared" si="6"/>
        <v>0</v>
      </c>
      <c r="K40" s="7">
        <f t="shared" si="7"/>
        <v>0</v>
      </c>
      <c r="L40" s="7"/>
      <c r="M40" s="7"/>
      <c r="N40" s="7">
        <f t="shared" si="8"/>
        <v>0</v>
      </c>
      <c r="O40" s="7"/>
      <c r="P40" s="5" t="s">
        <v>21</v>
      </c>
      <c r="Q40" s="5" t="s">
        <v>21</v>
      </c>
      <c r="R40" s="2"/>
      <c r="S40" s="2"/>
      <c r="T40" s="1"/>
    </row>
    <row r="41" spans="1:20" x14ac:dyDescent="0.25">
      <c r="A41" s="1" t="s">
        <v>58</v>
      </c>
      <c r="B41" s="1" t="str">
        <f>VLOOKUP(A41,[3]LISTADHERENT!A$5:H$51,2)</f>
        <v>TAGNE NANGUEN MARTIN</v>
      </c>
      <c r="C41" s="6">
        <f>+[3]TONT20000ANNUELLE!$C44+D41</f>
        <v>8929.8382649369523</v>
      </c>
      <c r="D41" s="6">
        <f t="shared" si="0"/>
        <v>0</v>
      </c>
      <c r="E41" s="6">
        <f>[3]TONT20000JUIL2017!$D44+H41</f>
        <v>424524.06928995653</v>
      </c>
      <c r="F41" s="6"/>
      <c r="G41" s="7">
        <f>[4]TONTSEPT!$C40</f>
        <v>0</v>
      </c>
      <c r="H41" s="7">
        <f t="shared" si="1"/>
        <v>0</v>
      </c>
      <c r="I41" s="7">
        <f t="shared" si="5"/>
        <v>0</v>
      </c>
      <c r="J41" s="7">
        <f t="shared" si="6"/>
        <v>0</v>
      </c>
      <c r="K41" s="7">
        <f t="shared" si="7"/>
        <v>0</v>
      </c>
      <c r="L41" s="7"/>
      <c r="M41" s="7"/>
      <c r="N41" s="7">
        <f t="shared" si="8"/>
        <v>0</v>
      </c>
      <c r="O41" s="7"/>
      <c r="P41" s="5" t="s">
        <v>21</v>
      </c>
      <c r="Q41" s="5" t="s">
        <v>21</v>
      </c>
      <c r="R41" s="2"/>
      <c r="S41" s="2"/>
      <c r="T41" s="1"/>
    </row>
    <row r="42" spans="1:20" x14ac:dyDescent="0.25">
      <c r="A42" s="1" t="s">
        <v>59</v>
      </c>
      <c r="B42" s="1" t="str">
        <f>VLOOKUP(A42,[3]LISTADHERENT!A$5:H$51,2)</f>
        <v>TCHOUAMOU JEAN PAUL</v>
      </c>
      <c r="C42" s="6">
        <f>+[3]TONT20000ANNUELLE!$C45+D42</f>
        <v>642.24252727100691</v>
      </c>
      <c r="D42" s="6">
        <f t="shared" si="0"/>
        <v>0</v>
      </c>
      <c r="E42" s="6">
        <f>[3]TONT20000JUIL2017!$D45+H42</f>
        <v>39482.770354666689</v>
      </c>
      <c r="F42" s="6"/>
      <c r="G42" s="7">
        <f>[4]TONTSEPT!$C41</f>
        <v>0</v>
      </c>
      <c r="H42" s="7">
        <f t="shared" si="1"/>
        <v>0</v>
      </c>
      <c r="I42" s="7">
        <f t="shared" si="5"/>
        <v>0</v>
      </c>
      <c r="J42" s="7">
        <f t="shared" si="6"/>
        <v>0</v>
      </c>
      <c r="K42" s="7">
        <f t="shared" si="7"/>
        <v>0</v>
      </c>
      <c r="L42" s="7"/>
      <c r="M42" s="7"/>
      <c r="N42" s="7">
        <f t="shared" si="8"/>
        <v>0</v>
      </c>
      <c r="O42" s="7"/>
      <c r="P42" s="5" t="s">
        <v>21</v>
      </c>
      <c r="Q42" s="5" t="s">
        <v>21</v>
      </c>
      <c r="R42" s="2"/>
      <c r="S42" s="2"/>
      <c r="T42" s="1"/>
    </row>
    <row r="43" spans="1:20" x14ac:dyDescent="0.25">
      <c r="A43" s="1" t="s">
        <v>60</v>
      </c>
      <c r="B43" s="1" t="str">
        <f>VLOOKUP(A43,[3]LISTADHERENT!A$5:H$51,2)</f>
        <v>TCHOUAMOU MATHIEU</v>
      </c>
      <c r="C43" s="6">
        <f>+[3]TONT20000ANNUELLE!$C46+D43</f>
        <v>9612.4235783839267</v>
      </c>
      <c r="D43" s="6">
        <f t="shared" si="0"/>
        <v>0</v>
      </c>
      <c r="E43" s="6">
        <f>[3]TONT20000JUIL2017!$D46+H43</f>
        <v>456237.66888934624</v>
      </c>
      <c r="F43" s="6"/>
      <c r="G43" s="7">
        <f>[4]TONTSEPT!$C42</f>
        <v>0</v>
      </c>
      <c r="H43" s="7">
        <f t="shared" si="1"/>
        <v>0</v>
      </c>
      <c r="I43" s="7">
        <f t="shared" si="5"/>
        <v>0</v>
      </c>
      <c r="J43" s="7">
        <f t="shared" si="6"/>
        <v>0</v>
      </c>
      <c r="K43" s="7">
        <f t="shared" si="7"/>
        <v>0</v>
      </c>
      <c r="L43" s="7"/>
      <c r="M43" s="7"/>
      <c r="N43" s="7">
        <f t="shared" si="8"/>
        <v>0</v>
      </c>
      <c r="O43" s="7"/>
      <c r="P43" s="5" t="s">
        <v>21</v>
      </c>
      <c r="Q43" s="5" t="s">
        <v>21</v>
      </c>
      <c r="R43" s="2"/>
      <c r="S43" s="2"/>
      <c r="T43" s="1"/>
    </row>
    <row r="44" spans="1:20" x14ac:dyDescent="0.25">
      <c r="A44" s="1" t="s">
        <v>61</v>
      </c>
      <c r="B44" s="1" t="str">
        <f>VLOOKUP(A44,[3]LISTADHERENT!A$5:H$51,2)</f>
        <v>TCHOUANTE FRANCOIS</v>
      </c>
      <c r="C44" s="6">
        <f>+[3]TONT20000ANNUELLE!$C47+D44</f>
        <v>10777.497036508537</v>
      </c>
      <c r="D44" s="6">
        <f t="shared" si="0"/>
        <v>0</v>
      </c>
      <c r="E44" s="6">
        <f>[3]TONT20000JUIL2017!$D47+H44</f>
        <v>521395.66254746116</v>
      </c>
      <c r="F44" s="6"/>
      <c r="G44" s="7">
        <f>[4]TONTSEPT!$C43</f>
        <v>0</v>
      </c>
      <c r="H44" s="7">
        <f t="shared" si="1"/>
        <v>0</v>
      </c>
      <c r="I44" s="7">
        <f t="shared" si="5"/>
        <v>0</v>
      </c>
      <c r="J44" s="7">
        <f t="shared" si="6"/>
        <v>0</v>
      </c>
      <c r="K44" s="7">
        <f t="shared" si="7"/>
        <v>0</v>
      </c>
      <c r="L44" s="7"/>
      <c r="M44" s="7"/>
      <c r="N44" s="7">
        <f t="shared" si="8"/>
        <v>0</v>
      </c>
      <c r="O44" s="7"/>
      <c r="P44" s="5" t="s">
        <v>21</v>
      </c>
      <c r="Q44" s="5" t="s">
        <v>21</v>
      </c>
      <c r="R44" s="2"/>
      <c r="S44" s="2"/>
      <c r="T44" s="1"/>
    </row>
    <row r="45" spans="1:20" x14ac:dyDescent="0.25">
      <c r="A45" s="1" t="s">
        <v>62</v>
      </c>
      <c r="B45" s="1" t="str">
        <f>VLOOKUP(A45,[3]LISTADHERENT!A$5:H$51,2)</f>
        <v>TCHOUTOU NANA CLAUDE</v>
      </c>
      <c r="C45" s="6">
        <f>+[3]TONT20000ANNUELLE!$C48+D45</f>
        <v>315.76381726896312</v>
      </c>
      <c r="D45" s="6">
        <f t="shared" si="0"/>
        <v>0</v>
      </c>
      <c r="E45" s="6">
        <f>[3]TONT20000JUIL2017!$D48+H45</f>
        <v>24314.241406329722</v>
      </c>
      <c r="F45" s="6"/>
      <c r="G45" s="7">
        <f>[4]TONTSEPT!$C44</f>
        <v>0</v>
      </c>
      <c r="H45" s="7">
        <f t="shared" si="1"/>
        <v>0</v>
      </c>
      <c r="I45" s="7">
        <f t="shared" si="5"/>
        <v>0</v>
      </c>
      <c r="J45" s="7">
        <f t="shared" si="6"/>
        <v>0</v>
      </c>
      <c r="K45" s="7">
        <f t="shared" si="7"/>
        <v>0</v>
      </c>
      <c r="L45" s="7"/>
      <c r="M45" s="7"/>
      <c r="N45" s="7">
        <f t="shared" si="8"/>
        <v>0</v>
      </c>
      <c r="O45" s="7"/>
      <c r="P45" s="5" t="s">
        <v>21</v>
      </c>
      <c r="Q45" s="5" t="s">
        <v>21</v>
      </c>
      <c r="R45" s="2"/>
      <c r="S45" s="2"/>
      <c r="T45" s="1"/>
    </row>
    <row r="46" spans="1:20" x14ac:dyDescent="0.25">
      <c r="A46" s="1" t="s">
        <v>63</v>
      </c>
      <c r="B46" s="1" t="str">
        <f>VLOOKUP(A46,[3]LISTADHERENT!A$5:H$51,2)</f>
        <v>TIEYAM ERNEST</v>
      </c>
      <c r="C46" s="6">
        <f>+[3]TONT20000ANNUELLE!$C49+D46</f>
        <v>10073.14368012548</v>
      </c>
      <c r="D46" s="6">
        <f t="shared" si="0"/>
        <v>0</v>
      </c>
      <c r="E46" s="6">
        <f>[3]TONT20000JUIL2017!$D49+H46</f>
        <v>490635.2352232447</v>
      </c>
      <c r="F46" s="6"/>
      <c r="G46" s="7">
        <f>[4]TONTSEPT!$C45</f>
        <v>0</v>
      </c>
      <c r="H46" s="7">
        <f t="shared" si="1"/>
        <v>0</v>
      </c>
      <c r="I46" s="7">
        <f t="shared" si="5"/>
        <v>0</v>
      </c>
      <c r="J46" s="7">
        <f t="shared" si="6"/>
        <v>0</v>
      </c>
      <c r="K46" s="7">
        <f t="shared" si="7"/>
        <v>0</v>
      </c>
      <c r="L46" s="7"/>
      <c r="M46" s="7"/>
      <c r="N46" s="7">
        <f t="shared" si="8"/>
        <v>0</v>
      </c>
      <c r="O46" s="7"/>
      <c r="P46" s="5" t="s">
        <v>21</v>
      </c>
      <c r="Q46" s="5" t="s">
        <v>21</v>
      </c>
      <c r="R46" s="2"/>
      <c r="S46" s="2"/>
      <c r="T46" s="1"/>
    </row>
    <row r="47" spans="1:20" x14ac:dyDescent="0.25">
      <c r="A47" s="1" t="s">
        <v>64</v>
      </c>
      <c r="B47" s="1" t="str">
        <f>VLOOKUP(A47,[3]LISTADHERENT!A$5:H$51,2)</f>
        <v>TUGMA PIERRE LOTI</v>
      </c>
      <c r="C47" s="6">
        <f>+[3]TONT20000ANNUELLE!$C50+D47</f>
        <v>9608.7265791747759</v>
      </c>
      <c r="D47" s="6">
        <f t="shared" si="0"/>
        <v>0</v>
      </c>
      <c r="E47" s="6">
        <f>[3]TONT20000JUIL2017!$D50+H47</f>
        <v>453083.35723596084</v>
      </c>
      <c r="F47" s="6"/>
      <c r="G47" s="7">
        <f>[4]TONTSEPT!$C46</f>
        <v>0</v>
      </c>
      <c r="H47" s="7">
        <f t="shared" si="1"/>
        <v>0</v>
      </c>
      <c r="I47" s="7">
        <f t="shared" si="5"/>
        <v>0</v>
      </c>
      <c r="J47" s="7">
        <f t="shared" si="6"/>
        <v>0</v>
      </c>
      <c r="K47" s="7">
        <f t="shared" si="7"/>
        <v>0</v>
      </c>
      <c r="L47" s="7"/>
      <c r="M47" s="7"/>
      <c r="N47" s="7">
        <f t="shared" si="8"/>
        <v>0</v>
      </c>
      <c r="O47" s="7"/>
      <c r="P47" s="5" t="s">
        <v>21</v>
      </c>
      <c r="Q47" s="5" t="s">
        <v>21</v>
      </c>
      <c r="R47" s="2"/>
      <c r="S47" s="2"/>
      <c r="T47" s="1"/>
    </row>
    <row r="48" spans="1:20" x14ac:dyDescent="0.25">
      <c r="A48" s="1" t="s">
        <v>65</v>
      </c>
      <c r="B48" s="1" t="str">
        <f>VLOOKUP(A48,[3]LISTADHERENT!A$5:H$51,2)</f>
        <v>YEPMOU JEAN JACQUES</v>
      </c>
      <c r="C48" s="6">
        <f>+[3]TONT20000ANNUELLE!$C51+D48</f>
        <v>18219.865512472708</v>
      </c>
      <c r="D48" s="6">
        <f t="shared" si="0"/>
        <v>0</v>
      </c>
      <c r="E48" s="6">
        <f>[3]TONT20000JUIL2017!$D51+H48</f>
        <v>856148.07084951643</v>
      </c>
      <c r="F48" s="6"/>
      <c r="G48" s="7">
        <f>[4]TONTSEPT!$C47</f>
        <v>0</v>
      </c>
      <c r="H48" s="7">
        <f t="shared" si="1"/>
        <v>0</v>
      </c>
      <c r="I48" s="7">
        <f t="shared" si="5"/>
        <v>0</v>
      </c>
      <c r="J48" s="7">
        <f t="shared" si="6"/>
        <v>0</v>
      </c>
      <c r="K48" s="7">
        <f t="shared" si="7"/>
        <v>0</v>
      </c>
      <c r="L48" s="7"/>
      <c r="M48" s="7"/>
      <c r="N48" s="7">
        <f t="shared" si="8"/>
        <v>0</v>
      </c>
      <c r="O48" s="7"/>
      <c r="P48" s="5" t="s">
        <v>21</v>
      </c>
      <c r="Q48" s="5" t="s">
        <v>21</v>
      </c>
      <c r="R48" s="2"/>
      <c r="S48" s="2"/>
      <c r="T48" s="1"/>
    </row>
    <row r="49" spans="1:20" x14ac:dyDescent="0.25">
      <c r="A49" s="1" t="s">
        <v>66</v>
      </c>
      <c r="B49" s="1" t="str">
        <f>VLOOKUP(A49,[3]LISTADHERENT!A$5:H$51,2)</f>
        <v>YOUMBI EMMANUEL</v>
      </c>
      <c r="C49" s="6">
        <f>+[3]TONT20000ANNUELLE!$C52+D49</f>
        <v>33272.277262598771</v>
      </c>
      <c r="D49" s="6">
        <f t="shared" si="0"/>
        <v>0</v>
      </c>
      <c r="E49" s="6">
        <f>[3]TONT20000JUIL2017!$D52+H49</f>
        <v>1560802.3614040688</v>
      </c>
      <c r="F49" s="6"/>
      <c r="G49" s="7">
        <f>[4]TONTSEPT!$C48</f>
        <v>0</v>
      </c>
      <c r="H49" s="7">
        <f t="shared" si="1"/>
        <v>0</v>
      </c>
      <c r="I49" s="7">
        <f t="shared" si="5"/>
        <v>0</v>
      </c>
      <c r="J49" s="7">
        <f t="shared" si="6"/>
        <v>0</v>
      </c>
      <c r="K49" s="7">
        <f t="shared" si="7"/>
        <v>0</v>
      </c>
      <c r="M49" s="7"/>
      <c r="N49" s="7">
        <f t="shared" si="8"/>
        <v>0</v>
      </c>
      <c r="O49" s="7"/>
      <c r="P49" s="5" t="s">
        <v>21</v>
      </c>
      <c r="Q49" s="5" t="s">
        <v>21</v>
      </c>
      <c r="R49" s="2"/>
      <c r="S49" s="2"/>
      <c r="T49" s="1"/>
    </row>
    <row r="50" spans="1:20" x14ac:dyDescent="0.25">
      <c r="A50" s="1"/>
      <c r="B50" s="1"/>
      <c r="C50" s="6"/>
      <c r="D50" s="6"/>
      <c r="E50" s="6"/>
      <c r="F50" s="6"/>
      <c r="G50" s="6"/>
      <c r="H50" s="7"/>
      <c r="I50" s="7"/>
      <c r="J50" s="7"/>
      <c r="K50" s="7"/>
      <c r="M50" s="7"/>
      <c r="N50" s="7"/>
      <c r="O50" s="2"/>
      <c r="P50" s="7"/>
      <c r="Q50" s="2"/>
      <c r="R50" s="2"/>
      <c r="S50" s="2"/>
    </row>
    <row r="51" spans="1:20" x14ac:dyDescent="0.25">
      <c r="A51" s="1"/>
      <c r="B51" s="1"/>
      <c r="C51" s="6"/>
      <c r="D51" s="6"/>
      <c r="E51" s="6"/>
      <c r="F51" s="6"/>
      <c r="G51" s="6"/>
      <c r="H51" s="2"/>
      <c r="I51" s="12"/>
      <c r="N51" s="7"/>
      <c r="O51" s="2"/>
      <c r="P51" s="7"/>
      <c r="Q51" s="2"/>
      <c r="R51" s="2"/>
      <c r="S51" s="2"/>
    </row>
    <row r="52" spans="1:20" x14ac:dyDescent="0.25">
      <c r="A52" s="1"/>
      <c r="B52" s="1"/>
      <c r="C52" s="6"/>
      <c r="D52" s="1"/>
      <c r="E52" s="6"/>
      <c r="F52" s="1"/>
      <c r="G52" s="1"/>
    </row>
    <row r="53" spans="1:20" ht="18" x14ac:dyDescent="0.25">
      <c r="A53" s="1" t="s">
        <v>67</v>
      </c>
      <c r="B53" s="1"/>
      <c r="C53" s="11">
        <f t="shared" ref="C53:S53" si="9">SUM(C5:C49)</f>
        <v>484500</v>
      </c>
      <c r="D53" s="11">
        <f t="shared" si="9"/>
        <v>0</v>
      </c>
      <c r="E53" s="11">
        <f t="shared" si="9"/>
        <v>23880319</v>
      </c>
      <c r="F53" s="11">
        <f t="shared" si="9"/>
        <v>0</v>
      </c>
      <c r="G53" s="11">
        <f t="shared" si="9"/>
        <v>0</v>
      </c>
      <c r="H53" s="11">
        <f t="shared" si="9"/>
        <v>0</v>
      </c>
      <c r="I53" s="11">
        <f t="shared" si="9"/>
        <v>0</v>
      </c>
      <c r="J53" s="11">
        <f t="shared" si="9"/>
        <v>0</v>
      </c>
      <c r="K53" s="11">
        <f t="shared" si="9"/>
        <v>0</v>
      </c>
      <c r="L53" s="11">
        <f t="shared" si="9"/>
        <v>0</v>
      </c>
      <c r="M53" s="11">
        <f t="shared" si="9"/>
        <v>0</v>
      </c>
      <c r="N53" s="11">
        <f t="shared" si="9"/>
        <v>0</v>
      </c>
      <c r="O53" s="11">
        <f t="shared" si="9"/>
        <v>0</v>
      </c>
      <c r="P53" s="11"/>
      <c r="Q53" s="11"/>
      <c r="R53" s="11">
        <f t="shared" si="9"/>
        <v>0</v>
      </c>
      <c r="S53" s="11">
        <f t="shared" si="9"/>
        <v>0</v>
      </c>
    </row>
    <row r="56" spans="1:20" ht="18" x14ac:dyDescent="0.25">
      <c r="E56" s="11" t="s">
        <v>69</v>
      </c>
      <c r="F56" s="11">
        <f>[4]TONTSEPT!$F$57</f>
        <v>0</v>
      </c>
    </row>
    <row r="57" spans="1:20" ht="18" x14ac:dyDescent="0.25">
      <c r="E57" s="11" t="s">
        <v>11</v>
      </c>
      <c r="F57" s="11">
        <f>[4]TONTSEPT!$F$58</f>
        <v>0</v>
      </c>
    </row>
    <row r="58" spans="1:20" ht="18" x14ac:dyDescent="0.25">
      <c r="E58" s="11" t="s">
        <v>12</v>
      </c>
      <c r="F58" s="11">
        <f>+H53</f>
        <v>0</v>
      </c>
    </row>
    <row r="59" spans="1:20" ht="18" x14ac:dyDescent="0.25">
      <c r="E59" s="11" t="s">
        <v>13</v>
      </c>
      <c r="F59" s="11">
        <f>+I53</f>
        <v>0</v>
      </c>
    </row>
    <row r="60" spans="1:20" ht="18" x14ac:dyDescent="0.25">
      <c r="E60" s="11" t="s">
        <v>68</v>
      </c>
      <c r="F60" s="11">
        <f>+J53</f>
        <v>0</v>
      </c>
    </row>
    <row r="61" spans="1:20" ht="18" x14ac:dyDescent="0.25">
      <c r="E61" s="11" t="s">
        <v>15</v>
      </c>
      <c r="F61" s="11">
        <f>+K53</f>
        <v>0</v>
      </c>
    </row>
    <row r="62" spans="1:20" ht="18" x14ac:dyDescent="0.25">
      <c r="E62" s="11" t="s">
        <v>77</v>
      </c>
      <c r="F62" s="11">
        <f>+O53</f>
        <v>0</v>
      </c>
    </row>
    <row r="63" spans="1:20" ht="18" x14ac:dyDescent="0.25">
      <c r="E63" s="11" t="s">
        <v>73</v>
      </c>
      <c r="F63" s="11">
        <f>+P53</f>
        <v>0</v>
      </c>
    </row>
    <row r="64" spans="1:20" ht="18" x14ac:dyDescent="0.25">
      <c r="E64" s="11" t="s">
        <v>78</v>
      </c>
      <c r="F64" s="11">
        <f>+Q53</f>
        <v>0</v>
      </c>
    </row>
    <row r="65" spans="3:7" ht="18" x14ac:dyDescent="0.25">
      <c r="E65" s="11"/>
      <c r="F65" s="11"/>
    </row>
    <row r="66" spans="3:7" ht="18" x14ac:dyDescent="0.25">
      <c r="E66" s="11" t="s">
        <v>67</v>
      </c>
      <c r="F66" s="11">
        <f>SUM(F55:F64)</f>
        <v>0</v>
      </c>
    </row>
    <row r="68" spans="3:7" ht="18" x14ac:dyDescent="0.25">
      <c r="E68"/>
      <c r="F68" s="11" t="s">
        <v>72</v>
      </c>
      <c r="G68" s="11" t="s">
        <v>81</v>
      </c>
    </row>
    <row r="69" spans="3:7" ht="18" x14ac:dyDescent="0.25">
      <c r="E69" s="11" t="s">
        <v>23</v>
      </c>
      <c r="F69" s="11">
        <f>SUMIFS(M5:M48,P5:P48,"ESPECES")</f>
        <v>0</v>
      </c>
      <c r="G69" s="11">
        <f>SUMIFS(O5:O48,Q5:Q48,"ESPECES")</f>
        <v>0</v>
      </c>
    </row>
    <row r="70" spans="3:7" ht="18" x14ac:dyDescent="0.25">
      <c r="E70" s="11" t="s">
        <v>25</v>
      </c>
      <c r="F70" s="11">
        <f>SUMIFS(M5:M48,P5:P48,"BANQUE")</f>
        <v>0</v>
      </c>
      <c r="G70" s="11">
        <f>SUMIFS(O5:O48,Q5:Q48,"BANQUE")</f>
        <v>0</v>
      </c>
    </row>
    <row r="71" spans="3:7" ht="18" x14ac:dyDescent="0.25">
      <c r="E71" s="11"/>
      <c r="F71" s="11"/>
      <c r="G71" s="11"/>
    </row>
    <row r="72" spans="3:7" ht="18" x14ac:dyDescent="0.25">
      <c r="C72" s="11"/>
      <c r="E72" s="11" t="s">
        <v>67</v>
      </c>
      <c r="F72" s="11">
        <f>F69+F70</f>
        <v>0</v>
      </c>
      <c r="G72" s="11">
        <f>G69+G70</f>
        <v>0</v>
      </c>
    </row>
    <row r="73" spans="3:7" ht="18" x14ac:dyDescent="0.25">
      <c r="C73" s="11"/>
    </row>
  </sheetData>
  <autoFilter ref="A4:Q49">
    <sortState ref="A5:L48">
      <sortCondition ref="B5:B48"/>
    </sortState>
  </autoFilter>
  <dataValidations count="1">
    <dataValidation type="list" allowBlank="1" showInputMessage="1" showErrorMessage="1" sqref="P6:Q49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MODEVERSEMENT</vt:lpstr>
      <vt:lpstr>MVTAOUT2017</vt:lpstr>
      <vt:lpstr>MVTAOUT</vt:lpstr>
      <vt:lpstr>MVTSEPT</vt:lpstr>
      <vt:lpstr>MODEVERSEMENT!MODEVERSEMENTS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2017-07-22T11:02:10Z</dcterms:created>
  <dcterms:modified xsi:type="dcterms:W3CDTF">2017-09-05T06:38:07Z</dcterms:modified>
</cp:coreProperties>
</file>