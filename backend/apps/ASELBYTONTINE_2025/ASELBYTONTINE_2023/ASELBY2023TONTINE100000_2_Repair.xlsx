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</sheets>
</workbook>
</file>

<file path=xl/sharedStrings.xml><?xml version="1.0" encoding="utf-8"?>
<sst xmlns="http://schemas.openxmlformats.org/spreadsheetml/2006/main" count="2566" uniqueCount="336">
  <si>
    <t>ASSOCIATION</t>
  </si>
  <si>
    <t>ASELBY</t>
  </si>
  <si>
    <t>ANNEE</t>
  </si>
  <si>
    <t xml:space="preserve">TONTINE </t>
  </si>
  <si>
    <t>MATRICULE</t>
  </si>
  <si>
    <t>NOM ET PRENOM</t>
  </si>
  <si>
    <t>REPARTITION INTERET</t>
  </si>
  <si>
    <t>CAPITAL COMPOSE</t>
  </si>
  <si>
    <t>SANCTION</t>
  </si>
  <si>
    <t>EPARGNE</t>
  </si>
  <si>
    <t>FONDS DE ROULEMENT</t>
  </si>
  <si>
    <t>FRAIS EXCEPTIONNEL</t>
  </si>
  <si>
    <t>COLLATION</t>
  </si>
  <si>
    <t>MUTUELLE</t>
  </si>
  <si>
    <t>PENALITE FONDS</t>
  </si>
  <si>
    <t>AVALISTE</t>
  </si>
  <si>
    <t>AS201648</t>
  </si>
  <si>
    <t>AS201601</t>
  </si>
  <si>
    <t>ECHEC</t>
  </si>
  <si>
    <t>AS201602</t>
  </si>
  <si>
    <t>ESPECES</t>
  </si>
  <si>
    <t>AS201603</t>
  </si>
  <si>
    <t>BANQUE</t>
  </si>
  <si>
    <t>AS201604</t>
  </si>
  <si>
    <t>AS201605</t>
  </si>
  <si>
    <t>AS201608</t>
  </si>
  <si>
    <t>AS201609</t>
  </si>
  <si>
    <t>AS201610</t>
  </si>
  <si>
    <t>AS201611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</si>
  <si>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</si>
  <si>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</si>
  <si>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</si>
  <si>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</si>
  <si>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</si>
  <si>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</si>
  <si>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</si>
  <si>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</si>
  <si>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</si>
  <si>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</si>
  <si>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AS201624</t>
  </si>
  <si>
    <t>AS201625</t>
  </si>
  <si>
    <t>AS201626</t>
  </si>
  <si>
    <t>AS201627</t>
  </si>
  <si>
    <t>AS201628</t>
  </si>
  <si>
    <t>AS201629</t>
  </si>
  <si>
    <t>AS201633</t>
  </si>
  <si>
    <t>AS201634</t>
  </si>
  <si>
    <t>AS201636</t>
  </si>
  <si>
    <t>AS201637</t>
  </si>
  <si>
    <t>AS201638</t>
  </si>
  <si>
    <t>AS201639</t>
  </si>
  <si>
    <t>AS201641</t>
  </si>
  <si>
    <t>AS201642</t>
  </si>
  <si>
    <t>AS201643</t>
  </si>
  <si>
    <t>AS201644</t>
  </si>
  <si>
    <t>AS201646</t>
  </si>
  <si>
    <t>AS201647</t>
  </si>
  <si>
    <t>TOTAL</t>
  </si>
  <si>
    <t>FRAIS EXCEPTIONNELS</t>
  </si>
  <si>
    <t>TONTINE</t>
  </si>
  <si>
    <t>RESTE</t>
  </si>
  <si>
    <t>PRÊT FONDS</t>
  </si>
  <si>
    <t>INTERET PRÊT FONDS</t>
  </si>
  <si>
    <t>INTERETPRET FONDS</t>
  </si>
  <si>
    <t>REMBOURSEMENTPRET FONDS</t>
  </si>
  <si>
    <t>PENALITE PRET FONDS</t>
  </si>
  <si>
    <t>REMBOURSEMENT PRÊT FONDS</t>
  </si>
  <si>
    <t>MODE VERSEMENT REMBOURSEMENT</t>
  </si>
  <si>
    <t>FONDS DE CAISSE</t>
  </si>
  <si>
    <t>RELIQUAT</t>
  </si>
  <si>
    <t>DOMOU FABIEN</t>
  </si>
  <si>
    <t>INSCRIPTION</t>
  </si>
  <si>
    <t>PENALITE VST ESPECES</t>
  </si>
  <si>
    <t>INSCRISPTION</t>
  </si>
  <si>
    <t>2017/2018</t>
  </si>
  <si>
    <t>AS201649</t>
  </si>
  <si>
    <t>MBOGNING TUGMA GUY</t>
  </si>
  <si>
    <t>AS201650</t>
  </si>
  <si>
    <t>DJOMO DOMO</t>
  </si>
  <si>
    <t>AS201651</t>
  </si>
  <si>
    <t>AS201652</t>
  </si>
  <si>
    <t>AS201653</t>
  </si>
  <si>
    <t>2018/2019</t>
  </si>
  <si>
    <t>NUMERO CHEQUE</t>
  </si>
  <si>
    <t>PENALITE VERST ESPECES</t>
  </si>
  <si>
    <t>PRET FONDS</t>
  </si>
  <si>
    <t>MONTANT EPARGNE+INTERET</t>
  </si>
  <si>
    <t>NKEPSEU DIEUDONNE</t>
  </si>
  <si>
    <t>PRÊT FONDS ENCOURS</t>
  </si>
  <si>
    <t>DJUOMBESSY ANTOINE</t>
  </si>
  <si>
    <t>KOUAMO VICTOR PEGUY</t>
  </si>
  <si>
    <t>KOUATCHO MESSACK</t>
  </si>
  <si>
    <t>HOTCHO BENJAMIN</t>
  </si>
  <si>
    <t xml:space="preserve">DJOMO JEAN PAUL </t>
  </si>
  <si>
    <t xml:space="preserve">FONDS DE CAISSES </t>
  </si>
  <si>
    <t>NJEPDJIO MBOUKAM DELUXE</t>
  </si>
  <si>
    <t>NGUIEMEGNI MATHIEU BLAISE</t>
  </si>
  <si>
    <t>NANGUEN MARTIN</t>
  </si>
  <si>
    <t>NDJOMO ETIENNE</t>
  </si>
  <si>
    <t>FOTSO THOMAS</t>
  </si>
  <si>
    <t>NKAMGANG JUSTIN DEJOLIE</t>
  </si>
  <si>
    <t>BAKOP ACHILLE</t>
  </si>
  <si>
    <t>BOUTCHOUANG WILLIAM</t>
  </si>
  <si>
    <t>CHINGUE FABRICE</t>
  </si>
  <si>
    <t>DJOUKWE NANGUEN GUY BLAISE</t>
  </si>
  <si>
    <t>DONHOU DAVID</t>
  </si>
  <si>
    <t>HENGUE PAUL OMER</t>
  </si>
  <si>
    <t>KEPSEU FRANCIS</t>
  </si>
  <si>
    <t>KOUAMOU EMMANUEL</t>
  </si>
  <si>
    <t>KOUAMOU MOISE</t>
  </si>
  <si>
    <t>LOWE JEAN</t>
  </si>
  <si>
    <t>NANKAM APPOLINAIRE</t>
  </si>
  <si>
    <t>NGANHOU JEAN</t>
  </si>
  <si>
    <t>NGONDIEP CLAUDE</t>
  </si>
  <si>
    <t>NGONGANG JEAN THEODORE</t>
  </si>
  <si>
    <t>NKEHE DAVID</t>
  </si>
  <si>
    <t>PATEGO NJOSSU GUSTAVE</t>
  </si>
  <si>
    <t>SEUNOU RICHELOT</t>
  </si>
  <si>
    <t>SIME BRICE</t>
  </si>
  <si>
    <t>SIME FONGANG ERIC</t>
  </si>
  <si>
    <t>SIME MATHIEU</t>
  </si>
  <si>
    <t>SIMO PIERRE</t>
  </si>
  <si>
    <t>TCHOUAMOU MATHIEU</t>
  </si>
  <si>
    <t>TCHOUANTE FRANCOIS</t>
  </si>
  <si>
    <t>TCHOUTOU NANA CLAUDE</t>
  </si>
  <si>
    <t>TIEYAM ERNEST</t>
  </si>
  <si>
    <t>YEPMOU JEAN JACQUES</t>
  </si>
  <si>
    <t>YOUMBI EMMANUEL</t>
  </si>
  <si>
    <t>TABLEAU RECAPITULATIF PRÊT</t>
  </si>
  <si>
    <t>A APURER</t>
  </si>
  <si>
    <t>REMBOURSE</t>
  </si>
  <si>
    <t>T30</t>
  </si>
  <si>
    <t>T60</t>
  </si>
  <si>
    <t>MONTANT A VERSER</t>
  </si>
  <si>
    <t>PENALITE PRÊT</t>
  </si>
  <si>
    <t>AVANCE</t>
  </si>
  <si>
    <t>NET A PAYER</t>
  </si>
  <si>
    <t>DETTE LANGWE</t>
  </si>
  <si>
    <t>COMPLEMENT FONDS</t>
  </si>
  <si>
    <t>T100</t>
  </si>
  <si>
    <t>TABLEAU RECAPITULATIF DISTRIBUTION EPARGNE 2019</t>
  </si>
  <si>
    <t>DISTRIBUTION INTERET 2018 ET 2019</t>
  </si>
  <si>
    <t xml:space="preserve"> INTERET</t>
  </si>
  <si>
    <t>SIMO FONGANG ERIC</t>
  </si>
  <si>
    <t>NOM_ET_PRENOM</t>
  </si>
  <si>
    <t>FONDSCAISSE</t>
  </si>
  <si>
    <t>PRÊT_FONDS</t>
  </si>
  <si>
    <t>PENALITE_PRÊT</t>
  </si>
  <si>
    <t>MONTANT_MUTUELLE</t>
  </si>
  <si>
    <t>INTERET</t>
  </si>
  <si>
    <t>NET_ A_ PAYER</t>
  </si>
  <si>
    <t>PRÊT_FONDS_ENCOURS</t>
  </si>
  <si>
    <t>INTERET ANTERIEUR</t>
  </si>
  <si>
    <t>2019/2020</t>
  </si>
  <si>
    <t>AS201654</t>
  </si>
  <si>
    <t>DJOMO JEAN PAUL  AVANCE 80 000 DJOMO JEAN PAUL</t>
  </si>
  <si>
    <t>RECAPITULATIF 2020</t>
  </si>
  <si>
    <t>AOUT 2018 A NOVEMBRE 2019</t>
  </si>
  <si>
    <t>DETTE CHINGUE</t>
  </si>
  <si>
    <t>MONTANT DETTE</t>
  </si>
  <si>
    <t>REMBOURSEMENT</t>
  </si>
  <si>
    <t>DATE</t>
  </si>
  <si>
    <t>TONTINE 30000</t>
  </si>
  <si>
    <t>RECOUVREMENT MUTUELLE</t>
  </si>
  <si>
    <t>ABSENCE EXCUSSE</t>
  </si>
  <si>
    <t>TOTAL PENALITE</t>
  </si>
  <si>
    <t>A REMETTRE</t>
  </si>
  <si>
    <t>SITUATION KEPSEU</t>
  </si>
  <si>
    <t>avance</t>
  </si>
  <si>
    <t>DEDUIT DETTE</t>
  </si>
  <si>
    <t>AS201655</t>
  </si>
  <si>
    <t>NOV2020//</t>
  </si>
  <si>
    <t>AS201656</t>
  </si>
  <si>
    <t>COMPLEMENT MUTUELLE</t>
  </si>
  <si>
    <t>TOTAL RETENU</t>
  </si>
  <si>
    <t>MONTANT PERCU</t>
  </si>
  <si>
    <t>NOUVEAU FONDS</t>
  </si>
  <si>
    <t xml:space="preserve">TOTAL </t>
  </si>
  <si>
    <t>TOTAL  A PERCEVOIR</t>
  </si>
  <si>
    <t>DJOMOU TCHANDA</t>
  </si>
  <si>
    <t>TCHEMHOU EMMANUEL</t>
  </si>
  <si>
    <t>AUTRES ADHERENT</t>
  </si>
  <si>
    <t>REPARTITION PENALITE REMBOURSEMENT PRÊT</t>
  </si>
  <si>
    <t>REPARTITION COLLATION</t>
  </si>
  <si>
    <t>TOTAL  RELIQUAT/INTERET/ EPARGNE/BONUS</t>
  </si>
  <si>
    <t>TOTAL RETENU SANCTION/MUTUELLE/COMPL FONDS</t>
  </si>
  <si>
    <t>DISTRIBUTION EPARGNE 2020</t>
  </si>
  <si>
    <t>T10</t>
  </si>
  <si>
    <t>T20</t>
  </si>
  <si>
    <t>T50</t>
  </si>
  <si>
    <t>T150</t>
  </si>
  <si>
    <t>TOTAUX</t>
  </si>
  <si>
    <t>ENTREE</t>
  </si>
  <si>
    <t>SORTIE</t>
  </si>
  <si>
    <t xml:space="preserve">SOLDE </t>
  </si>
  <si>
    <t>MOIS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</si>
  <si>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</si>
  <si>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</si>
  <si>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</si>
  <si>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</si>
  <si>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</si>
  <si>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</si>
  <si>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</si>
  <si>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</si>
  <si>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</si>
  <si>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</si>
  <si>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</si>
  <si>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</si>
  <si>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REPORT</t>
  </si>
  <si>
    <t>MODE VERSEMENT PRÊT</t>
  </si>
  <si>
    <t>PENALITE ECHEC TONTINE</t>
  </si>
  <si>
    <t>PENALITE RETARD TONTINE</t>
  </si>
  <si>
    <t>FONDES DE DEPART</t>
  </si>
  <si>
    <t>RETRAIT PARTIEL</t>
  </si>
  <si>
    <t>FONDS DEFINITIF</t>
  </si>
  <si>
    <t>K</t>
  </si>
  <si>
    <t>REMBOURSEMENT TRANSPORT</t>
  </si>
  <si>
    <t>SITUATION KOUAMO VICTOR PEGUY</t>
  </si>
  <si>
    <t>ACTIF</t>
  </si>
  <si>
    <t>MONTANT</t>
  </si>
  <si>
    <t>PASSIF</t>
  </si>
  <si>
    <t xml:space="preserve">FONDS </t>
  </si>
  <si>
    <t>PRÊT</t>
  </si>
  <si>
    <t>T75</t>
  </si>
  <si>
    <t>EPARGNE EXERCISE</t>
  </si>
  <si>
    <t>RETENUE SUR PRÊT ASELBY</t>
  </si>
  <si>
    <t>RETENUE SSURANCE</t>
  </si>
  <si>
    <t>RETENUE CONJOINT SURVIVANT</t>
  </si>
  <si>
    <t>RESULTAT DEFICITAIRE</t>
  </si>
  <si>
    <t>FEVRIER</t>
  </si>
  <si>
    <t>DETTE TYAM</t>
  </si>
  <si>
    <t>DETTE TCHOUTOU</t>
  </si>
  <si>
    <t>DETTE NJEPDIO</t>
  </si>
  <si>
    <t>DETTE TCHOUATE</t>
  </si>
  <si>
    <t>SOLDE</t>
  </si>
  <si>
    <t>DETTE KEHEP DAVID</t>
  </si>
  <si>
    <t>DETTE KOUAMO EMMANUEL</t>
  </si>
  <si>
    <t>DETTEFOGANG ERIC</t>
  </si>
  <si>
    <t>DETTE FOTSO THOMAS</t>
  </si>
  <si>
    <t>AOUT</t>
  </si>
  <si>
    <t>PAYE</t>
  </si>
  <si>
    <t>SEPT</t>
  </si>
  <si>
    <t>FOYER</t>
  </si>
  <si>
    <t>0CT</t>
  </si>
  <si>
    <t>SAISIE DECES PÈRE</t>
  </si>
  <si>
    <t>NOV</t>
  </si>
  <si>
    <t>SAISIE DECES EPOUSE</t>
  </si>
  <si>
    <t>DISTRIBUTION EPARGNE 2021</t>
  </si>
  <si>
    <t>MONTANT  A PERCEVOIR</t>
  </si>
  <si>
    <t>SOLDE FIN DEC 2021</t>
  </si>
  <si>
    <t>DEC</t>
  </si>
  <si>
    <t>REMBOURSEMENT PRÊT</t>
  </si>
  <si>
    <t>OK</t>
  </si>
  <si>
    <t>KOUATCHO</t>
  </si>
  <si>
    <t>CONTRIBUTION FOYER</t>
  </si>
  <si>
    <t>DEPENSE FONCTIONNEMENT</t>
  </si>
  <si>
    <t>FEVRIER 2022</t>
  </si>
  <si>
    <t>DETTE CONSOLITE</t>
  </si>
  <si>
    <t>REPARTITION INTERET T100 2019/2020</t>
  </si>
  <si>
    <t xml:space="preserve">MONTANT INTERET </t>
  </si>
  <si>
    <t>NBRE ADHERENT</t>
  </si>
  <si>
    <t xml:space="preserve">AYANT DROIT </t>
  </si>
  <si>
    <t>TCHOUAMO MATHIEU</t>
  </si>
  <si>
    <t>SIME MATHIEU 1 ET 2</t>
  </si>
  <si>
    <t>MBOGNING TIEPMA 1 ET 2</t>
  </si>
  <si>
    <t>KOUMOU MOISE</t>
  </si>
  <si>
    <t>INTERET T100</t>
  </si>
  <si>
    <t>COMMISSION BUREAU</t>
  </si>
  <si>
    <t>NKAMGAING DEJOLIE</t>
  </si>
  <si>
    <t>COLLATION RECEPTION</t>
  </si>
  <si>
    <t>AIDE</t>
  </si>
  <si>
    <t>AGIOS BANCAIRE</t>
  </si>
  <si>
    <t>DETAIL CHEQUE</t>
  </si>
  <si>
    <t>RAPPORT FINANCIER</t>
  </si>
  <si>
    <t>DEPENSE PENALITE VERSEMENT BANQUE</t>
  </si>
  <si>
    <t>RUBRIQUE</t>
  </si>
  <si>
    <t>REPORT A NOUVEAU</t>
  </si>
  <si>
    <t>ENTREES</t>
  </si>
  <si>
    <t>SORTIES</t>
  </si>
  <si>
    <t>MUTUELLE\COMPLEMENT MUTUEL</t>
  </si>
  <si>
    <t>COMPTE AFRILAND</t>
  </si>
  <si>
    <t>SYNTHESE DES COMPTES</t>
  </si>
  <si>
    <t>PENALITES</t>
  </si>
  <si>
    <t>TONTINE DE PRESENCE</t>
  </si>
  <si>
    <t>CHAISES</t>
  </si>
  <si>
    <t>DIVERS</t>
  </si>
  <si>
    <t>TENUES</t>
  </si>
  <si>
    <t>FONDS GELES</t>
  </si>
  <si>
    <t>INTERETS ET AUTRES</t>
  </si>
  <si>
    <t>NUMERO ORDRE</t>
  </si>
  <si>
    <t>FONDS DE CAISSE ET RELIQUAT</t>
  </si>
  <si>
    <t>DISPOSITION DES FONDS</t>
  </si>
  <si>
    <t>COMPTE CCA AU 30/12/2022</t>
  </si>
  <si>
    <t>COMPTE MC²(NON ACTUALISE)</t>
  </si>
  <si>
    <t>DETTE PREFINANCEMENT LA'AGWEU</t>
  </si>
  <si>
    <t>RECOUVREMENT POUR LA'AGWEU</t>
  </si>
  <si>
    <t>DETTE MR KOUATCHO</t>
  </si>
  <si>
    <t>RESTE A RECUPERE AU CONSEIL</t>
  </si>
  <si>
    <t>FONDS EN CIRCULATION</t>
  </si>
  <si>
    <t>DETTES TONTINES</t>
  </si>
  <si>
    <t>AS201623</t>
  </si>
  <si>
    <t>AS201612</t>
  </si>
  <si>
    <t>INTERET TONTINE 100</t>
  </si>
  <si>
    <t>FONDS MUTUELLE</t>
  </si>
  <si>
    <t>REMBOURSEMENT PRÊT AU 18 DEC 22</t>
  </si>
  <si>
    <t>ADHERANT SANS FONS ENDETTE</t>
  </si>
  <si>
    <t>MONTANT A VERSE POUR ETRE EN REGLE</t>
  </si>
  <si>
    <t>MONTANT DEF A PAECEVOIR</t>
  </si>
  <si>
    <t>FR</t>
  </si>
  <si>
    <t>FE</t>
  </si>
  <si>
    <t>EP</t>
  </si>
  <si>
    <t>AUGMENTATION</t>
  </si>
  <si>
    <t>AS201657</t>
  </si>
  <si>
    <t>AS201658</t>
  </si>
  <si>
    <t>DETTE TONTINE</t>
  </si>
  <si>
    <t>DISTRIBUTION EPARGNE 2022</t>
  </si>
  <si>
    <t>NOUBE ETIENNE</t>
  </si>
  <si>
    <t>SEUMO POLYCARPE</t>
  </si>
  <si>
    <t>YANTCHOU GERVAIS</t>
  </si>
  <si>
    <t>HODIEP JULES</t>
  </si>
  <si>
    <t>NDOMBOU JEAN CLAUDE</t>
  </si>
  <si>
    <t>SYNTHESE</t>
  </si>
  <si>
    <t>DATE REMBOURSEMENT</t>
  </si>
  <si>
    <t>INTERET A PAYER</t>
  </si>
  <si>
    <t>LIQUIDATION FONDS</t>
  </si>
  <si>
    <t>RECONDUCTION</t>
  </si>
  <si>
    <t>COMPLEMENT</t>
  </si>
  <si>
    <t>SOLDE FIN DEC 2023</t>
  </si>
  <si>
    <t>AS201660</t>
  </si>
  <si>
    <t>AS201659</t>
  </si>
  <si>
    <t>AS201661</t>
  </si>
  <si>
    <t>REPARTITION PROVISOIRE INTERET FONDS+EPARGNE</t>
  </si>
  <si>
    <t>INTERET PRET FONDS</t>
  </si>
  <si>
    <t>BASE DE CALCUL INTERET FONDS DEFINITIF</t>
  </si>
  <si>
    <t>INTERET  EXERCISE</t>
  </si>
  <si>
    <t>PRÊT DEFINITIF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</si>
</sst>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C]d\-mmm\-yy;@"/>
    <numFmt numFmtId="165" formatCode="#,##0;[Red]#,##0"/>
    <numFmt numFmtId="166" formatCode="[$-40C]mmm\-yy;@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Castellar"/>
      <family val="1"/>
    </font>
    <font>
      <sz val="11"/>
      <name val="Britannic Bold"/>
      <family val="2"/>
    </font>
    <font>
      <sz val="11"/>
      <name val="Calibri"/>
      <family val="2"/>
      <scheme val="minor"/>
    </font>
    <font>
      <sz val="14"/>
      <color theme="1"/>
      <name val="Britannic Bold"/>
      <family val="2"/>
    </font>
    <font>
      <sz val="11"/>
      <color rgb="FFFF0000"/>
      <name val="Calibri"/>
      <family val="2"/>
      <scheme val="minor"/>
    </font>
    <font>
      <sz val="11"/>
      <color rgb="FFFF0000"/>
      <name val="Britannic Bold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1"/>
      <color rgb="FF00B050"/>
      <name val="Britannic Bold"/>
      <family val="2"/>
    </font>
    <font>
      <sz val="12"/>
      <color theme="1"/>
      <name val="Britannic Bold"/>
      <family val="2"/>
    </font>
    <font>
      <b/>
      <sz val="14"/>
      <color theme="1"/>
      <name val="Britannic Bold"/>
      <family val="2"/>
    </font>
    <font>
      <b/>
      <sz val="10"/>
      <color rgb="FF000000"/>
      <name val="Arial Black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Castellar"/>
      <family val="1"/>
    </font>
    <font>
      <b/>
      <sz val="11"/>
      <color theme="9"/>
      <name val="Castellar"/>
      <family val="1"/>
    </font>
    <font>
      <b/>
      <sz val="14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1"/>
      <name val="Castellar"/>
      <family val="1"/>
    </font>
    <font>
      <sz val="20"/>
      <color theme="1"/>
      <name val="Britannic Bold"/>
      <family val="2"/>
    </font>
    <font>
      <sz val="20"/>
      <color theme="1"/>
      <name val="Calibri"/>
      <family val="2"/>
      <scheme val="minor"/>
    </font>
    <font>
      <sz val="16"/>
      <color theme="1"/>
      <name val="Britannic Bold"/>
      <family val="2"/>
    </font>
    <font>
      <sz val="18"/>
      <color theme="1"/>
      <name val="Britannic Bold"/>
      <family val="2"/>
    </font>
    <font>
      <sz val="18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6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b/>
      <sz val="14"/>
      <color rgb="FFFF0000"/>
      <name val="Britannic Bold"/>
      <family val="2"/>
    </font>
    <font>
      <sz val="14"/>
      <color rgb="FF00B050"/>
      <name val="Britannic Bold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176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 applyAlignment="1">
      <alignment wrapText="1"/>
    </xf>
    <xf numFmtId="3" fontId="1" fillId="0" borderId="0" xfId="0" applyNumberFormat="1" applyFont="1"/>
    <xf numFmtId="3" fontId="2" fillId="0" borderId="0" xfId="0" applyNumberFormat="1" applyFont="1"/>
    <xf numFmtId="3" fontId="4" fillId="0" borderId="0" xfId="0" applyNumberFormat="1" applyFont="1"/>
    <xf numFmtId="0" fontId="4" fillId="0" borderId="0" xfId="0" applyFont="1"/>
    <xf numFmtId="3" fontId="5" fillId="0" borderId="0" xfId="0" applyNumberFormat="1" applyFont="1"/>
    <xf numFmtId="3" fontId="1" fillId="0" borderId="0" xfId="0" applyNumberFormat="1" applyFont="1" applyAlignment="1">
      <alignment horizontal="center"/>
    </xf>
    <xf numFmtId="3" fontId="6" fillId="0" borderId="0" xfId="0" applyNumberFormat="1" applyFont="1"/>
    <xf numFmtId="0" fontId="7" fillId="0" borderId="0" xfId="0" applyFont="1"/>
    <xf numFmtId="3" fontId="7" fillId="0" borderId="0" xfId="0" applyNumberFormat="1" applyFont="1"/>
    <xf numFmtId="0" fontId="6" fillId="0" borderId="0" xfId="0" applyFont="1"/>
    <xf numFmtId="0" fontId="1" fillId="0" borderId="0" xfId="0" applyFont="1" applyBorder="1"/>
    <xf numFmtId="17" fontId="5" fillId="0" borderId="0" xfId="0" applyNumberFormat="1" applyFont="1" applyAlignment="1">
      <alignment horizontal="center" vertical="center"/>
    </xf>
    <xf numFmtId="0" fontId="9" fillId="0" borderId="0" xfId="0" applyFont="1"/>
    <xf numFmtId="3" fontId="0" fillId="0" borderId="1" xfId="0" applyNumberFormat="1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8" xfId="0" applyNumberFormat="1" applyBorder="1"/>
    <xf numFmtId="3" fontId="10" fillId="0" borderId="6" xfId="0" applyNumberFormat="1" applyFont="1" applyBorder="1"/>
    <xf numFmtId="3" fontId="10" fillId="0" borderId="7" xfId="0" applyNumberFormat="1" applyFont="1" applyBorder="1"/>
    <xf numFmtId="3" fontId="9" fillId="0" borderId="4" xfId="0" applyNumberFormat="1" applyFont="1" applyBorder="1"/>
    <xf numFmtId="3" fontId="9" fillId="0" borderId="5" xfId="0" applyNumberFormat="1" applyFont="1" applyBorder="1"/>
    <xf numFmtId="3" fontId="10" fillId="0" borderId="1" xfId="0" applyNumberFormat="1" applyFont="1" applyBorder="1"/>
    <xf numFmtId="0" fontId="11" fillId="0" borderId="0" xfId="0" applyFont="1"/>
    <xf numFmtId="3" fontId="12" fillId="2" borderId="2" xfId="0" applyNumberFormat="1" applyFont="1" applyFill="1" applyBorder="1"/>
    <xf numFmtId="3" fontId="12" fillId="2" borderId="3" xfId="0" applyNumberFormat="1" applyFont="1" applyFill="1" applyBorder="1" applyAlignment="1">
      <alignment horizontal="center" wrapText="1"/>
    </xf>
    <xf numFmtId="3" fontId="12" fillId="2" borderId="9" xfId="0" applyNumberFormat="1" applyFont="1" applyFill="1" applyBorder="1" applyAlignment="1">
      <alignment horizontal="center" wrapText="1"/>
    </xf>
    <xf numFmtId="3" fontId="10" fillId="0" borderId="10" xfId="0" applyNumberFormat="1" applyFont="1" applyFill="1" applyBorder="1"/>
    <xf numFmtId="3" fontId="10" fillId="0" borderId="0" xfId="0" applyNumberFormat="1" applyFont="1" applyFill="1" applyBorder="1"/>
    <xf numFmtId="3" fontId="12" fillId="2" borderId="10" xfId="0" applyNumberFormat="1" applyFont="1" applyFill="1" applyBorder="1" applyAlignment="1">
      <alignment horizontal="center" wrapText="1"/>
    </xf>
    <xf numFmtId="3" fontId="12" fillId="2" borderId="0" xfId="0" applyNumberFormat="1" applyFont="1" applyFill="1" applyBorder="1" applyAlignment="1">
      <alignment horizontal="center" wrapText="1"/>
    </xf>
    <xf numFmtId="0" fontId="15" fillId="0" borderId="0" xfId="0" applyFont="1"/>
    <xf numFmtId="3" fontId="16" fillId="0" borderId="0" xfId="0" applyNumberFormat="1" applyFont="1"/>
    <xf numFmtId="0" fontId="18" fillId="0" borderId="0" xfId="0" applyFont="1"/>
    <xf numFmtId="0" fontId="1" fillId="0" borderId="2" xfId="0" applyFont="1" applyBorder="1"/>
    <xf numFmtId="0" fontId="1" fillId="0" borderId="3" xfId="0" applyFont="1" applyBorder="1"/>
    <xf numFmtId="3" fontId="1" fillId="0" borderId="3" xfId="0" applyNumberFormat="1" applyFont="1" applyBorder="1" applyAlignment="1">
      <alignment wrapText="1"/>
    </xf>
    <xf numFmtId="3" fontId="1" fillId="0" borderId="9" xfId="0" applyNumberFormat="1" applyFont="1" applyBorder="1" applyAlignment="1">
      <alignment wrapText="1"/>
    </xf>
    <xf numFmtId="0" fontId="1" fillId="0" borderId="4" xfId="0" applyFont="1" applyBorder="1"/>
    <xf numFmtId="3" fontId="1" fillId="0" borderId="1" xfId="0" applyNumberFormat="1" applyFont="1" applyBorder="1"/>
    <xf numFmtId="3" fontId="1" fillId="0" borderId="5" xfId="0" applyNumberFormat="1" applyFont="1" applyBorder="1"/>
    <xf numFmtId="0" fontId="7" fillId="0" borderId="4" xfId="0" applyFont="1" applyBorder="1"/>
    <xf numFmtId="3" fontId="7" fillId="0" borderId="1" xfId="0" applyNumberFormat="1" applyFont="1" applyBorder="1"/>
    <xf numFmtId="0" fontId="3" fillId="0" borderId="4" xfId="0" applyFont="1" applyBorder="1"/>
    <xf numFmtId="3" fontId="3" fillId="0" borderId="1" xfId="0" applyNumberFormat="1" applyFont="1" applyBorder="1"/>
    <xf numFmtId="0" fontId="1" fillId="0" borderId="1" xfId="0" applyFont="1" applyBorder="1"/>
    <xf numFmtId="0" fontId="0" fillId="0" borderId="1" xfId="0" applyBorder="1"/>
    <xf numFmtId="0" fontId="0" fillId="0" borderId="5" xfId="0" applyBorder="1"/>
    <xf numFmtId="3" fontId="5" fillId="0" borderId="1" xfId="0" applyNumberFormat="1" applyFont="1" applyBorder="1"/>
    <xf numFmtId="0" fontId="1" fillId="0" borderId="6" xfId="0" applyFont="1" applyBorder="1"/>
    <xf numFmtId="3" fontId="17" fillId="0" borderId="7" xfId="0" applyNumberFormat="1" applyFont="1" applyBorder="1"/>
    <xf numFmtId="3" fontId="17" fillId="0" borderId="8" xfId="0" applyNumberFormat="1" applyFont="1" applyBorder="1"/>
    <xf numFmtId="0" fontId="19" fillId="0" borderId="0" xfId="0" applyFont="1"/>
    <xf numFmtId="164" fontId="0" fillId="0" borderId="0" xfId="0" applyNumberFormat="1" applyAlignment="1">
      <alignment horizontal="center"/>
    </xf>
    <xf numFmtId="14" fontId="0" fillId="0" borderId="0" xfId="0" applyNumberFormat="1"/>
    <xf numFmtId="0" fontId="8" fillId="0" borderId="0" xfId="0" applyFont="1"/>
    <xf numFmtId="17" fontId="6" fillId="0" borderId="0" xfId="0" applyNumberFormat="1" applyFont="1"/>
    <xf numFmtId="3" fontId="3" fillId="0" borderId="0" xfId="0" applyNumberFormat="1" applyFont="1"/>
    <xf numFmtId="17" fontId="0" fillId="0" borderId="0" xfId="0" applyNumberFormat="1"/>
    <xf numFmtId="164" fontId="8" fillId="0" borderId="0" xfId="0" applyNumberFormat="1" applyFont="1" applyAlignment="1">
      <alignment horizontal="center"/>
    </xf>
    <xf numFmtId="0" fontId="1" fillId="0" borderId="5" xfId="0" applyFont="1" applyBorder="1"/>
    <xf numFmtId="0" fontId="7" fillId="0" borderId="1" xfId="0" applyFont="1" applyBorder="1"/>
    <xf numFmtId="3" fontId="7" fillId="0" borderId="5" xfId="0" applyNumberFormat="1" applyFont="1" applyBorder="1"/>
    <xf numFmtId="3" fontId="2" fillId="0" borderId="1" xfId="0" applyNumberFormat="1" applyFont="1" applyBorder="1"/>
    <xf numFmtId="0" fontId="1" fillId="0" borderId="7" xfId="0" applyFont="1" applyBorder="1"/>
    <xf numFmtId="0" fontId="1" fillId="2" borderId="2" xfId="0" applyFont="1" applyFill="1" applyBorder="1"/>
    <xf numFmtId="0" fontId="1" fillId="2" borderId="3" xfId="0" applyFont="1" applyFill="1" applyBorder="1"/>
    <xf numFmtId="3" fontId="1" fillId="2" borderId="3" xfId="0" applyNumberFormat="1" applyFont="1" applyFill="1" applyBorder="1" applyAlignment="1">
      <alignment wrapText="1"/>
    </xf>
    <xf numFmtId="3" fontId="1" fillId="2" borderId="9" xfId="0" applyNumberFormat="1" applyFont="1" applyFill="1" applyBorder="1" applyAlignment="1">
      <alignment wrapText="1"/>
    </xf>
    <xf numFmtId="3" fontId="5" fillId="0" borderId="7" xfId="0" applyNumberFormat="1" applyFont="1" applyBorder="1"/>
    <xf numFmtId="0" fontId="0" fillId="2" borderId="2" xfId="0" applyFill="1" applyBorder="1"/>
    <xf numFmtId="0" fontId="0" fillId="2" borderId="4" xfId="0" applyFill="1" applyBorder="1"/>
    <xf numFmtId="0" fontId="0" fillId="2" borderId="1" xfId="0" applyFill="1" applyBorder="1"/>
    <xf numFmtId="0" fontId="0" fillId="2" borderId="5" xfId="0" applyFill="1" applyBorder="1"/>
    <xf numFmtId="0" fontId="0" fillId="0" borderId="4" xfId="0" applyBorder="1"/>
    <xf numFmtId="3" fontId="10" fillId="0" borderId="5" xfId="0" applyNumberFormat="1" applyFont="1" applyBorder="1"/>
    <xf numFmtId="0" fontId="0" fillId="0" borderId="6" xfId="0" applyBorder="1"/>
    <xf numFmtId="3" fontId="10" fillId="0" borderId="8" xfId="0" applyNumberFormat="1" applyFont="1" applyBorder="1"/>
    <xf numFmtId="0" fontId="10" fillId="0" borderId="5" xfId="0" applyFont="1" applyBorder="1"/>
    <xf numFmtId="0" fontId="1" fillId="0" borderId="0" xfId="0" applyFont="1" applyAlignment="1">
      <alignment horizontal="center" wrapText="1"/>
    </xf>
    <xf numFmtId="0" fontId="10" fillId="0" borderId="0" xfId="0" applyFont="1"/>
    <xf numFmtId="0" fontId="0" fillId="0" borderId="2" xfId="0" applyBorder="1"/>
    <xf numFmtId="0" fontId="0" fillId="0" borderId="3" xfId="0" applyBorder="1"/>
    <xf numFmtId="0" fontId="0" fillId="0" borderId="9" xfId="0" applyBorder="1"/>
    <xf numFmtId="3" fontId="2" fillId="0" borderId="5" xfId="0" applyNumberFormat="1" applyFont="1" applyBorder="1"/>
    <xf numFmtId="0" fontId="20" fillId="0" borderId="4" xfId="0" applyFont="1" applyBorder="1"/>
    <xf numFmtId="0" fontId="20" fillId="0" borderId="1" xfId="0" applyFont="1" applyBorder="1"/>
    <xf numFmtId="3" fontId="21" fillId="0" borderId="1" xfId="0" applyNumberFormat="1" applyFont="1" applyBorder="1"/>
    <xf numFmtId="3" fontId="21" fillId="0" borderId="5" xfId="0" applyNumberFormat="1" applyFont="1" applyBorder="1"/>
    <xf numFmtId="0" fontId="0" fillId="0" borderId="7" xfId="0" applyBorder="1"/>
    <xf numFmtId="165" fontId="8" fillId="0" borderId="7" xfId="0" applyNumberFormat="1" applyFont="1" applyBorder="1" applyProtection="1">
      <protection locked="0"/>
    </xf>
    <xf numFmtId="0" fontId="0" fillId="0" borderId="8" xfId="0" applyBorder="1"/>
    <xf numFmtId="0" fontId="9" fillId="0" borderId="7" xfId="0" applyFont="1" applyBorder="1"/>
    <xf numFmtId="3" fontId="22" fillId="0" borderId="0" xfId="0" applyNumberFormat="1" applyFont="1"/>
    <xf numFmtId="3" fontId="23" fillId="0" borderId="0" xfId="0" applyNumberFormat="1" applyFont="1"/>
    <xf numFmtId="3" fontId="24" fillId="0" borderId="0" xfId="0" applyNumberFormat="1" applyFont="1"/>
    <xf numFmtId="3" fontId="25" fillId="0" borderId="0" xfId="0" applyNumberFormat="1" applyFont="1"/>
    <xf numFmtId="3" fontId="20" fillId="0" borderId="0" xfId="0" applyNumberFormat="1" applyFont="1"/>
    <xf numFmtId="164" fontId="8" fillId="0" borderId="0" xfId="0" applyNumberFormat="1" applyFont="1" applyAlignment="1">
      <alignment horizontal="center"/>
    </xf>
    <xf numFmtId="3" fontId="26" fillId="0" borderId="0" xfId="0" applyNumberFormat="1" applyFont="1"/>
    <xf numFmtId="0" fontId="1" fillId="0" borderId="0" xfId="0" applyFont="1" applyAlignment="1">
      <alignment horizontal="center"/>
    </xf>
    <xf numFmtId="0" fontId="10" fillId="2" borderId="2" xfId="0" applyFont="1" applyFill="1" applyBorder="1"/>
    <xf numFmtId="0" fontId="10" fillId="2" borderId="3" xfId="0" applyFont="1" applyFill="1" applyBorder="1" applyAlignment="1">
      <alignment wrapText="1"/>
    </xf>
    <xf numFmtId="0" fontId="10" fillId="2" borderId="3" xfId="0" applyFont="1" applyFill="1" applyBorder="1"/>
    <xf numFmtId="0" fontId="10" fillId="2" borderId="9" xfId="0" applyFont="1" applyFill="1" applyBorder="1"/>
    <xf numFmtId="3" fontId="9" fillId="0" borderId="0" xfId="0" applyNumberFormat="1" applyFont="1"/>
    <xf numFmtId="0" fontId="0" fillId="0" borderId="0" xfId="0" applyAlignment="1">
      <alignment horizontal="center"/>
    </xf>
    <xf numFmtId="0" fontId="0" fillId="0" borderId="0" xfId="0" applyBorder="1"/>
    <xf numFmtId="3" fontId="1" fillId="0" borderId="0" xfId="0" applyNumberFormat="1" applyFont="1" applyBorder="1"/>
    <xf numFmtId="3" fontId="7" fillId="0" borderId="0" xfId="0" applyNumberFormat="1" applyFont="1" applyBorder="1"/>
    <xf numFmtId="3" fontId="6" fillId="0" borderId="0" xfId="0" applyNumberFormat="1" applyFont="1" applyBorder="1"/>
    <xf numFmtId="3" fontId="0" fillId="0" borderId="0" xfId="0" applyNumberFormat="1" applyBorder="1"/>
    <xf numFmtId="0" fontId="6" fillId="0" borderId="0" xfId="0" applyFont="1" applyBorder="1"/>
    <xf numFmtId="3" fontId="18" fillId="0" borderId="0" xfId="0" applyNumberFormat="1" applyFont="1" applyBorder="1"/>
    <xf numFmtId="0" fontId="10" fillId="2" borderId="4" xfId="0" applyFont="1" applyFill="1" applyBorder="1"/>
    <xf numFmtId="0" fontId="10" fillId="2" borderId="1" xfId="0" applyFont="1" applyFill="1" applyBorder="1"/>
    <xf numFmtId="0" fontId="10" fillId="2" borderId="1" xfId="0" applyFont="1" applyFill="1" applyBorder="1" applyAlignment="1">
      <alignment wrapText="1"/>
    </xf>
    <xf numFmtId="0" fontId="10" fillId="2" borderId="5" xfId="0" applyFont="1" applyFill="1" applyBorder="1"/>
    <xf numFmtId="3" fontId="1" fillId="0" borderId="7" xfId="0" applyNumberFormat="1" applyFont="1" applyBorder="1"/>
    <xf numFmtId="3" fontId="1" fillId="0" borderId="8" xfId="0" applyNumberFormat="1" applyFont="1" applyBorder="1"/>
    <xf numFmtId="3" fontId="32" fillId="0" borderId="1" xfId="0" applyNumberFormat="1" applyFont="1" applyBorder="1"/>
    <xf numFmtId="0" fontId="29" fillId="0" borderId="7" xfId="0" applyFont="1" applyBorder="1"/>
    <xf numFmtId="3" fontId="29" fillId="0" borderId="7" xfId="0" applyNumberFormat="1" applyFont="1" applyBorder="1"/>
    <xf numFmtId="3" fontId="32" fillId="0" borderId="3" xfId="0" applyNumberFormat="1" applyFont="1" applyBorder="1"/>
    <xf numFmtId="0" fontId="0" fillId="0" borderId="12" xfId="0" applyBorder="1"/>
    <xf numFmtId="0" fontId="1" fillId="0" borderId="13" xfId="0" applyFont="1" applyBorder="1"/>
    <xf numFmtId="3" fontId="1" fillId="0" borderId="13" xfId="0" applyNumberFormat="1" applyFont="1" applyBorder="1"/>
    <xf numFmtId="3" fontId="7" fillId="0" borderId="13" xfId="0" applyNumberFormat="1" applyFont="1" applyBorder="1"/>
    <xf numFmtId="3" fontId="1" fillId="0" borderId="14" xfId="0" applyNumberFormat="1" applyFont="1" applyBorder="1"/>
    <xf numFmtId="0" fontId="1" fillId="0" borderId="12" xfId="0" applyFont="1" applyBorder="1"/>
    <xf numFmtId="3" fontId="1" fillId="0" borderId="15" xfId="0" applyNumberFormat="1" applyFont="1" applyBorder="1"/>
    <xf numFmtId="3" fontId="1" fillId="2" borderId="10" xfId="0" applyNumberFormat="1" applyFont="1" applyFill="1" applyBorder="1" applyAlignment="1">
      <alignment wrapText="1"/>
    </xf>
    <xf numFmtId="3" fontId="1" fillId="2" borderId="0" xfId="0" applyNumberFormat="1" applyFont="1" applyFill="1" applyBorder="1" applyAlignment="1">
      <alignment wrapText="1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2" fillId="0" borderId="9" xfId="0" applyNumberFormat="1" applyFont="1" applyBorder="1"/>
    <xf numFmtId="3" fontId="32" fillId="0" borderId="5" xfId="0" applyNumberFormat="1" applyFont="1" applyBorder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6" fontId="16" fillId="0" borderId="0" xfId="0" applyNumberFormat="1" applyFont="1"/>
    <xf numFmtId="3" fontId="33" fillId="0" borderId="0" xfId="0" applyNumberFormat="1" applyFont="1"/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NumberFormat="1" applyBorder="1"/>
    <xf numFmtId="0" fontId="0" fillId="0" borderId="0" xfId="0" applyNumberFormat="1" applyBorder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4" fillId="0" borderId="0" xfId="0" applyNumberFormat="1" applyFont="1"/>
    <xf numFmtId="3" fontId="35" fillId="0" borderId="0" xfId="0" applyNumberFormat="1" applyFont="1"/>
    <xf numFmtId="3" fontId="36" fillId="0" borderId="0" xfId="0" applyNumberFormat="1" applyFont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7" fillId="0" borderId="0" xfId="0" applyNumberFormat="1" applyFont="1"/>
    <xf numFmtId="164" fontId="8" fillId="0" borderId="0" xfId="0" applyNumberFormat="1" applyFont="1" applyAlignment="1">
      <alignment horizontal="center"/>
    </xf>
    <xf numFmtId="3" fontId="27" fillId="0" borderId="0" xfId="0" applyNumberFormat="1" applyFont="1" applyAlignment="1">
      <alignment horizontal="center" wrapText="1"/>
    </xf>
    <xf numFmtId="0" fontId="28" fillId="0" borderId="0" xfId="0" applyFont="1" applyAlignment="1">
      <alignment horizontal="center"/>
    </xf>
    <xf numFmtId="166" fontId="8" fillId="0" borderId="0" xfId="0" applyNumberFormat="1" applyFont="1" applyAlignment="1">
      <alignment horizontal="center"/>
    </xf>
    <xf numFmtId="164" fontId="8" fillId="0" borderId="0" xfId="0" applyNumberFormat="1" applyFont="1" applyAlignment="1"/>
    <xf numFmtId="0" fontId="0" fillId="0" borderId="0" xfId="0" applyAlignment="1"/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30" fillId="0" borderId="0" xfId="0" applyNumberFormat="1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164" fontId="8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3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9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3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8" sqref="A8"/>
    </sheetView>
  </sheetViews>
  <sheetFormatPr baseColWidth="10" defaultRowHeight="15" x14ac:dyDescent="0.25"/>
  <sheetData>
    <row r="1" spans="1:1" x14ac:dyDescent="0.25">
      <c r="A1" t="s">
        <v>270</v>
      </c>
    </row>
    <row r="2" spans="1:1" x14ac:dyDescent="0.25">
      <c r="A2" t="s">
        <v>222</v>
      </c>
    </row>
    <row r="3" spans="1:1" x14ac:dyDescent="0.25">
      <c r="A3" t="s">
        <v>160</v>
      </c>
    </row>
    <row r="4" spans="1:1" x14ac:dyDescent="0.25">
      <c r="A4" t="s">
        <v>271</v>
      </c>
    </row>
    <row r="5" spans="1:1" x14ac:dyDescent="0.25">
      <c r="A5" t="s">
        <v>272</v>
      </c>
    </row>
    <row r="6" spans="1:1" x14ac:dyDescent="0.25">
      <c r="A6" t="s">
        <v>273</v>
      </c>
    </row>
  </sheetData>
  <pageMargins left="0.7" right="0.7" top="0.75" bottom="0.75" header="0.3" footer="0.3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8" sqref="A8"/>
    </sheetView>
  </sheetViews>
  <sheetFormatPr baseColWidth="10" defaultRowHeight="15" x14ac:dyDescent="0.25"/>
  <sheetData>
    <row r="1" spans="1:1" x14ac:dyDescent="0.25">
      <c r="A1" t="s">
        <v>270</v>
      </c>
    </row>
    <row r="2" spans="1:1" x14ac:dyDescent="0.25">
      <c r="A2" t="s">
        <v>222</v>
      </c>
    </row>
    <row r="3" spans="1:1" x14ac:dyDescent="0.25">
      <c r="A3" t="s">
        <v>160</v>
      </c>
    </row>
    <row r="4" spans="1:1" x14ac:dyDescent="0.25">
      <c r="A4" t="s">
        <v>271</v>
      </c>
    </row>
    <row r="5" spans="1:1" x14ac:dyDescent="0.25">
      <c r="A5" t="s">
        <v>272</v>
      </c>
    </row>
    <row r="6" spans="1:1" x14ac:dyDescent="0.25">
      <c r="A6" t="s">
        <v>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A4"/>
    </sheetView>
  </sheetViews>
  <sheetFormatPr baseColWidth="10" defaultColWidth="11" defaultRowHeight="15" x14ac:dyDescent="0.25"/>
  <sheetData>
    <row r="1" spans="1:1" x14ac:dyDescent="0.25">
      <c r="A1" t="s">
        <v>22</v>
      </c>
    </row>
    <row r="2" spans="1:1" x14ac:dyDescent="0.25">
      <c r="A2" t="s">
        <v>20</v>
      </c>
    </row>
    <row r="3" spans="1:1" x14ac:dyDescent="0.25">
      <c r="A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D29" sqref="D29"/>
    </sheetView>
  </sheetViews>
  <sheetFormatPr baseColWidth="10" defaultColWidth="11" defaultRowHeight="15" x14ac:dyDescent="0.25"/>
  <sheetData>
    <row r="1" spans="1:1" x14ac:dyDescent="0.25">
      <c r="A1" t="s">
        <v>22</v>
      </c>
    </row>
    <row r="2" spans="1:1" x14ac:dyDescent="0.25">
      <c r="A2" t="s">
        <v>20</v>
      </c>
    </row>
    <row r="3" spans="1:1" x14ac:dyDescent="0.25">
      <c r="A3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O36" activePane="bottomRight" state="frozen"/>
      <selection pane="topRight" activeCell="E1" sqref="E1"/>
      <selection pane="bottomLeft" activeCell="A6" sqref="A6"/>
      <selection pane="bottomRight" activeCell="Q38" sqref="Q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7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VLOOKUP(A7,[14]TONTMAI24!$A$6:$R$39,12,0)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7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VLOOKUP(A8,[14]TONTMAI24!$A$6:$R$39,12,0)</f>
        <v>0</v>
      </c>
      <c r="Q8" s="2">
        <f>VLOOKUP(A8,[15]TONTMAI24!$A$7:$P$23,10,0)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7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VLOOKUP(A9,[12]HISTOBQUEAVRIL24!$A$6:$G$46,3,0)</f>
        <v>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VLOOKUP(A9,[14]TONTMAI24!$A$6:$R$39,12,0)</f>
        <v>0</v>
      </c>
      <c r="Q9" s="2"/>
      <c r="R9" s="2">
        <f>VLOOKUP(A9,[16]TONTMAI24!$A$7:$P$20,10,0)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7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VLOOKUP(A10,[14]TONTMAI24!$A$6:$R$39,12,0)</f>
        <v>0</v>
      </c>
      <c r="Q10" s="2">
        <f>VLOOKUP(A10,[15]TONTMAI24!$A$7:$P$23,10,0)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7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VLOOKUP(A11,[12]HISTOBQUEAVRIL24!$A$6:$G$46,3,0)</f>
        <v>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VLOOKUP(A11,[14]TONTMAI24!$A$6:$R$39,12,0)</f>
        <v>0</v>
      </c>
      <c r="Q11" s="2">
        <f>VLOOKUP(A11,[15]TONTMAI24!$A$7:$P$23,10,0)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7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VLOOKUP(A12,[12]HISTOBQUEAVRIL24!$A$6:$G$46,3,0)</f>
        <v>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VLOOKUP(A12,[14]TONTMAI24!$A$6:$R$39,12,0)</f>
        <v>0</v>
      </c>
      <c r="Q12" s="2">
        <f>VLOOKUP(A12,[15]TONTMAI24!$A$7:$P$23,10,0)</f>
        <v>0</v>
      </c>
      <c r="R12" s="2">
        <f>VLOOKUP(A12,[16]TONTMAI24!$A$7:$P$20,10,0)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7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VLOOKUP(A13,[14]TONTMAI24!$A$6:$R$39,12,0)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7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VLOOKUP(A14,[14]TONTMAI24!$A$6:$R$39,12,0)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7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VLOOKUP(A15,[14]TONTMAI24!$A$6:$R$39,12,0)</f>
        <v>0</v>
      </c>
      <c r="Q15" s="2">
        <f>VLOOKUP(A15,[15]TONTMAI24!$A$7:$P$23,10,0)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7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VLOOKUP(A16,[12]HISTOBQUEAVRIL24!$A$6:$G$46,3,0)</f>
        <v>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VLOOKUP(A16,[14]TONTMAI24!$A$6:$R$39,12,0)</f>
        <v>0</v>
      </c>
      <c r="Q16" s="2">
        <f>VLOOKUP(A16,[15]TONTMAI24!$A$7:$P$23,10,0)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7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VLOOKUP(A17,[14]TONTMAI24!$A$6:$R$39,12,0)</f>
        <v>0</v>
      </c>
      <c r="Q17" s="2"/>
      <c r="R17" s="2">
        <f>VLOOKUP(A17,[16]TONTMAI24!$A$7:$P$20,10,0)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7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VLOOKUP(A18,[12]HISTOBQUEAVRIL24!$A$6:$G$46,3,0)</f>
        <v>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VLOOKUP(A18,[14]TONTMAI24!$A$6:$R$39,12,0)</f>
        <v>0</v>
      </c>
      <c r="Q18" s="2"/>
      <c r="R18" s="2">
        <f>VLOOKUP(A18,[16]TONTMAI24!$A$7:$P$20,10,0)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7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VLOOKUP(A19,[14]TONTMAI24!$A$6:$R$39,12,0)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7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VLOOKUP(A20,[14]TONTMAI24!$A$6:$R$39,12,0)</f>
        <v>0</v>
      </c>
      <c r="Q20" s="2">
        <f>VLOOKUP(A20,[15]TONTMAI24!$A$7:$P$23,10,0)</f>
        <v>0</v>
      </c>
      <c r="R20" s="2">
        <f>VLOOKUP(A20,[16]TONTMAI24!$A$7:$P$20,10,0)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7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VLOOKUP(A21,[14]TONTMAI24!$A$6:$R$39,12,0)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7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VLOOKUP(A22,[14]TONTMAI24!$A$6:$R$39,12,0)</f>
        <v>0</v>
      </c>
      <c r="Q22" s="2">
        <f>VLOOKUP(A22,[15]TONTMAI24!$A$7:$P$23,10,0)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7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VLOOKUP(A23,[12]HISTOBQUEAVRIL24!$A$6:$G$46,3,0)</f>
        <v>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VLOOKUP(A23,[14]TONTMAI24!$A$6:$R$39,12,0)</f>
        <v>0</v>
      </c>
      <c r="Q23" s="2"/>
      <c r="R23" s="2">
        <f>VLOOKUP(A23,[16]TONTMAI24!$A$7:$P$20,10,0)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7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VLOOKUP(A24,[14]TONTMAI24!$A$6:$R$39,12,0)</f>
        <v>0</v>
      </c>
      <c r="Q24" s="2">
        <f>VLOOKUP(A24,[15]TONTMAI24!$A$7:$P$23,10,0)</f>
        <v>0</v>
      </c>
      <c r="R24" s="2">
        <f>VLOOKUP(A24,[16]TONTMAI24!$A$7:$P$20,10,0)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7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VLOOKUP(A25,[12]HISTOBQUEAVRIL24!$A$6:$G$46,3,0)</f>
        <v>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VLOOKUP(A25,[14]TONTMAI24!$A$6:$R$39,12,0)</f>
        <v>0</v>
      </c>
      <c r="Q25" s="2">
        <f>VLOOKUP(A25,[15]TONTMAI24!$A$7:$P$23,10,0)</f>
        <v>0</v>
      </c>
      <c r="R25" s="2">
        <f>VLOOKUP(A25,[16]TONTMAI24!$A$7:$P$20,10,0)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7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VLOOKUP(A26,[12]HISTOBQUEAVRIL24!$A$6:$G$46,3,0)</f>
        <v>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VLOOKUP(A26,[14]TONTMAI24!$A$6:$R$39,12,0)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7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VLOOKUP(A27,[14]TONTMAI24!$A$6:$R$39,12,0)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7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VLOOKUP(A28,[14]TONTMAI24!$A$6:$R$39,12,0)</f>
        <v>0</v>
      </c>
      <c r="Q28" s="2">
        <f>VLOOKUP(A28,[15]TONTMAI24!$A$7:$P$23,10,0)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7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VLOOKUP(A29,[12]HISTOBQUEAVRIL24!$A$6:$G$46,3,0)</f>
        <v>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VLOOKUP(A29,[14]TONTMAI24!$A$6:$R$39,12,0)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7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VLOOKUP(A30,[14]TONTMAI24!$A$6:$R$39,12,0)</f>
        <v>0</v>
      </c>
      <c r="Q30" s="2"/>
      <c r="R30" s="2">
        <f>VLOOKUP(A30,[16]TONTMAI24!$A$7:$P$20,10,0)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7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VLOOKUP(A31,[14]TONTMAI24!$A$6:$R$39,12,0)</f>
        <v>0</v>
      </c>
      <c r="Q31" s="2"/>
      <c r="R31" s="2">
        <f>VLOOKUP(A31,[16]TONTMAI24!$A$7:$P$20,10,0)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7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VLOOKUP(A32,[14]TONTMAI24!$A$6:$R$39,12,0)</f>
        <v>0</v>
      </c>
      <c r="Q32" s="2">
        <f>VLOOKUP(A32,[15]TONTMAI24!$A$7:$P$23,10,0)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7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VLOOKUP(A33,[12]HISTOBQUEAVRIL24!$A$6:$G$46,3,0)</f>
        <v>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VLOOKUP(A33,[14]TONTMAI24!$A$6:$R$39,12,0)</f>
        <v>0</v>
      </c>
      <c r="Q33" s="2"/>
      <c r="R33" s="2">
        <f>VLOOKUP(A33,[16]TONTMAI24!$A$7:$P$20,10,0)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7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VLOOKUP(A34,[14]TONTMAI24!$A$6:$R$39,12,0)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7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VLOOKUP(A35,[12]HISTOBQUEAVRIL24!$A$6:$G$46,3,0)</f>
        <v>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VLOOKUP(A35,[14]TONTMAI24!$A$6:$R$39,12,0)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7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VLOOKUP(A36,[14]TONTMAI24!$A$6:$R$39,12,0)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7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VLOOKUP(A37,[14]TONTMAI24!$A$6:$R$39,12,0)</f>
        <v>0</v>
      </c>
      <c r="Q37" s="2"/>
      <c r="R37" s="2">
        <f>VLOOKUP(A37,[16]TONTMAI24!$A$7:$P$20,10,0)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7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VLOOKUP(A38,[14]TONTMAI24!$A$6:$R$39,12,0)</f>
        <v>0</v>
      </c>
      <c r="Q38" s="2">
        <f>VLOOKUP(A38,[15]TONTMAI24!$A$7:$P$23,10,0)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7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N33" activePane="bottomRight" state="frozen"/>
      <selection pane="topRight" activeCell="E1" sqref="E1"/>
      <selection pane="bottomLeft" activeCell="A6" sqref="A6"/>
      <selection pane="bottomRight" activeCell="Q38" sqref="Q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6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VLOOKUP(A7,[14]TONTJUIN24!$A$6:$R$39,12,0)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6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VLOOKUP(A8,[14]TONTJUIN24!$A$6:$R$39,12,0)</f>
        <v>0</v>
      </c>
      <c r="Q8" s="2">
        <f>VLOOKUP(A8,[15]TONTJUIN24!$A$7:$P$23,10,0)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6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VLOOKUP(A9,[12]HISTOBQUEAVRIL24!$A$6:$G$46,3,0)</f>
        <v>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VLOOKUP(A9,[14]TONTJUIN24!$A$6:$R$39,12,0)</f>
        <v>0</v>
      </c>
      <c r="Q9" s="2"/>
      <c r="R9" s="2">
        <f>VLOOKUP(A9,[16]TONTJUIN24!$A$7:$P$20,10,0)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6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VLOOKUP(A10,[14]TONTJUIN24!$A$6:$R$39,12,0)</f>
        <v>0</v>
      </c>
      <c r="Q10" s="2">
        <f>VLOOKUP(A10,[15]TONTJUIN24!$A$7:$P$23,10,0)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6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VLOOKUP(A11,[12]HISTOBQUEAVRIL24!$A$6:$G$46,3,0)</f>
        <v>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VLOOKUP(A11,[14]TONTJUIN24!$A$6:$R$39,12,0)</f>
        <v>0</v>
      </c>
      <c r="Q11" s="2">
        <f>VLOOKUP(A11,[15]TONTJUIN24!$A$7:$P$23,10,0)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6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VLOOKUP(A12,[12]HISTOBQUEAVRIL24!$A$6:$G$46,3,0)</f>
        <v>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VLOOKUP(A12,[14]TONTJUIN24!$A$6:$R$39,12,0)</f>
        <v>0</v>
      </c>
      <c r="Q12" s="2">
        <f>VLOOKUP(A12,[15]TONTJUIN24!$A$7:$P$23,10,0)</f>
        <v>0</v>
      </c>
      <c r="R12" s="2">
        <f>VLOOKUP(A12,[16]TONTJUIN24!$A$7:$P$20,10,0)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6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VLOOKUP(A13,[14]TONTJUIN24!$A$6:$R$39,12,0)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6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VLOOKUP(A14,[14]TONTJUIN24!$A$6:$R$39,12,0)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6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VLOOKUP(A15,[14]TONTJUIN24!$A$6:$R$39,12,0)</f>
        <v>0</v>
      </c>
      <c r="Q15" s="2">
        <f>VLOOKUP(A15,[15]TONTJUIN24!$A$7:$P$23,10,0)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6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VLOOKUP(A16,[12]HISTOBQUEAVRIL24!$A$6:$G$46,3,0)</f>
        <v>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VLOOKUP(A16,[14]TONTJUIN24!$A$6:$R$39,12,0)</f>
        <v>0</v>
      </c>
      <c r="Q16" s="2">
        <f>VLOOKUP(A16,[15]TONTJUIN24!$A$7:$P$23,10,0)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6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VLOOKUP(A17,[14]TONTJUIN24!$A$6:$R$39,12,0)</f>
        <v>0</v>
      </c>
      <c r="Q17" s="2"/>
      <c r="R17" s="2">
        <f>VLOOKUP(A17,[16]TONTJUIN24!$A$7:$P$20,10,0)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6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VLOOKUP(A18,[12]HISTOBQUEAVRIL24!$A$6:$G$46,3,0)</f>
        <v>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VLOOKUP(A18,[14]TONTJUIN24!$A$6:$R$39,12,0)</f>
        <v>0</v>
      </c>
      <c r="Q18" s="2"/>
      <c r="R18" s="2">
        <f>VLOOKUP(A18,[16]TONTJUIN24!$A$7:$P$20,10,0)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6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VLOOKUP(A19,[14]TONTJUIN24!$A$6:$R$39,12,0)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6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VLOOKUP(A20,[14]TONTJUIN24!$A$6:$R$39,12,0)</f>
        <v>0</v>
      </c>
      <c r="Q20" s="2">
        <f>VLOOKUP(A20,[15]TONTJUIN24!$A$7:$P$23,10,0)</f>
        <v>0</v>
      </c>
      <c r="R20" s="2">
        <f>VLOOKUP(A20,[16]TONTJUIN24!$A$7:$P$20,10,0)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VLOOKUP(A21,[14]TONTJUIN24!$A$6:$R$39,12,0)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VLOOKUP(A22,[14]TONTJUIN24!$A$6:$R$39,12,0)</f>
        <v>0</v>
      </c>
      <c r="Q22" s="2">
        <f>VLOOKUP(A22,[15]TONTJUIN24!$A$7:$P$23,10,0)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6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VLOOKUP(A23,[12]HISTOBQUEAVRIL24!$A$6:$G$46,3,0)</f>
        <v>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VLOOKUP(A23,[14]TONTJUIN24!$A$6:$R$39,12,0)</f>
        <v>0</v>
      </c>
      <c r="Q23" s="2"/>
      <c r="R23" s="2">
        <f>VLOOKUP(A23,[16]TONTJUIN24!$A$7:$P$20,10,0)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VLOOKUP(A24,[14]TONTJUIN24!$A$6:$R$39,12,0)</f>
        <v>0</v>
      </c>
      <c r="Q24" s="2">
        <f>VLOOKUP(A24,[15]TONTJUIN24!$A$7:$P$23,10,0)</f>
        <v>0</v>
      </c>
      <c r="R24" s="2">
        <f>VLOOKUP(A24,[16]TONTJUIN24!$A$7:$P$20,10,0)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6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VLOOKUP(A25,[12]HISTOBQUEAVRIL24!$A$6:$G$46,3,0)</f>
        <v>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VLOOKUP(A25,[14]TONTJUIN24!$A$6:$R$39,12,0)</f>
        <v>0</v>
      </c>
      <c r="Q25" s="2">
        <f>VLOOKUP(A25,[15]TONTJUIN24!$A$7:$P$23,10,0)</f>
        <v>0</v>
      </c>
      <c r="R25" s="2">
        <f>VLOOKUP(A25,[16]TONTJUIN24!$A$7:$P$20,10,0)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6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VLOOKUP(A26,[12]HISTOBQUEAVRIL24!$A$6:$G$46,3,0)</f>
        <v>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VLOOKUP(A26,[14]TONTJUIN24!$A$6:$R$39,12,0)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6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VLOOKUP(A27,[14]TONTJUIN24!$A$6:$R$39,12,0)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6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VLOOKUP(A28,[14]TONTJUIN24!$A$6:$R$39,12,0)</f>
        <v>0</v>
      </c>
      <c r="Q28" s="2">
        <f>VLOOKUP(A28,[15]TONTJUIN24!$A$7:$P$23,10,0)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6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VLOOKUP(A29,[12]HISTOBQUEAVRIL24!$A$6:$G$46,3,0)</f>
        <v>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VLOOKUP(A29,[14]TONTJUIN24!$A$6:$R$39,12,0)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6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VLOOKUP(A30,[14]TONTJUIN24!$A$6:$R$39,12,0)</f>
        <v>0</v>
      </c>
      <c r="Q30" s="2"/>
      <c r="R30" s="2">
        <f>VLOOKUP(A30,[16]TONTJUIN24!$A$7:$P$20,10,0)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VLOOKUP(A31,[14]TONTJUIN24!$A$6:$R$39,12,0)</f>
        <v>0</v>
      </c>
      <c r="Q31" s="2"/>
      <c r="R31" s="2">
        <f>VLOOKUP(A31,[16]TONTJUIN24!$A$7:$P$20,10,0)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VLOOKUP(A32,[14]TONTJUIN24!$A$6:$R$39,12,0)</f>
        <v>0</v>
      </c>
      <c r="Q32" s="2">
        <f>VLOOKUP(A32,[15]TONTJUIN24!$A$7:$P$23,10,0)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6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VLOOKUP(A33,[12]HISTOBQUEAVRIL24!$A$6:$G$46,3,0)</f>
        <v>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VLOOKUP(A33,[14]TONTJUIN24!$A$6:$R$39,12,0)</f>
        <v>0</v>
      </c>
      <c r="Q33" s="2"/>
      <c r="R33" s="2">
        <f>VLOOKUP(A33,[16]TONTJUIN24!$A$7:$P$20,10,0)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6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VLOOKUP(A34,[14]TONTJUIN24!$A$6:$R$39,12,0)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6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VLOOKUP(A35,[12]HISTOBQUEAVRIL24!$A$6:$G$46,3,0)</f>
        <v>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VLOOKUP(A35,[14]TONTJUIN24!$A$6:$R$39,12,0)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6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VLOOKUP(A36,[14]TONTJUIN24!$A$6:$R$39,12,0)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6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VLOOKUP(A37,[14]TONTJUIN24!$A$6:$R$39,12,0)</f>
        <v>0</v>
      </c>
      <c r="Q37" s="2"/>
      <c r="R37" s="2">
        <f>VLOOKUP(A37,[16]TONTJUIN24!$A$7:$P$20,10,0)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6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VLOOKUP(A38,[14]TONTJUIN24!$A$6:$R$39,12,0)</f>
        <v>0</v>
      </c>
      <c r="Q38" s="2">
        <f>VLOOKUP(A38,[15]TONTJUIN24!$A$7:$P$23,10,0)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6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N33" activePane="bottomRight" state="frozen"/>
      <selection pane="topRight" activeCell="E1" sqref="E1"/>
      <selection pane="bottomLeft" activeCell="A6" sqref="A6"/>
      <selection pane="bottomRight" activeCell="P38" sqref="P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5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VLOOKUP(A7,[14]TONTJUIL24!$A$6:$R$39,12,0)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5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VLOOKUP(A8,[14]TONTJUIL24!$A$6:$R$39,12,0)</f>
        <v>0</v>
      </c>
      <c r="Q8" s="2">
        <f>VLOOKUP(A8,[15]TONTJUIL24!$A$7:$P$23,10,0)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5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VLOOKUP(A9,[12]HISTOBQUEAVRIL24!$A$6:$G$46,3,0)</f>
        <v>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VLOOKUP(A9,[14]TONTJUIL24!$A$6:$R$39,12,0)</f>
        <v>0</v>
      </c>
      <c r="Q9" s="2"/>
      <c r="R9" s="2">
        <f>VLOOKUP(A9,[16]TONTJUIL24!$A$7:$P$20,10,0)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5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VLOOKUP(A10,[14]TONTJUIL24!$A$6:$R$39,12,0)</f>
        <v>0</v>
      </c>
      <c r="Q10" s="2">
        <f>VLOOKUP(A10,[15]TONTJUIL24!$A$7:$P$23,10,0)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5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VLOOKUP(A11,[12]HISTOBQUEAVRIL24!$A$6:$G$46,3,0)</f>
        <v>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VLOOKUP(A11,[14]TONTJUIL24!$A$6:$R$39,12,0)</f>
        <v>0</v>
      </c>
      <c r="Q11" s="2">
        <f>VLOOKUP(A11,[15]TONTJUIL24!$A$7:$P$23,10,0)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5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VLOOKUP(A12,[12]HISTOBQUEAVRIL24!$A$6:$G$46,3,0)</f>
        <v>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VLOOKUP(A12,[14]TONTJUIL24!$A$6:$R$39,12,0)</f>
        <v>0</v>
      </c>
      <c r="Q12" s="2">
        <f>VLOOKUP(A12,[15]TONTJUIL24!$A$7:$P$23,10,0)</f>
        <v>0</v>
      </c>
      <c r="R12" s="2">
        <f>VLOOKUP(A12,[16]TONTJUIL24!$A$7:$P$20,10,0)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5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VLOOKUP(A13,[14]TONTJUIL24!$A$6:$R$39,12,0)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5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VLOOKUP(A14,[14]TONTJUIL24!$A$6:$R$39,12,0)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5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VLOOKUP(A15,[14]TONTJUIL24!$A$6:$R$39,12,0)</f>
        <v>0</v>
      </c>
      <c r="Q15" s="2">
        <f>VLOOKUP(A15,[15]TONTJUIL24!$A$7:$P$23,10,0)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5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VLOOKUP(A16,[12]HISTOBQUEAVRIL24!$A$6:$G$46,3,0)</f>
        <v>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VLOOKUP(A16,[14]TONTJUIL24!$A$6:$R$39,12,0)</f>
        <v>0</v>
      </c>
      <c r="Q16" s="2">
        <f>VLOOKUP(A16,[15]TONTJUIL24!$A$7:$P$23,10,0)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5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VLOOKUP(A17,[14]TONTJUIL24!$A$6:$R$39,12,0)</f>
        <v>0</v>
      </c>
      <c r="Q17" s="2"/>
      <c r="R17" s="2">
        <f>VLOOKUP(A17,[16]TONTJUIL24!$A$7:$P$20,10,0)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5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VLOOKUP(A18,[12]HISTOBQUEAVRIL24!$A$6:$G$46,3,0)</f>
        <v>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VLOOKUP(A18,[14]TONTJUIL24!$A$6:$R$39,12,0)</f>
        <v>0</v>
      </c>
      <c r="Q18" s="2"/>
      <c r="R18" s="2">
        <f>VLOOKUP(A18,[16]TONTJUIL24!$A$7:$P$20,10,0)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VLOOKUP(A19,[14]TONTJUIL24!$A$6:$R$39,12,0)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5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VLOOKUP(A20,[14]TONTJUIL24!$A$6:$R$39,12,0)</f>
        <v>0</v>
      </c>
      <c r="Q20" s="2">
        <f>VLOOKUP(A20,[15]TONTJUIL24!$A$7:$P$23,10,0)</f>
        <v>0</v>
      </c>
      <c r="R20" s="2">
        <f>VLOOKUP(A20,[16]TONTJUIL24!$A$7:$P$20,10,0)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5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VLOOKUP(A21,[14]TONTJUIL24!$A$6:$R$39,12,0)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5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VLOOKUP(A22,[14]TONTJUIL24!$A$6:$R$39,12,0)</f>
        <v>0</v>
      </c>
      <c r="Q22" s="2">
        <f>VLOOKUP(A22,[15]TONTJUIL24!$A$7:$P$23,10,0)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5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VLOOKUP(A23,[12]HISTOBQUEAVRIL24!$A$6:$G$46,3,0)</f>
        <v>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VLOOKUP(A23,[14]TONTJUIL24!$A$6:$R$39,12,0)</f>
        <v>0</v>
      </c>
      <c r="Q23" s="2"/>
      <c r="R23" s="2">
        <f>VLOOKUP(A23,[16]TONTJUIL24!$A$7:$P$20,10,0)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5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VLOOKUP(A24,[14]TONTJUIL24!$A$6:$R$39,12,0)</f>
        <v>0</v>
      </c>
      <c r="Q24" s="2">
        <f>VLOOKUP(A24,[15]TONTJUIL24!$A$7:$P$23,10,0)</f>
        <v>0</v>
      </c>
      <c r="R24" s="2">
        <f>VLOOKUP(A24,[16]TONTJUIL24!$A$7:$P$20,10,0)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5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VLOOKUP(A25,[12]HISTOBQUEAVRIL24!$A$6:$G$46,3,0)</f>
        <v>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VLOOKUP(A25,[14]TONTJUIL24!$A$6:$R$39,12,0)</f>
        <v>0</v>
      </c>
      <c r="Q25" s="2">
        <f>VLOOKUP(A25,[15]TONTJUIL24!$A$7:$P$23,10,0)</f>
        <v>0</v>
      </c>
      <c r="R25" s="2">
        <f>VLOOKUP(A25,[16]TONTJUIL24!$A$7:$P$20,10,0)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5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VLOOKUP(A26,[12]HISTOBQUEAVRIL24!$A$6:$G$46,3,0)</f>
        <v>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VLOOKUP(A26,[14]TONTJUIL24!$A$6:$R$39,12,0)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5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VLOOKUP(A27,[14]TONTJUIL24!$A$6:$R$39,12,0)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5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VLOOKUP(A28,[14]TONTJUIL24!$A$6:$R$39,12,0)</f>
        <v>0</v>
      </c>
      <c r="Q28" s="2">
        <f>VLOOKUP(A28,[15]TONTJUIL24!$A$7:$P$23,10,0)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5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VLOOKUP(A29,[12]HISTOBQUEAVRIL24!$A$6:$G$46,3,0)</f>
        <v>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VLOOKUP(A29,[14]TONTJUIL24!$A$6:$R$39,12,0)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5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VLOOKUP(A30,[14]TONTJUIL24!$A$6:$R$39,12,0)</f>
        <v>0</v>
      </c>
      <c r="Q30" s="2"/>
      <c r="R30" s="2">
        <f>VLOOKUP(A30,[16]TONTJUIL24!$A$7:$P$20,10,0)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5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VLOOKUP(A31,[14]TONTJUIL24!$A$6:$R$39,12,0)</f>
        <v>0</v>
      </c>
      <c r="Q31" s="2"/>
      <c r="R31" s="2">
        <f>VLOOKUP(A31,[16]TONTJUIL24!$A$7:$P$20,10,0)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5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VLOOKUP(A32,[14]TONTJUIL24!$A$6:$R$39,12,0)</f>
        <v>0</v>
      </c>
      <c r="Q32" s="2">
        <f>VLOOKUP(A32,[15]TONTJUIL24!$A$7:$P$23,10,0)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5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VLOOKUP(A33,[12]HISTOBQUEAVRIL24!$A$6:$G$46,3,0)</f>
        <v>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VLOOKUP(A33,[14]TONTJUIL24!$A$6:$R$39,12,0)</f>
        <v>0</v>
      </c>
      <c r="Q33" s="2"/>
      <c r="R33" s="2">
        <f>VLOOKUP(A33,[16]TONTJUIL24!$A$7:$P$20,10,0)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5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VLOOKUP(A34,[14]TONTJUIL24!$A$6:$R$39,12,0)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5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VLOOKUP(A35,[12]HISTOBQUEAVRIL24!$A$6:$G$46,3,0)</f>
        <v>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VLOOKUP(A35,[14]TONTJUIL24!$A$6:$R$39,12,0)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5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VLOOKUP(A36,[14]TONTJUIL24!$A$6:$R$39,12,0)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5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VLOOKUP(A37,[14]TONTJUIL24!$A$6:$R$39,12,0)</f>
        <v>0</v>
      </c>
      <c r="Q37" s="2"/>
      <c r="R37" s="2">
        <f>VLOOKUP(A37,[16]TONTJUIL24!$A$7:$P$20,10,0)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5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VLOOKUP(A38,[14]TONTJUIL24!$A$6:$R$39,12,0)</f>
        <v>0</v>
      </c>
      <c r="Q38" s="2">
        <f>VLOOKUP(A38,[15]TONTJUIL24!$A$7:$P$23,10,0)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5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O36" activePane="bottomRight" state="frozen"/>
      <selection pane="topRight" activeCell="E1" sqref="E1"/>
      <selection pane="bottomLeft" activeCell="A6" sqref="A6"/>
      <selection pane="bottomRight" activeCell="R37" sqref="R37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4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VLOOKUP(A7,[14]TONTAOUT24!$A$6:$R$39,12,0)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4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VLOOKUP(A8,[14]TONTAOUT24!$A$6:$R$39,12,0)</f>
        <v>0</v>
      </c>
      <c r="Q8" s="2">
        <f>VLOOKUP(A8,[15]TONTAOUT24!$A$7:$P$23,10,0)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4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VLOOKUP(A9,[12]HISTOBQUEAVRIL24!$A$6:$G$46,3,0)</f>
        <v>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VLOOKUP(A9,[14]TONTAOUT24!$A$6:$R$39,12,0)</f>
        <v>0</v>
      </c>
      <c r="Q9" s="2"/>
      <c r="R9" s="2">
        <f>VLOOKUP(A9,[16]TONTAOUT24!$A$7:$P$20,10,0)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4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VLOOKUP(A10,[14]TONTAOUT24!$A$6:$R$39,12,0)</f>
        <v>0</v>
      </c>
      <c r="Q10" s="2">
        <f>VLOOKUP(A10,[15]TONTAOUT24!$A$7:$P$23,10,0)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4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VLOOKUP(A11,[12]HISTOBQUEAVRIL24!$A$6:$G$46,3,0)</f>
        <v>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VLOOKUP(A11,[14]TONTAOUT24!$A$6:$R$39,12,0)</f>
        <v>0</v>
      </c>
      <c r="Q11" s="2">
        <f>VLOOKUP(A11,[15]TONTAOUT24!$A$7:$P$23,10,0)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4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VLOOKUP(A12,[12]HISTOBQUEAVRIL24!$A$6:$G$46,3,0)</f>
        <v>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VLOOKUP(A12,[14]TONTAOUT24!$A$6:$R$39,12,0)</f>
        <v>0</v>
      </c>
      <c r="Q12" s="2">
        <f>VLOOKUP(A12,[15]TONTAOUT24!$A$7:$P$23,10,0)</f>
        <v>0</v>
      </c>
      <c r="R12" s="2">
        <f>VLOOKUP(A12,[16]TONTAOUT24!$A$7:$P$20,10,0)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4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VLOOKUP(A13,[14]TONTAOUT24!$A$6:$R$39,12,0)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4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VLOOKUP(A14,[14]TONTAOUT24!$A$6:$R$39,12,0)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4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VLOOKUP(A15,[14]TONTAOUT24!$A$6:$R$39,12,0)</f>
        <v>0</v>
      </c>
      <c r="Q15" s="2">
        <f>VLOOKUP(A15,[15]TONTAOUT24!$A$7:$P$23,10,0)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4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VLOOKUP(A16,[12]HISTOBQUEAVRIL24!$A$6:$G$46,3,0)</f>
        <v>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VLOOKUP(A16,[14]TONTAOUT24!$A$6:$R$39,12,0)</f>
        <v>0</v>
      </c>
      <c r="Q16" s="2">
        <f>VLOOKUP(A16,[15]TONTAOUT24!$A$7:$P$23,10,0)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4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VLOOKUP(A17,[14]TONTAOUT24!$A$6:$R$39,12,0)</f>
        <v>0</v>
      </c>
      <c r="Q17" s="2"/>
      <c r="R17" s="2">
        <f>VLOOKUP(A17,[16]TONTAOUT24!$A$7:$P$20,10,0)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4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VLOOKUP(A18,[12]HISTOBQUEAVRIL24!$A$6:$G$46,3,0)</f>
        <v>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VLOOKUP(A18,[14]TONTAOUT24!$A$6:$R$39,12,0)</f>
        <v>0</v>
      </c>
      <c r="Q18" s="2"/>
      <c r="R18" s="2">
        <f>VLOOKUP(A18,[16]TONTAOUT24!$A$7:$P$20,10,0)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4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VLOOKUP(A19,[14]TONTAOUT24!$A$6:$R$39,12,0)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4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VLOOKUP(A20,[14]TONTAOUT24!$A$6:$R$39,12,0)</f>
        <v>0</v>
      </c>
      <c r="Q20" s="2">
        <f>VLOOKUP(A20,[15]TONTAOUT24!$A$7:$P$23,10,0)</f>
        <v>0</v>
      </c>
      <c r="R20" s="2">
        <f>VLOOKUP(A20,[16]TONTAOUT24!$A$7:$P$20,10,0)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4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VLOOKUP(A21,[14]TONTAOUT24!$A$6:$R$39,12,0)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4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VLOOKUP(A22,[14]TONTAOUT24!$A$6:$R$39,12,0)</f>
        <v>0</v>
      </c>
      <c r="Q22" s="2">
        <f>VLOOKUP(A22,[15]TONTAOUT24!$A$7:$P$23,10,0)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4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VLOOKUP(A23,[12]HISTOBQUEAVRIL24!$A$6:$G$46,3,0)</f>
        <v>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VLOOKUP(A23,[14]TONTAOUT24!$A$6:$R$39,12,0)</f>
        <v>0</v>
      </c>
      <c r="Q23" s="2"/>
      <c r="R23" s="2">
        <f>VLOOKUP(A23,[16]TONTAOUT24!$A$7:$P$20,10,0)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4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VLOOKUP(A24,[14]TONTAOUT24!$A$6:$R$39,12,0)</f>
        <v>0</v>
      </c>
      <c r="Q24" s="2">
        <f>VLOOKUP(A24,[15]TONTAOUT24!$A$7:$P$23,10,0)</f>
        <v>0</v>
      </c>
      <c r="R24" s="2">
        <f>VLOOKUP(A24,[16]TONTAOUT24!$A$7:$P$20,10,0)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4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VLOOKUP(A25,[12]HISTOBQUEAVRIL24!$A$6:$G$46,3,0)</f>
        <v>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VLOOKUP(A25,[14]TONTAOUT24!$A$6:$R$39,12,0)</f>
        <v>0</v>
      </c>
      <c r="Q25" s="2">
        <f>VLOOKUP(A25,[15]TONTAOUT24!$A$7:$P$23,10,0)</f>
        <v>0</v>
      </c>
      <c r="R25" s="2">
        <f>VLOOKUP(A25,[16]TONTAOUT24!$A$7:$P$20,10,0)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4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VLOOKUP(A26,[12]HISTOBQUEAVRIL24!$A$6:$G$46,3,0)</f>
        <v>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VLOOKUP(A26,[14]TONTAOUT24!$A$6:$R$39,12,0)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4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VLOOKUP(A27,[14]TONTAOUT24!$A$6:$R$39,12,0)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4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VLOOKUP(A28,[14]TONTAOUT24!$A$6:$R$39,12,0)</f>
        <v>0</v>
      </c>
      <c r="Q28" s="2">
        <f>VLOOKUP(A28,[15]TONTAOUT24!$A$7:$P$23,10,0)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4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VLOOKUP(A29,[12]HISTOBQUEAVRIL24!$A$6:$G$46,3,0)</f>
        <v>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VLOOKUP(A29,[14]TONTAOUT24!$A$6:$R$39,12,0)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4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VLOOKUP(A30,[14]TONTAOUT24!$A$6:$R$39,12,0)</f>
        <v>0</v>
      </c>
      <c r="Q30" s="2"/>
      <c r="R30" s="2">
        <f>VLOOKUP(A30,[16]TONTAOUT24!$A$7:$P$20,10,0)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4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VLOOKUP(A31,[14]TONTAOUT24!$A$6:$R$39,12,0)</f>
        <v>0</v>
      </c>
      <c r="Q31" s="2"/>
      <c r="R31" s="2">
        <f>VLOOKUP(A31,[16]TONTAOUT24!$A$7:$P$20,10,0)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4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VLOOKUP(A32,[14]TONTAOUT24!$A$6:$R$39,12,0)</f>
        <v>0</v>
      </c>
      <c r="Q32" s="2">
        <f>VLOOKUP(A32,[15]TONTAOUT24!$A$7:$P$23,10,0)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4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VLOOKUP(A33,[12]HISTOBQUEAVRIL24!$A$6:$G$46,3,0)</f>
        <v>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VLOOKUP(A33,[14]TONTAOUT24!$A$6:$R$39,12,0)</f>
        <v>0</v>
      </c>
      <c r="Q33" s="2"/>
      <c r="R33" s="2">
        <f>VLOOKUP(A33,[16]TONTAOUT24!$A$7:$P$20,10,0)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4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VLOOKUP(A34,[14]TONTAOUT24!$A$6:$R$39,12,0)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4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VLOOKUP(A35,[12]HISTOBQUEAVRIL24!$A$6:$G$46,3,0)</f>
        <v>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VLOOKUP(A35,[14]TONTAOUT24!$A$6:$R$39,12,0)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4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VLOOKUP(A36,[14]TONTAOUT24!$A$6:$R$39,12,0)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4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VLOOKUP(A37,[14]TONTAOUT24!$A$6:$R$39,12,0)</f>
        <v>0</v>
      </c>
      <c r="Q37" s="2"/>
      <c r="R37" s="2">
        <f>VLOOKUP(A37,[16]TONTAOUT24!$A$7:$P$20,10,0)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4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VLOOKUP(A38,[14]TONTAOUT24!$A$6:$R$39,12,0)</f>
        <v>0</v>
      </c>
      <c r="Q38" s="2">
        <f>VLOOKUP(A38,[15]TONTAOUT24!$A$7:$P$23,10,0)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4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J6" activePane="bottomRight" state="frozen"/>
      <selection activeCell="B43" sqref="B43"/>
      <selection pane="topRight" activeCell="B43" sqref="B43"/>
      <selection pane="bottomLeft" activeCell="B43" sqref="B43"/>
      <selection pane="bottomRight" activeCell="J6" sqref="J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0"/>
      <c r="AM1" s="161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6"/>
      <c r="K4" s="162">
        <v>45521</v>
      </c>
      <c r="L4" s="162"/>
      <c r="M4" s="162"/>
      <c r="N4" s="162"/>
      <c r="O4" s="162"/>
      <c r="P4" s="162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VLOOKUP($A6,[24]HISTOAOUT24!$A$6:$BA$38,48,0)</f>
        <v>0</v>
      </c>
      <c r="F6" s="36">
        <f>MVTJUIL24!I6-E6+L6</f>
        <v>946220.58968855068</v>
      </c>
      <c r="G6" s="5">
        <f>IF(MVTJUIL24!I6+L6&gt;700000,(MVTJUIL24!I6-E6+L6),0)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VLOOKUP($A6,[24]HISTOAOUT24!$A$6:$AQ$42,22,0)</f>
        <v>0</v>
      </c>
      <c r="K6" s="36">
        <f>VLOOKUP($A6,[24]HISTOAOUT24!$A$6:$AU$38,45,0)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VLOOKUP($A6,[24]HISTOAOUT24!$A$6:$AU$38,7,0)</f>
        <v>0</v>
      </c>
      <c r="Q6" s="36">
        <f>VLOOKUP($A6,[24]HISTOAOUT24!$A$6:$AU$38,23,0)</f>
        <v>0</v>
      </c>
      <c r="R6" s="36">
        <f>VLOOKUP($A6,[24]HISTOAOUT24!$A$6:$AU$38,46,0)</f>
        <v>0</v>
      </c>
      <c r="S6" s="36">
        <f>VLOOKUP($A6,[24]HISTOAOUT24!$A$6:$AU$38,26,0)</f>
        <v>0</v>
      </c>
      <c r="T6" s="36">
        <f>VLOOKUP($A6,[24]HISTOAOUT24!$A$6:$BG$38,58,0)</f>
        <v>0</v>
      </c>
      <c r="U6" s="36">
        <f>VLOOKUP($A6,[24]HISTOAOUT24!$A$6:$AU$38,28,0)</f>
        <v>0</v>
      </c>
      <c r="V6" s="36">
        <f>VLOOKUP($A6,[24]HISTOAOUT24!$A$6:$AU$38,19,0)</f>
        <v>0</v>
      </c>
      <c r="W6" s="36">
        <f>VLOOKUP($A6,[24]HISTOAOUT24!$A$6:$AU$38,20,0)</f>
        <v>0</v>
      </c>
      <c r="X6" s="36">
        <f>VLOOKUP($A6,[24]HISTOAOUT24!$A$6:$AU$38,27,0)</f>
        <v>0</v>
      </c>
      <c r="Y6" s="36">
        <f>VLOOKUP($A6,[24]HISTOAOUT24!$A$6:$BM$38,33,0)</f>
        <v>0</v>
      </c>
      <c r="Z6" s="36">
        <f>VLOOKUP($A6,[24]HISTOAOUT24!$A$6:$BM$38,65,0)</f>
        <v>0</v>
      </c>
      <c r="AA6" s="36"/>
      <c r="AB6" s="36">
        <f>VLOOKUP($A6,[24]HISTOAOUT24!$A$6:$AU$38,43,0)</f>
        <v>0</v>
      </c>
      <c r="AC6" s="36">
        <f>VLOOKUP($A6,[24]HISTOAOUT24!$A$6:$AU$38,44,0)</f>
        <v>0</v>
      </c>
      <c r="AD6" s="36">
        <f>VLOOKUP($A6,[24]HISTOAOUT24!$A$6:$AU$38,47,0)</f>
        <v>0</v>
      </c>
      <c r="AE6" s="36">
        <f>VLOOKUP(A6,[24]HISTOAOUT24!$A$6:$BB$38,54,0)</f>
        <v>0</v>
      </c>
      <c r="AF6" s="36">
        <f>VLOOKUP($A6,[24]HISTOAOUT24!$A$6:$CA$38,60,0)</f>
        <v>0</v>
      </c>
      <c r="AG6" s="36">
        <f>VLOOKUP($A6,[24]HISTOAOUT24!$A$6:$CA$38,61,0)</f>
        <v>0</v>
      </c>
      <c r="AH6" s="36">
        <f>VLOOKUP($A6,[24]HISTOAOUT24!$A$6:$CA$38,62,0)</f>
        <v>0</v>
      </c>
      <c r="AI6" s="36">
        <f>VLOOKUP($A6,[24]HISTOAOUT24!$A$6:$CA$38,63,0)</f>
        <v>0</v>
      </c>
      <c r="AJ6" s="36">
        <f>VLOOKUP($A6,[24]HISTOAOUT24!$A$6:$CA$38,64,0)</f>
        <v>0</v>
      </c>
      <c r="AK6" s="36">
        <f>VLOOKUP($A6,[24]HISTOAOUT24!$A$6:$CA$38,65,0)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VLOOKUP($A7,[24]HISTOAOUT24!$A$6:$BA$38,48,0)</f>
        <v>0</v>
      </c>
      <c r="F7" s="36">
        <f>MVTJUIL24!I7-E7+L7</f>
        <v>760791.19348721951</v>
      </c>
      <c r="G7" s="5">
        <f>IF(MVTJUIL24!I7+L7&gt;700000,(MVTJUIL24!I7-E7+L7),0)</f>
        <v>760791.19348721951</v>
      </c>
      <c r="H7" s="36">
        <f t="shared" si="0"/>
        <v>0</v>
      </c>
      <c r="I7" s="6">
        <f t="shared" ref="I7:I39" si="2">F7+H7</f>
        <v>760791.19348721951</v>
      </c>
      <c r="J7" s="36">
        <f>VLOOKUP($A7,[24]HISTOAOUT24!$A$6:$AQ$42,22,0)</f>
        <v>0</v>
      </c>
      <c r="K7" s="36">
        <f>VLOOKUP($A7,[24]HISTOAOUT24!$A$6:$AU$38,45,0)</f>
        <v>0</v>
      </c>
      <c r="L7" s="36">
        <f>IF(K7=0,0,K7-(M7+N7+O7))</f>
        <v>0</v>
      </c>
      <c r="M7" s="36">
        <f>IF(K7=0,0,1000)</f>
        <v>0</v>
      </c>
      <c r="N7" s="36">
        <f t="shared" si="1"/>
        <v>0</v>
      </c>
      <c r="O7" s="36">
        <f>IF(K7=0,0,4000)</f>
        <v>0</v>
      </c>
      <c r="P7" s="36">
        <f>VLOOKUP($A7,[24]HISTOAOUT24!$A$6:$AU$38,7,0)</f>
        <v>0</v>
      </c>
      <c r="Q7" s="36">
        <f>VLOOKUP($A7,[24]HISTOAOUT24!$A$6:$AU$38,23,0)</f>
        <v>0</v>
      </c>
      <c r="R7" s="36">
        <f>VLOOKUP($A7,[24]HISTOAOUT24!$A$6:$AU$38,46,0)</f>
        <v>0</v>
      </c>
      <c r="S7" s="36">
        <f>VLOOKUP($A7,[24]HISTOAOUT24!$A$6:$AU$38,26,0)</f>
        <v>0</v>
      </c>
      <c r="T7" s="36">
        <f>VLOOKUP($A7,[24]HISTOAOUT24!$A$6:$BG$38,58,0)</f>
        <v>0</v>
      </c>
      <c r="U7" s="36">
        <f>VLOOKUP($A7,[24]HISTOAOUT24!$A$6:$AU$38,28,0)</f>
        <v>0</v>
      </c>
      <c r="V7" s="36">
        <f>VLOOKUP($A7,[24]HISTOAOUT24!$A$6:$AU$38,19,0)</f>
        <v>0</v>
      </c>
      <c r="W7" s="36">
        <f>VLOOKUP($A7,[24]HISTOAOUT24!$A$6:$AU$38,20,0)</f>
        <v>0</v>
      </c>
      <c r="X7" s="36">
        <f>VLOOKUP($A7,[24]HISTOAOUT24!$A$6:$AU$38,27,0)</f>
        <v>0</v>
      </c>
      <c r="Y7" s="36">
        <f>VLOOKUP($A7,[24]HISTOAOUT24!$A$6:$BM$38,33,0)</f>
        <v>0</v>
      </c>
      <c r="Z7" s="36">
        <f>VLOOKUP($A7,[24]HISTOAOUT24!$A$6:$BM$38,65,0)</f>
        <v>0</v>
      </c>
      <c r="AA7" s="36"/>
      <c r="AB7" s="36">
        <f>VLOOKUP($A7,[24]HISTOAOUT24!$A$6:$AU$38,43,0)</f>
        <v>0</v>
      </c>
      <c r="AC7" s="36">
        <f>VLOOKUP($A7,[24]HISTOAOUT24!$A$6:$AU$38,44,0)</f>
        <v>0</v>
      </c>
      <c r="AD7" s="36">
        <f>VLOOKUP($A7,[24]HISTOAOUT24!$A$6:$AU$38,47,0)</f>
        <v>0</v>
      </c>
      <c r="AE7" s="36">
        <f>VLOOKUP(A7,[24]HISTOAOUT24!$A$6:$BB$38,54,0)</f>
        <v>0</v>
      </c>
      <c r="AF7" s="36">
        <f>VLOOKUP($A7,[24]HISTOAOUT24!$A$6:$CA$38,60,0)</f>
        <v>0</v>
      </c>
      <c r="AG7" s="36">
        <f>VLOOKUP($A7,[24]HISTOAOUT24!$A$6:$CA$38,61,0)</f>
        <v>0</v>
      </c>
      <c r="AH7" s="36">
        <f>VLOOKUP($A7,[24]HISTOAOUT24!$A$6:$CA$38,62,0)</f>
        <v>0</v>
      </c>
      <c r="AI7" s="36">
        <f>VLOOKUP($A7,[24]HISTOAOUT24!$A$6:$CA$38,63,0)</f>
        <v>0</v>
      </c>
      <c r="AJ7" s="36">
        <f>VLOOKUP($A7,[24]HISTOAOUT24!$A$6:$CA$38,64,0)</f>
        <v>0</v>
      </c>
      <c r="AK7" s="36">
        <f>VLOOKUP($A7,[24]HISTOAOUT24!$A$6:$CA$38,65,0)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VLOOKUP($A8,[24]HISTOAOUT24!$A$6:$BA$38,48,0)</f>
        <v>0</v>
      </c>
      <c r="F8" s="36">
        <f>MVTJUIL24!I8-E8+L8</f>
        <v>801533.31236524263</v>
      </c>
      <c r="G8" s="5">
        <f>IF(MVTJUIL24!I8+L8&gt;700000,(MVTJUIL24!I8-E8+L8),0)</f>
        <v>801533.31236524263</v>
      </c>
      <c r="H8" s="36">
        <f t="shared" si="0"/>
        <v>0</v>
      </c>
      <c r="I8" s="6">
        <f t="shared" si="2"/>
        <v>801533.31236524263</v>
      </c>
      <c r="J8" s="36">
        <f>VLOOKUP($A8,[24]HISTOAOUT24!$A$6:$AQ$42,22,0)</f>
        <v>0</v>
      </c>
      <c r="K8" s="36">
        <f>VLOOKUP($A8,[24]HISTOAOUT24!$A$6:$AU$38,45,0)</f>
        <v>0</v>
      </c>
      <c r="L8" s="36">
        <f t="shared" ref="L8:L39" si="3">IF(K8=0,0,K8-(M8+N8+O8))</f>
        <v>0</v>
      </c>
      <c r="M8" s="36">
        <f t="shared" ref="M8:M39" si="4">IF(K8=0,0,1000)</f>
        <v>0</v>
      </c>
      <c r="N8" s="36">
        <f t="shared" si="1"/>
        <v>0</v>
      </c>
      <c r="O8" s="36">
        <f t="shared" ref="O8:O39" si="5">IF(K8=0,0,4000)</f>
        <v>0</v>
      </c>
      <c r="P8" s="36">
        <f>VLOOKUP($A8,[24]HISTOAOUT24!$A$6:$AU$38,7,0)</f>
        <v>0</v>
      </c>
      <c r="Q8" s="36">
        <f>VLOOKUP($A8,[24]HISTOAOUT24!$A$6:$AU$38,23,0)</f>
        <v>0</v>
      </c>
      <c r="R8" s="36">
        <f>VLOOKUP($A8,[24]HISTOAOUT24!$A$6:$AU$38,46,0)</f>
        <v>0</v>
      </c>
      <c r="S8" s="36">
        <f>VLOOKUP($A8,[24]HISTOAOUT24!$A$6:$AU$38,26,0)</f>
        <v>0</v>
      </c>
      <c r="T8" s="36">
        <f>VLOOKUP($A8,[24]HISTOAOUT24!$A$6:$BG$38,58,0)</f>
        <v>0</v>
      </c>
      <c r="U8" s="36">
        <f>VLOOKUP($A8,[24]HISTOAOUT24!$A$6:$AU$38,28,0)</f>
        <v>0</v>
      </c>
      <c r="V8" s="36">
        <f>VLOOKUP($A8,[24]HISTOAOUT24!$A$6:$AU$38,19,0)</f>
        <v>0</v>
      </c>
      <c r="W8" s="36">
        <f>VLOOKUP($A8,[24]HISTOAOUT24!$A$6:$AU$38,20,0)</f>
        <v>0</v>
      </c>
      <c r="X8" s="36">
        <f>VLOOKUP($A8,[24]HISTOAOUT24!$A$6:$AU$38,27,0)</f>
        <v>0</v>
      </c>
      <c r="Y8" s="36">
        <f>VLOOKUP($A8,[24]HISTOAOUT24!$A$6:$BM$38,33,0)</f>
        <v>0</v>
      </c>
      <c r="Z8" s="36">
        <f>VLOOKUP($A8,[24]HISTOAOUT24!$A$6:$BM$38,65,0)</f>
        <v>0</v>
      </c>
      <c r="AA8" s="36"/>
      <c r="AB8" s="36">
        <f>VLOOKUP($A8,[24]HISTOAOUT24!$A$6:$AU$38,43,0)</f>
        <v>0</v>
      </c>
      <c r="AC8" s="36">
        <f>VLOOKUP($A8,[24]HISTOAOUT24!$A$6:$AU$38,44,0)</f>
        <v>0</v>
      </c>
      <c r="AD8" s="36">
        <f>VLOOKUP($A8,[24]HISTOAOUT24!$A$6:$AU$38,47,0)</f>
        <v>0</v>
      </c>
      <c r="AE8" s="36">
        <f>VLOOKUP(A8,[24]HISTOAOUT24!$A$6:$BB$38,54,0)</f>
        <v>0</v>
      </c>
      <c r="AF8" s="36">
        <f>VLOOKUP($A8,[24]HISTOAOUT24!$A$6:$CA$38,60,0)</f>
        <v>0</v>
      </c>
      <c r="AG8" s="36">
        <f>VLOOKUP($A8,[24]HISTOAOUT24!$A$6:$CA$38,61,0)</f>
        <v>0</v>
      </c>
      <c r="AH8" s="36">
        <f>VLOOKUP($A8,[24]HISTOAOUT24!$A$6:$CA$38,62,0)</f>
        <v>0</v>
      </c>
      <c r="AI8" s="36">
        <f>VLOOKUP($A8,[24]HISTOAOUT24!$A$6:$CA$38,63,0)</f>
        <v>0</v>
      </c>
      <c r="AJ8" s="36">
        <f>VLOOKUP($A8,[24]HISTOAOUT24!$A$6:$CA$38,64,0)</f>
        <v>0</v>
      </c>
      <c r="AK8" s="36">
        <f>VLOOKUP($A8,[24]HISTOAOUT24!$A$6:$CA$38,65,0)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VLOOKUP($A9,[24]HISTOAOUT24!$A$6:$BA$38,48,0)</f>
        <v>0</v>
      </c>
      <c r="F9" s="36">
        <f>MVTJUIL24!I9-E9+L9</f>
        <v>861462.00686817756</v>
      </c>
      <c r="G9" s="5">
        <f>IF(MVTJUIL24!I9+L9&gt;700000,(MVTJUIL24!I9-E9+L9),0)</f>
        <v>861462.00686817756</v>
      </c>
      <c r="H9" s="36">
        <f t="shared" si="0"/>
        <v>0</v>
      </c>
      <c r="I9" s="6">
        <f t="shared" si="2"/>
        <v>861462.00686817756</v>
      </c>
      <c r="J9" s="36">
        <f>VLOOKUP($A9,[24]HISTOAOUT24!$A$6:$AQ$42,22,0)</f>
        <v>0</v>
      </c>
      <c r="K9" s="36">
        <f>VLOOKUP($A9,[24]HISTOAOUT24!$A$6:$AU$38,45,0)</f>
        <v>0</v>
      </c>
      <c r="L9" s="36">
        <f t="shared" si="3"/>
        <v>0</v>
      </c>
      <c r="M9" s="36">
        <f t="shared" si="4"/>
        <v>0</v>
      </c>
      <c r="N9" s="36">
        <f t="shared" si="1"/>
        <v>0</v>
      </c>
      <c r="O9" s="36">
        <f t="shared" si="5"/>
        <v>0</v>
      </c>
      <c r="P9" s="36">
        <f>VLOOKUP($A9,[24]HISTOAOUT24!$A$6:$AU$38,7,0)</f>
        <v>0</v>
      </c>
      <c r="Q9" s="36">
        <f>VLOOKUP($A9,[24]HISTOAOUT24!$A$6:$AU$38,23,0)</f>
        <v>0</v>
      </c>
      <c r="R9" s="36">
        <f>VLOOKUP($A9,[24]HISTOAOUT24!$A$6:$AU$38,46,0)</f>
        <v>0</v>
      </c>
      <c r="S9" s="36">
        <f>VLOOKUP($A9,[24]HISTOAOUT24!$A$6:$AU$38,26,0)</f>
        <v>0</v>
      </c>
      <c r="T9" s="36">
        <f>VLOOKUP($A9,[24]HISTOAOUT24!$A$6:$BG$38,58,0)</f>
        <v>0</v>
      </c>
      <c r="U9" s="36">
        <f>VLOOKUP($A9,[24]HISTOAOUT24!$A$6:$AU$38,28,0)</f>
        <v>0</v>
      </c>
      <c r="V9" s="36">
        <f>VLOOKUP($A9,[24]HISTOAOUT24!$A$6:$AU$38,19,0)</f>
        <v>0</v>
      </c>
      <c r="W9" s="36">
        <f>VLOOKUP($A9,[24]HISTOAOUT24!$A$6:$AU$38,20,0)</f>
        <v>0</v>
      </c>
      <c r="X9" s="36">
        <f>VLOOKUP($A9,[24]HISTOAOUT24!$A$6:$AU$38,27,0)</f>
        <v>0</v>
      </c>
      <c r="Y9" s="36">
        <f>VLOOKUP($A9,[24]HISTOAOUT24!$A$6:$BM$38,33,0)</f>
        <v>0</v>
      </c>
      <c r="Z9" s="36">
        <f>VLOOKUP($A9,[24]HISTOAOUT24!$A$6:$BM$38,65,0)</f>
        <v>0</v>
      </c>
      <c r="AA9" s="36"/>
      <c r="AB9" s="36">
        <f>VLOOKUP($A9,[24]HISTOAOUT24!$A$6:$AU$38,43,0)</f>
        <v>0</v>
      </c>
      <c r="AC9" s="36">
        <f>VLOOKUP($A9,[24]HISTOAOUT24!$A$6:$AU$38,44,0)</f>
        <v>0</v>
      </c>
      <c r="AD9" s="36">
        <f>VLOOKUP($A9,[24]HISTOAOUT24!$A$6:$AU$38,47,0)</f>
        <v>0</v>
      </c>
      <c r="AE9" s="36">
        <f>VLOOKUP(A9,[24]HISTOAOUT24!$A$6:$BB$38,54,0)</f>
        <v>0</v>
      </c>
      <c r="AF9" s="36">
        <f>VLOOKUP($A9,[24]HISTOAOUT24!$A$6:$CA$38,60,0)</f>
        <v>0</v>
      </c>
      <c r="AG9" s="36">
        <f>VLOOKUP($A9,[24]HISTOAOUT24!$A$6:$CA$38,61,0)</f>
        <v>0</v>
      </c>
      <c r="AH9" s="36">
        <f>VLOOKUP($A9,[24]HISTOAOUT24!$A$6:$CA$38,62,0)</f>
        <v>0</v>
      </c>
      <c r="AI9" s="36">
        <f>VLOOKUP($A9,[24]HISTOAOUT24!$A$6:$CA$38,63,0)</f>
        <v>0</v>
      </c>
      <c r="AJ9" s="36">
        <f>VLOOKUP($A9,[24]HISTOAOUT24!$A$6:$CA$38,64,0)</f>
        <v>0</v>
      </c>
      <c r="AK9" s="36">
        <f>VLOOKUP($A9,[24]HISTOAOUT24!$A$6:$CA$38,65,0)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VLOOKUP($A10,[24]HISTOAOUT24!$A$6:$BA$38,48,0)</f>
        <v>0</v>
      </c>
      <c r="F10" s="36">
        <f>MVTJUIL24!I10-E10+L10</f>
        <v>798805.20622596238</v>
      </c>
      <c r="G10" s="5">
        <f>IF(MVTJUIL24!I10+L10&gt;700000,(MVTJUIL24!I10-E10+L10),0)</f>
        <v>798805.20622596238</v>
      </c>
      <c r="H10" s="36">
        <f t="shared" si="0"/>
        <v>0</v>
      </c>
      <c r="I10" s="6">
        <f t="shared" si="2"/>
        <v>798805.20622596238</v>
      </c>
      <c r="J10" s="36">
        <f>VLOOKUP($A10,[24]HISTOAOUT24!$A$6:$AQ$42,22,0)</f>
        <v>0</v>
      </c>
      <c r="K10" s="36">
        <f>VLOOKUP($A10,[24]HISTOAOUT24!$A$6:$AU$38,45,0)</f>
        <v>0</v>
      </c>
      <c r="L10" s="36">
        <f t="shared" si="3"/>
        <v>0</v>
      </c>
      <c r="M10" s="36">
        <f t="shared" si="4"/>
        <v>0</v>
      </c>
      <c r="N10" s="36">
        <f t="shared" si="1"/>
        <v>0</v>
      </c>
      <c r="O10" s="36">
        <f t="shared" si="5"/>
        <v>0</v>
      </c>
      <c r="P10" s="36">
        <f>VLOOKUP($A10,[24]HISTOAOUT24!$A$6:$AU$38,7,0)</f>
        <v>0</v>
      </c>
      <c r="Q10" s="36">
        <f>VLOOKUP($A10,[24]HISTOAOUT24!$A$6:$AU$38,23,0)</f>
        <v>0</v>
      </c>
      <c r="R10" s="36">
        <f>VLOOKUP($A10,[24]HISTOAOUT24!$A$6:$AU$38,46,0)</f>
        <v>0</v>
      </c>
      <c r="S10" s="36">
        <f>VLOOKUP($A10,[24]HISTOAOUT24!$A$6:$AU$38,26,0)</f>
        <v>0</v>
      </c>
      <c r="T10" s="36">
        <f>VLOOKUP($A10,[24]HISTOAOUT24!$A$6:$BG$38,58,0)</f>
        <v>0</v>
      </c>
      <c r="U10" s="36">
        <f>VLOOKUP($A10,[24]HISTOAOUT24!$A$6:$AU$38,28,0)</f>
        <v>0</v>
      </c>
      <c r="V10" s="36">
        <f>VLOOKUP($A10,[24]HISTOAOUT24!$A$6:$AU$38,19,0)</f>
        <v>0</v>
      </c>
      <c r="W10" s="36">
        <f>VLOOKUP($A10,[24]HISTOAOUT24!$A$6:$AU$38,20,0)</f>
        <v>0</v>
      </c>
      <c r="X10" s="36">
        <f>VLOOKUP($A10,[24]HISTOAOUT24!$A$6:$AU$38,27,0)</f>
        <v>0</v>
      </c>
      <c r="Y10" s="36">
        <f>VLOOKUP($A10,[24]HISTOAOUT24!$A$6:$BM$38,33,0)</f>
        <v>0</v>
      </c>
      <c r="Z10" s="36">
        <f>VLOOKUP($A10,[24]HISTOAOUT24!$A$6:$BM$38,65,0)</f>
        <v>0</v>
      </c>
      <c r="AA10" s="36"/>
      <c r="AB10" s="36">
        <f>VLOOKUP($A10,[24]HISTOAOUT24!$A$6:$AU$38,43,0)</f>
        <v>0</v>
      </c>
      <c r="AC10" s="36">
        <f>VLOOKUP($A10,[24]HISTOAOUT24!$A$6:$AU$38,44,0)</f>
        <v>0</v>
      </c>
      <c r="AD10" s="36">
        <f>VLOOKUP($A10,[24]HISTOAOUT24!$A$6:$AU$38,47,0)</f>
        <v>0</v>
      </c>
      <c r="AE10" s="36">
        <f>VLOOKUP(A10,[24]HISTOAOUT24!$A$6:$BB$38,54,0)</f>
        <v>0</v>
      </c>
      <c r="AF10" s="36">
        <f>VLOOKUP($A10,[24]HISTOAOUT24!$A$6:$CA$38,60,0)</f>
        <v>0</v>
      </c>
      <c r="AG10" s="36">
        <f>VLOOKUP($A10,[24]HISTOAOUT24!$A$6:$CA$38,61,0)</f>
        <v>0</v>
      </c>
      <c r="AH10" s="36">
        <f>VLOOKUP($A10,[24]HISTOAOUT24!$A$6:$CA$38,62,0)</f>
        <v>0</v>
      </c>
      <c r="AI10" s="36">
        <f>VLOOKUP($A10,[24]HISTOAOUT24!$A$6:$CA$38,63,0)</f>
        <v>0</v>
      </c>
      <c r="AJ10" s="36">
        <f>VLOOKUP($A10,[24]HISTOAOUT24!$A$6:$CA$38,64,0)</f>
        <v>0</v>
      </c>
      <c r="AK10" s="36">
        <f>VLOOKUP($A10,[24]HISTOAOUT24!$A$6:$CA$38,65,0)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VLOOKUP($A11,[24]HISTOAOUT24!$A$6:$BA$38,48,0)</f>
        <v>0</v>
      </c>
      <c r="F11" s="36">
        <f>MVTJUIL24!I11-E11+L11</f>
        <v>806855.82895949238</v>
      </c>
      <c r="G11" s="5">
        <f>IF(MVTJUIL24!I11+L11&gt;700000,(MVTJUIL24!I11-E11+L11),0)</f>
        <v>806855.82895949238</v>
      </c>
      <c r="H11" s="36">
        <f t="shared" si="0"/>
        <v>0</v>
      </c>
      <c r="I11" s="6">
        <f t="shared" si="2"/>
        <v>806855.82895949238</v>
      </c>
      <c r="J11" s="36">
        <f>VLOOKUP($A11,[24]HISTOAOUT24!$A$6:$AQ$42,22,0)</f>
        <v>0</v>
      </c>
      <c r="K11" s="36">
        <f>VLOOKUP($A11,[24]HISTOAOUT24!$A$6:$AU$38,45,0)</f>
        <v>0</v>
      </c>
      <c r="L11" s="36">
        <f t="shared" si="3"/>
        <v>0</v>
      </c>
      <c r="M11" s="36">
        <f t="shared" si="4"/>
        <v>0</v>
      </c>
      <c r="N11" s="36">
        <f t="shared" si="1"/>
        <v>0</v>
      </c>
      <c r="O11" s="36">
        <f t="shared" si="5"/>
        <v>0</v>
      </c>
      <c r="P11" s="36">
        <f>VLOOKUP($A11,[24]HISTOAOUT24!$A$6:$AU$38,7,0)</f>
        <v>0</v>
      </c>
      <c r="Q11" s="36">
        <f>VLOOKUP($A11,[24]HISTOAOUT24!$A$6:$AU$38,23,0)</f>
        <v>0</v>
      </c>
      <c r="R11" s="36">
        <f>VLOOKUP($A11,[24]HISTOAOUT24!$A$6:$AU$38,46,0)</f>
        <v>0</v>
      </c>
      <c r="S11" s="36">
        <f>VLOOKUP($A11,[24]HISTOAOUT24!$A$6:$AU$38,26,0)</f>
        <v>0</v>
      </c>
      <c r="T11" s="36">
        <f>VLOOKUP($A11,[24]HISTOAOUT24!$A$6:$BG$38,58,0)</f>
        <v>0</v>
      </c>
      <c r="U11" s="36">
        <f>VLOOKUP($A11,[24]HISTOAOUT24!$A$6:$AU$38,28,0)</f>
        <v>0</v>
      </c>
      <c r="V11" s="36">
        <f>VLOOKUP($A11,[24]HISTOAOUT24!$A$6:$AU$38,19,0)</f>
        <v>0</v>
      </c>
      <c r="W11" s="36">
        <f>VLOOKUP($A11,[24]HISTOAOUT24!$A$6:$AU$38,20,0)</f>
        <v>0</v>
      </c>
      <c r="X11" s="36">
        <f>VLOOKUP($A11,[24]HISTOAOUT24!$A$6:$AU$38,27,0)</f>
        <v>0</v>
      </c>
      <c r="Y11" s="36">
        <f>VLOOKUP($A11,[24]HISTOAOUT24!$A$6:$BM$38,33,0)</f>
        <v>0</v>
      </c>
      <c r="Z11" s="36">
        <f>VLOOKUP($A11,[24]HISTOAOUT24!$A$6:$BM$38,65,0)</f>
        <v>0</v>
      </c>
      <c r="AA11" s="36"/>
      <c r="AB11" s="36">
        <f>VLOOKUP($A11,[24]HISTOAOUT24!$A$6:$AU$38,43,0)</f>
        <v>0</v>
      </c>
      <c r="AC11" s="36">
        <f>VLOOKUP($A11,[24]HISTOAOUT24!$A$6:$AU$38,44,0)</f>
        <v>0</v>
      </c>
      <c r="AD11" s="36">
        <f>VLOOKUP($A11,[24]HISTOAOUT24!$A$6:$AU$38,47,0)</f>
        <v>0</v>
      </c>
      <c r="AE11" s="36">
        <f>VLOOKUP(A11,[24]HISTOAOUT24!$A$6:$BB$38,54,0)</f>
        <v>0</v>
      </c>
      <c r="AF11" s="36">
        <f>VLOOKUP($A11,[24]HISTOAOUT24!$A$6:$CA$38,60,0)</f>
        <v>0</v>
      </c>
      <c r="AG11" s="36">
        <f>VLOOKUP($A11,[24]HISTOAOUT24!$A$6:$CA$38,61,0)</f>
        <v>0</v>
      </c>
      <c r="AH11" s="36">
        <f>VLOOKUP($A11,[24]HISTOAOUT24!$A$6:$CA$38,62,0)</f>
        <v>0</v>
      </c>
      <c r="AI11" s="36">
        <f>VLOOKUP($A11,[24]HISTOAOUT24!$A$6:$CA$38,63,0)</f>
        <v>0</v>
      </c>
      <c r="AJ11" s="36">
        <f>VLOOKUP($A11,[24]HISTOAOUT24!$A$6:$CA$38,64,0)</f>
        <v>0</v>
      </c>
      <c r="AK11" s="36">
        <f>VLOOKUP($A11,[24]HISTOAOUT24!$A$6:$CA$38,65,0)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VLOOKUP($A12,[24]HISTOAOUT24!$A$6:$BA$38,48,0)</f>
        <v>0</v>
      </c>
      <c r="F12" s="36">
        <f>MVTJUIL24!I12-E12+L12</f>
        <v>835100.14741339569</v>
      </c>
      <c r="G12" s="5">
        <f>IF(MVTJUIL24!I12+L12&gt;700000,(MVTJUIL24!I12-E12+L12),0)</f>
        <v>835100.14741339569</v>
      </c>
      <c r="H12" s="36">
        <f t="shared" si="0"/>
        <v>0</v>
      </c>
      <c r="I12" s="6">
        <f t="shared" si="2"/>
        <v>835100.14741339569</v>
      </c>
      <c r="J12" s="36">
        <f>VLOOKUP($A12,[24]HISTOAOUT24!$A$6:$AQ$42,22,0)</f>
        <v>0</v>
      </c>
      <c r="K12" s="36">
        <f>VLOOKUP($A12,[24]HISTOAOUT24!$A$6:$AU$38,45,0)</f>
        <v>0</v>
      </c>
      <c r="L12" s="36">
        <f t="shared" si="3"/>
        <v>0</v>
      </c>
      <c r="M12" s="36">
        <f t="shared" si="4"/>
        <v>0</v>
      </c>
      <c r="N12" s="36">
        <f t="shared" si="1"/>
        <v>0</v>
      </c>
      <c r="O12" s="36">
        <f t="shared" si="5"/>
        <v>0</v>
      </c>
      <c r="P12" s="36">
        <f>VLOOKUP($A12,[24]HISTOAOUT24!$A$6:$AU$38,7,0)</f>
        <v>0</v>
      </c>
      <c r="Q12" s="36">
        <f>VLOOKUP($A12,[24]HISTOAOUT24!$A$6:$AU$38,23,0)</f>
        <v>0</v>
      </c>
      <c r="R12" s="36">
        <f>VLOOKUP($A12,[24]HISTOAOUT24!$A$6:$AU$38,46,0)</f>
        <v>0</v>
      </c>
      <c r="S12" s="36">
        <f>VLOOKUP($A12,[24]HISTOAOUT24!$A$6:$AU$38,26,0)</f>
        <v>0</v>
      </c>
      <c r="T12" s="36">
        <f>VLOOKUP($A12,[24]HISTOAOUT24!$A$6:$BG$38,58,0)</f>
        <v>0</v>
      </c>
      <c r="U12" s="36">
        <f>VLOOKUP($A12,[24]HISTOAOUT24!$A$6:$AU$38,28,0)</f>
        <v>0</v>
      </c>
      <c r="V12" s="36">
        <f>VLOOKUP($A12,[24]HISTOAOUT24!$A$6:$AU$38,19,0)</f>
        <v>0</v>
      </c>
      <c r="W12" s="36">
        <f>VLOOKUP($A12,[24]HISTOAOUT24!$A$6:$AU$38,20,0)</f>
        <v>0</v>
      </c>
      <c r="X12" s="36">
        <f>VLOOKUP($A12,[24]HISTOAOUT24!$A$6:$AU$38,27,0)</f>
        <v>0</v>
      </c>
      <c r="Y12" s="36">
        <f>VLOOKUP($A12,[24]HISTOAOUT24!$A$6:$BM$38,33,0)</f>
        <v>0</v>
      </c>
      <c r="Z12" s="36">
        <f>VLOOKUP($A12,[24]HISTOAOUT24!$A$6:$BM$38,65,0)</f>
        <v>0</v>
      </c>
      <c r="AA12" s="36"/>
      <c r="AB12" s="36">
        <f>VLOOKUP($A12,[24]HISTOAOUT24!$A$6:$AU$38,43,0)</f>
        <v>0</v>
      </c>
      <c r="AC12" s="36">
        <f>VLOOKUP($A12,[24]HISTOAOUT24!$A$6:$AU$38,44,0)</f>
        <v>0</v>
      </c>
      <c r="AD12" s="36">
        <f>VLOOKUP($A12,[24]HISTOAOUT24!$A$6:$AU$38,47,0)</f>
        <v>0</v>
      </c>
      <c r="AE12" s="36">
        <f>VLOOKUP(A12,[24]HISTOAOUT24!$A$6:$BB$38,54,0)</f>
        <v>0</v>
      </c>
      <c r="AF12" s="36">
        <f>VLOOKUP($A12,[24]HISTOAOUT24!$A$6:$CA$38,60,0)</f>
        <v>0</v>
      </c>
      <c r="AG12" s="36">
        <f>VLOOKUP($A12,[24]HISTOAOUT24!$A$6:$CA$38,61,0)</f>
        <v>0</v>
      </c>
      <c r="AH12" s="36">
        <f>VLOOKUP($A12,[24]HISTOAOUT24!$A$6:$CA$38,62,0)</f>
        <v>0</v>
      </c>
      <c r="AI12" s="36">
        <f>VLOOKUP($A12,[24]HISTOAOUT24!$A$6:$CA$38,63,0)</f>
        <v>0</v>
      </c>
      <c r="AJ12" s="36">
        <f>VLOOKUP($A12,[24]HISTOAOUT24!$A$6:$CA$38,64,0)</f>
        <v>0</v>
      </c>
      <c r="AK12" s="36">
        <f>VLOOKUP($A12,[24]HISTOAOUT24!$A$6:$CA$38,65,0)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VLOOKUP($A13,[24]HISTOAOUT24!$A$6:$BA$38,48,0)</f>
        <v>0</v>
      </c>
      <c r="F13" s="36">
        <f>MVTJUIL24!I13-E13+L13</f>
        <v>804555.14612214814</v>
      </c>
      <c r="G13" s="5">
        <f>IF(MVTJUIL24!I13+L13&gt;700000,(MVTJUIL24!I13-E13+L13),0)</f>
        <v>804555.14612214814</v>
      </c>
      <c r="H13" s="36">
        <f t="shared" si="0"/>
        <v>0</v>
      </c>
      <c r="I13" s="6">
        <f t="shared" si="2"/>
        <v>804555.14612214814</v>
      </c>
      <c r="J13" s="36">
        <f>VLOOKUP($A13,[24]HISTOAOUT24!$A$6:$AQ$42,22,0)</f>
        <v>0</v>
      </c>
      <c r="K13" s="36">
        <f>VLOOKUP($A13,[24]HISTOAOUT24!$A$6:$AU$38,45,0)</f>
        <v>0</v>
      </c>
      <c r="L13" s="36">
        <f t="shared" si="3"/>
        <v>0</v>
      </c>
      <c r="M13" s="36">
        <f t="shared" si="4"/>
        <v>0</v>
      </c>
      <c r="N13" s="36">
        <f t="shared" si="1"/>
        <v>0</v>
      </c>
      <c r="O13" s="36">
        <f t="shared" si="5"/>
        <v>0</v>
      </c>
      <c r="P13" s="36">
        <f>VLOOKUP($A13,[24]HISTOAOUT24!$A$6:$AU$38,7,0)</f>
        <v>0</v>
      </c>
      <c r="Q13" s="36">
        <f>VLOOKUP($A13,[24]HISTOAOUT24!$A$6:$AU$38,23,0)</f>
        <v>0</v>
      </c>
      <c r="R13" s="36">
        <f>VLOOKUP($A13,[24]HISTOAOUT24!$A$6:$AU$38,46,0)</f>
        <v>0</v>
      </c>
      <c r="S13" s="36">
        <f>VLOOKUP($A13,[24]HISTOAOUT24!$A$6:$AU$38,26,0)</f>
        <v>0</v>
      </c>
      <c r="T13" s="36">
        <f>VLOOKUP($A13,[24]HISTOAOUT24!$A$6:$BG$38,58,0)</f>
        <v>0</v>
      </c>
      <c r="U13" s="36">
        <f>VLOOKUP($A13,[24]HISTOAOUT24!$A$6:$AU$38,28,0)</f>
        <v>0</v>
      </c>
      <c r="V13" s="36">
        <f>VLOOKUP($A13,[24]HISTOAOUT24!$A$6:$AU$38,19,0)</f>
        <v>0</v>
      </c>
      <c r="W13" s="36">
        <f>VLOOKUP($A13,[24]HISTOAOUT24!$A$6:$AU$38,20,0)</f>
        <v>0</v>
      </c>
      <c r="X13" s="36">
        <f>VLOOKUP($A13,[24]HISTOAOUT24!$A$6:$AU$38,27,0)</f>
        <v>0</v>
      </c>
      <c r="Y13" s="36">
        <f>VLOOKUP($A13,[24]HISTOAOUT24!$A$6:$BM$38,33,0)</f>
        <v>0</v>
      </c>
      <c r="Z13" s="36">
        <f>VLOOKUP($A13,[24]HISTOAOUT24!$A$6:$BM$38,65,0)</f>
        <v>0</v>
      </c>
      <c r="AA13" s="36"/>
      <c r="AB13" s="36">
        <f>VLOOKUP($A13,[24]HISTOAOUT24!$A$6:$AU$38,43,0)</f>
        <v>0</v>
      </c>
      <c r="AC13" s="36">
        <f>VLOOKUP($A13,[24]HISTOAOUT24!$A$6:$AU$38,44,0)</f>
        <v>0</v>
      </c>
      <c r="AD13" s="36">
        <f>VLOOKUP($A13,[24]HISTOAOUT24!$A$6:$AU$38,47,0)</f>
        <v>0</v>
      </c>
      <c r="AE13" s="36">
        <f>VLOOKUP(A13,[24]HISTOAOUT24!$A$6:$BB$38,54,0)</f>
        <v>0</v>
      </c>
      <c r="AF13" s="36">
        <f>VLOOKUP($A13,[24]HISTOAOUT24!$A$6:$CA$38,60,0)</f>
        <v>0</v>
      </c>
      <c r="AG13" s="36">
        <f>VLOOKUP($A13,[24]HISTOAOUT24!$A$6:$CA$38,61,0)</f>
        <v>0</v>
      </c>
      <c r="AH13" s="36">
        <f>VLOOKUP($A13,[24]HISTOAOUT24!$A$6:$CA$38,62,0)</f>
        <v>0</v>
      </c>
      <c r="AI13" s="36">
        <f>VLOOKUP($A13,[24]HISTOAOUT24!$A$6:$CA$38,63,0)</f>
        <v>0</v>
      </c>
      <c r="AJ13" s="36">
        <f>VLOOKUP($A13,[24]HISTOAOUT24!$A$6:$CA$38,64,0)</f>
        <v>0</v>
      </c>
      <c r="AK13" s="36">
        <f>VLOOKUP($A13,[24]HISTOAOUT24!$A$6:$CA$38,65,0)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VLOOKUP($A14,[24]HISTOAOUT24!$A$6:$BA$38,48,0)</f>
        <v>0</v>
      </c>
      <c r="F14" s="36">
        <f>MVTJUIL24!I14-E14+L14</f>
        <v>1357425.9823482623</v>
      </c>
      <c r="G14" s="5">
        <f>IF(MVTJUIL24!I14+L14&gt;700000,(MVTJUIL24!I14-E14+L14),0)</f>
        <v>1357425.9823482623</v>
      </c>
      <c r="H14" s="36">
        <f t="shared" si="0"/>
        <v>0</v>
      </c>
      <c r="I14" s="6">
        <f t="shared" si="2"/>
        <v>1357425.9823482623</v>
      </c>
      <c r="J14" s="36">
        <f>VLOOKUP($A14,[24]HISTOAOUT24!$A$6:$AQ$42,22,0)</f>
        <v>0</v>
      </c>
      <c r="K14" s="36">
        <f>VLOOKUP($A14,[24]HISTOAOUT24!$A$6:$AU$38,45,0)</f>
        <v>0</v>
      </c>
      <c r="L14" s="36">
        <f t="shared" si="3"/>
        <v>0</v>
      </c>
      <c r="M14" s="36">
        <f t="shared" si="4"/>
        <v>0</v>
      </c>
      <c r="N14" s="36">
        <f t="shared" si="1"/>
        <v>0</v>
      </c>
      <c r="O14" s="36">
        <f t="shared" si="5"/>
        <v>0</v>
      </c>
      <c r="P14" s="36">
        <f>VLOOKUP($A14,[24]HISTOAOUT24!$A$6:$AU$38,7,0)</f>
        <v>0</v>
      </c>
      <c r="Q14" s="36">
        <f>VLOOKUP($A14,[24]HISTOAOUT24!$A$6:$AU$38,23,0)</f>
        <v>0</v>
      </c>
      <c r="R14" s="36">
        <f>VLOOKUP($A14,[24]HISTOAOUT24!$A$6:$AU$38,46,0)</f>
        <v>0</v>
      </c>
      <c r="S14" s="36">
        <f>VLOOKUP($A14,[24]HISTOAOUT24!$A$6:$AU$38,26,0)</f>
        <v>0</v>
      </c>
      <c r="T14" s="36">
        <f>VLOOKUP($A14,[24]HISTOAOUT24!$A$6:$BG$38,58,0)</f>
        <v>0</v>
      </c>
      <c r="U14" s="36">
        <f>VLOOKUP($A14,[24]HISTOAOUT24!$A$6:$AU$38,28,0)</f>
        <v>0</v>
      </c>
      <c r="V14" s="36">
        <f>VLOOKUP($A14,[24]HISTOAOUT24!$A$6:$AU$38,19,0)</f>
        <v>0</v>
      </c>
      <c r="W14" s="36">
        <f>VLOOKUP($A14,[24]HISTOAOUT24!$A$6:$AU$38,20,0)</f>
        <v>0</v>
      </c>
      <c r="X14" s="36">
        <f>VLOOKUP($A14,[24]HISTOAOUT24!$A$6:$AU$38,27,0)</f>
        <v>0</v>
      </c>
      <c r="Y14" s="36">
        <f>VLOOKUP($A14,[24]HISTOAOUT24!$A$6:$BM$38,33,0)</f>
        <v>0</v>
      </c>
      <c r="Z14" s="36">
        <f>VLOOKUP($A14,[24]HISTOAOUT24!$A$6:$BM$38,65,0)</f>
        <v>0</v>
      </c>
      <c r="AA14" s="36"/>
      <c r="AB14" s="36">
        <f>VLOOKUP($A14,[24]HISTOAOUT24!$A$6:$AU$38,43,0)</f>
        <v>0</v>
      </c>
      <c r="AC14" s="36">
        <f>VLOOKUP($A14,[24]HISTOAOUT24!$A$6:$AU$38,44,0)</f>
        <v>0</v>
      </c>
      <c r="AD14" s="36">
        <f>VLOOKUP($A14,[24]HISTOAOUT24!$A$6:$AU$38,47,0)</f>
        <v>0</v>
      </c>
      <c r="AE14" s="36">
        <f>VLOOKUP(A14,[24]HISTOAOUT24!$A$6:$BB$38,54,0)</f>
        <v>0</v>
      </c>
      <c r="AF14" s="36">
        <f>VLOOKUP($A14,[24]HISTOAOUT24!$A$6:$CA$38,60,0)</f>
        <v>0</v>
      </c>
      <c r="AG14" s="36">
        <f>VLOOKUP($A14,[24]HISTOAOUT24!$A$6:$CA$38,61,0)</f>
        <v>0</v>
      </c>
      <c r="AH14" s="36">
        <f>VLOOKUP($A14,[24]HISTOAOUT24!$A$6:$CA$38,62,0)</f>
        <v>0</v>
      </c>
      <c r="AI14" s="36">
        <f>VLOOKUP($A14,[24]HISTOAOUT24!$A$6:$CA$38,63,0)</f>
        <v>0</v>
      </c>
      <c r="AJ14" s="36">
        <f>VLOOKUP($A14,[24]HISTOAOUT24!$A$6:$CA$38,64,0)</f>
        <v>0</v>
      </c>
      <c r="AK14" s="36">
        <f>VLOOKUP($A14,[24]HISTOAOUT24!$A$6:$CA$38,65,0)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VLOOKUP($A15,[24]HISTOAOUT24!$A$6:$BA$38,48,0)</f>
        <v>0</v>
      </c>
      <c r="F15" s="36">
        <f>MVTJUIL24!I15-E15+L15</f>
        <v>866309.62153810938</v>
      </c>
      <c r="G15" s="5">
        <f>IF(MVTJUIL24!I15+L15&gt;700000,(MVTJUIL24!I15-E15+L15),0)</f>
        <v>866309.62153810938</v>
      </c>
      <c r="H15" s="36">
        <f t="shared" si="0"/>
        <v>0</v>
      </c>
      <c r="I15" s="6">
        <f t="shared" si="2"/>
        <v>866309.62153810938</v>
      </c>
      <c r="J15" s="36">
        <f>VLOOKUP($A15,[24]HISTOAOUT24!$A$6:$AQ$42,22,0)</f>
        <v>0</v>
      </c>
      <c r="K15" s="36">
        <f>VLOOKUP($A15,[24]HISTOAOUT24!$A$6:$AU$38,45,0)</f>
        <v>0</v>
      </c>
      <c r="L15" s="36">
        <f t="shared" si="3"/>
        <v>0</v>
      </c>
      <c r="M15" s="36">
        <f t="shared" si="4"/>
        <v>0</v>
      </c>
      <c r="N15" s="36">
        <f t="shared" si="1"/>
        <v>0</v>
      </c>
      <c r="O15" s="36">
        <f t="shared" si="5"/>
        <v>0</v>
      </c>
      <c r="P15" s="36">
        <f>VLOOKUP($A15,[24]HISTOAOUT24!$A$6:$AU$38,7,0)</f>
        <v>0</v>
      </c>
      <c r="Q15" s="36">
        <f>VLOOKUP($A15,[24]HISTOAOUT24!$A$6:$AU$38,23,0)</f>
        <v>0</v>
      </c>
      <c r="R15" s="36">
        <f>VLOOKUP($A15,[24]HISTOAOUT24!$A$6:$AU$38,46,0)</f>
        <v>0</v>
      </c>
      <c r="S15" s="36">
        <f>VLOOKUP($A15,[24]HISTOAOUT24!$A$6:$AU$38,26,0)</f>
        <v>0</v>
      </c>
      <c r="T15" s="36">
        <f>VLOOKUP($A15,[24]HISTOAOUT24!$A$6:$BG$38,58,0)</f>
        <v>0</v>
      </c>
      <c r="U15" s="36">
        <f>VLOOKUP($A15,[24]HISTOAOUT24!$A$6:$AU$38,28,0)</f>
        <v>0</v>
      </c>
      <c r="V15" s="36">
        <f>VLOOKUP($A15,[24]HISTOAOUT24!$A$6:$AU$38,19,0)</f>
        <v>0</v>
      </c>
      <c r="W15" s="36">
        <f>VLOOKUP($A15,[24]HISTOAOUT24!$A$6:$AU$38,20,0)</f>
        <v>0</v>
      </c>
      <c r="X15" s="36">
        <f>VLOOKUP($A15,[24]HISTOAOUT24!$A$6:$AU$38,27,0)</f>
        <v>0</v>
      </c>
      <c r="Y15" s="36">
        <f>VLOOKUP($A15,[24]HISTOAOUT24!$A$6:$BM$38,33,0)</f>
        <v>0</v>
      </c>
      <c r="Z15" s="36">
        <f>VLOOKUP($A15,[24]HISTOAOUT24!$A$6:$BM$38,65,0)</f>
        <v>0</v>
      </c>
      <c r="AA15" s="36"/>
      <c r="AB15" s="36">
        <f>VLOOKUP($A15,[24]HISTOAOUT24!$A$6:$AU$38,43,0)</f>
        <v>0</v>
      </c>
      <c r="AC15" s="36">
        <f>VLOOKUP($A15,[24]HISTOAOUT24!$A$6:$AU$38,44,0)</f>
        <v>0</v>
      </c>
      <c r="AD15" s="36">
        <f>VLOOKUP($A15,[24]HISTOAOUT24!$A$6:$AU$38,47,0)</f>
        <v>0</v>
      </c>
      <c r="AE15" s="36">
        <f>VLOOKUP(A15,[24]HISTOAOUT24!$A$6:$BB$38,54,0)</f>
        <v>0</v>
      </c>
      <c r="AF15" s="36">
        <f>VLOOKUP($A15,[24]HISTOAOUT24!$A$6:$CA$38,60,0)</f>
        <v>0</v>
      </c>
      <c r="AG15" s="36">
        <f>VLOOKUP($A15,[24]HISTOAOUT24!$A$6:$CA$38,61,0)</f>
        <v>0</v>
      </c>
      <c r="AH15" s="36">
        <f>VLOOKUP($A15,[24]HISTOAOUT24!$A$6:$CA$38,62,0)</f>
        <v>0</v>
      </c>
      <c r="AI15" s="36">
        <f>VLOOKUP($A15,[24]HISTOAOUT24!$A$6:$CA$38,63,0)</f>
        <v>0</v>
      </c>
      <c r="AJ15" s="36">
        <f>VLOOKUP($A15,[24]HISTOAOUT24!$A$6:$CA$38,64,0)</f>
        <v>0</v>
      </c>
      <c r="AK15" s="36">
        <f>VLOOKUP($A15,[24]HISTOAOUT24!$A$6:$CA$38,65,0)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VLOOKUP($A16,[24]HISTOAOUT24!$A$6:$BA$38,48,0)</f>
        <v>0</v>
      </c>
      <c r="F16" s="36">
        <f>MVTJUIL24!I16-E16+L16</f>
        <v>941858.70650704834</v>
      </c>
      <c r="G16" s="5">
        <f>IF(MVTJUIL24!I16+L16&gt;700000,(MVTJUIL24!I16-E16+L16),0)</f>
        <v>941858.70650704834</v>
      </c>
      <c r="H16" s="36">
        <f t="shared" si="0"/>
        <v>0</v>
      </c>
      <c r="I16" s="6">
        <f t="shared" si="2"/>
        <v>941858.70650704834</v>
      </c>
      <c r="J16" s="36">
        <f>VLOOKUP($A16,[24]HISTOAOUT24!$A$6:$AQ$42,22,0)</f>
        <v>0</v>
      </c>
      <c r="K16" s="36">
        <f>VLOOKUP($A16,[24]HISTOAOUT24!$A$6:$AU$38,45,0)</f>
        <v>0</v>
      </c>
      <c r="L16" s="36">
        <f t="shared" si="3"/>
        <v>0</v>
      </c>
      <c r="M16" s="36">
        <f t="shared" si="4"/>
        <v>0</v>
      </c>
      <c r="N16" s="36">
        <f t="shared" si="1"/>
        <v>0</v>
      </c>
      <c r="O16" s="36">
        <f t="shared" si="5"/>
        <v>0</v>
      </c>
      <c r="P16" s="36">
        <f>VLOOKUP($A16,[24]HISTOAOUT24!$A$6:$AU$38,7,0)</f>
        <v>0</v>
      </c>
      <c r="Q16" s="36">
        <f>VLOOKUP($A16,[24]HISTOAOUT24!$A$6:$AU$38,23,0)</f>
        <v>0</v>
      </c>
      <c r="R16" s="36">
        <f>VLOOKUP($A16,[24]HISTOAOUT24!$A$6:$AU$38,46,0)</f>
        <v>0</v>
      </c>
      <c r="S16" s="36">
        <f>VLOOKUP($A16,[24]HISTOAOUT24!$A$6:$AU$38,26,0)</f>
        <v>0</v>
      </c>
      <c r="T16" s="36">
        <f>VLOOKUP($A16,[24]HISTOAOUT24!$A$6:$BG$38,58,0)</f>
        <v>0</v>
      </c>
      <c r="U16" s="36">
        <f>VLOOKUP($A16,[24]HISTOAOUT24!$A$6:$AU$38,28,0)</f>
        <v>0</v>
      </c>
      <c r="V16" s="36">
        <f>VLOOKUP($A16,[24]HISTOAOUT24!$A$6:$AU$38,19,0)</f>
        <v>0</v>
      </c>
      <c r="W16" s="36">
        <f>VLOOKUP($A16,[24]HISTOAOUT24!$A$6:$AU$38,20,0)</f>
        <v>0</v>
      </c>
      <c r="X16" s="36">
        <f>VLOOKUP($A16,[24]HISTOAOUT24!$A$6:$AU$38,27,0)</f>
        <v>0</v>
      </c>
      <c r="Y16" s="36">
        <f>VLOOKUP($A16,[24]HISTOAOUT24!$A$6:$BM$38,33,0)</f>
        <v>0</v>
      </c>
      <c r="Z16" s="36">
        <f>VLOOKUP($A16,[24]HISTOAOUT24!$A$6:$BM$38,65,0)</f>
        <v>0</v>
      </c>
      <c r="AA16" s="36"/>
      <c r="AB16" s="36">
        <f>VLOOKUP($A16,[24]HISTOAOUT24!$A$6:$AU$38,43,0)</f>
        <v>0</v>
      </c>
      <c r="AC16" s="36">
        <f>VLOOKUP($A16,[24]HISTOAOUT24!$A$6:$AU$38,44,0)</f>
        <v>0</v>
      </c>
      <c r="AD16" s="36">
        <f>VLOOKUP($A16,[24]HISTOAOUT24!$A$6:$AU$38,47,0)</f>
        <v>0</v>
      </c>
      <c r="AE16" s="36">
        <f>VLOOKUP(A16,[24]HISTOAOUT24!$A$6:$BB$38,54,0)</f>
        <v>0</v>
      </c>
      <c r="AF16" s="36">
        <f>VLOOKUP($A16,[24]HISTOAOUT24!$A$6:$CA$38,60,0)</f>
        <v>0</v>
      </c>
      <c r="AG16" s="36">
        <f>VLOOKUP($A16,[24]HISTOAOUT24!$A$6:$CA$38,61,0)</f>
        <v>0</v>
      </c>
      <c r="AH16" s="36">
        <f>VLOOKUP($A16,[24]HISTOAOUT24!$A$6:$CA$38,62,0)</f>
        <v>0</v>
      </c>
      <c r="AI16" s="36">
        <f>VLOOKUP($A16,[24]HISTOAOUT24!$A$6:$CA$38,63,0)</f>
        <v>0</v>
      </c>
      <c r="AJ16" s="36">
        <f>VLOOKUP($A16,[24]HISTOAOUT24!$A$6:$CA$38,64,0)</f>
        <v>0</v>
      </c>
      <c r="AK16" s="36">
        <f>VLOOKUP($A16,[24]HISTOAOUT24!$A$6:$CA$38,65,0)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VLOOKUP($A17,[24]HISTOAOUT24!$A$6:$BA$38,48,0)</f>
        <v>0</v>
      </c>
      <c r="F17" s="36">
        <f>MVTJUIL24!I17-E17+L17</f>
        <v>814402.7005255461</v>
      </c>
      <c r="G17" s="5">
        <f>IF(MVTJUIL24!I17+L17&gt;700000,(MVTJUIL24!I17-E17+L17),0)</f>
        <v>814402.7005255461</v>
      </c>
      <c r="H17" s="36">
        <f t="shared" si="0"/>
        <v>0</v>
      </c>
      <c r="I17" s="6">
        <f t="shared" si="2"/>
        <v>814402.7005255461</v>
      </c>
      <c r="J17" s="36">
        <f>VLOOKUP($A17,[24]HISTOAOUT24!$A$6:$AQ$42,22,0)</f>
        <v>0</v>
      </c>
      <c r="K17" s="36">
        <f>VLOOKUP($A17,[24]HISTOAOUT24!$A$6:$AU$38,45,0)</f>
        <v>0</v>
      </c>
      <c r="L17" s="36">
        <f t="shared" si="3"/>
        <v>0</v>
      </c>
      <c r="M17" s="36">
        <f t="shared" si="4"/>
        <v>0</v>
      </c>
      <c r="N17" s="36">
        <f t="shared" si="1"/>
        <v>0</v>
      </c>
      <c r="O17" s="36">
        <f t="shared" si="5"/>
        <v>0</v>
      </c>
      <c r="P17" s="36">
        <f>VLOOKUP($A17,[24]HISTOAOUT24!$A$6:$AU$38,7,0)</f>
        <v>0</v>
      </c>
      <c r="Q17" s="36">
        <f>VLOOKUP($A17,[24]HISTOAOUT24!$A$6:$AU$38,23,0)</f>
        <v>0</v>
      </c>
      <c r="R17" s="36">
        <f>VLOOKUP($A17,[24]HISTOAOUT24!$A$6:$AU$38,46,0)</f>
        <v>0</v>
      </c>
      <c r="S17" s="36">
        <f>VLOOKUP($A17,[24]HISTOAOUT24!$A$6:$AU$38,26,0)</f>
        <v>0</v>
      </c>
      <c r="T17" s="36">
        <f>VLOOKUP($A17,[24]HISTOAOUT24!$A$6:$BG$38,58,0)</f>
        <v>0</v>
      </c>
      <c r="U17" s="36">
        <f>VLOOKUP($A17,[24]HISTOAOUT24!$A$6:$AU$38,28,0)</f>
        <v>0</v>
      </c>
      <c r="V17" s="36">
        <f>VLOOKUP($A17,[24]HISTOAOUT24!$A$6:$AU$38,19,0)</f>
        <v>0</v>
      </c>
      <c r="W17" s="36">
        <f>VLOOKUP($A17,[24]HISTOAOUT24!$A$6:$AU$38,20,0)</f>
        <v>0</v>
      </c>
      <c r="X17" s="36">
        <f>VLOOKUP($A17,[24]HISTOAOUT24!$A$6:$AU$38,27,0)</f>
        <v>0</v>
      </c>
      <c r="Y17" s="36">
        <f>VLOOKUP($A17,[24]HISTOAOUT24!$A$6:$BM$38,33,0)</f>
        <v>0</v>
      </c>
      <c r="Z17" s="36">
        <f>VLOOKUP($A17,[24]HISTOAOUT24!$A$6:$BM$38,65,0)</f>
        <v>0</v>
      </c>
      <c r="AA17" s="36"/>
      <c r="AB17" s="36">
        <f>VLOOKUP($A17,[24]HISTOAOUT24!$A$6:$AU$38,43,0)</f>
        <v>0</v>
      </c>
      <c r="AC17" s="36">
        <f>VLOOKUP($A17,[24]HISTOAOUT24!$A$6:$AU$38,44,0)</f>
        <v>0</v>
      </c>
      <c r="AD17" s="36">
        <f>VLOOKUP($A17,[24]HISTOAOUT24!$A$6:$AU$38,47,0)</f>
        <v>0</v>
      </c>
      <c r="AE17" s="36">
        <f>VLOOKUP(A17,[24]HISTOAOUT24!$A$6:$BB$38,54,0)</f>
        <v>0</v>
      </c>
      <c r="AF17" s="36">
        <f>VLOOKUP($A17,[24]HISTOAOUT24!$A$6:$CA$38,60,0)</f>
        <v>0</v>
      </c>
      <c r="AG17" s="36">
        <f>VLOOKUP($A17,[24]HISTOAOUT24!$A$6:$CA$38,61,0)</f>
        <v>0</v>
      </c>
      <c r="AH17" s="36">
        <f>VLOOKUP($A17,[24]HISTOAOUT24!$A$6:$CA$38,62,0)</f>
        <v>0</v>
      </c>
      <c r="AI17" s="36">
        <f>VLOOKUP($A17,[24]HISTOAOUT24!$A$6:$CA$38,63,0)</f>
        <v>0</v>
      </c>
      <c r="AJ17" s="36">
        <f>VLOOKUP($A17,[24]HISTOAOUT24!$A$6:$CA$38,64,0)</f>
        <v>0</v>
      </c>
      <c r="AK17" s="36">
        <f>VLOOKUP($A17,[24]HISTOAOUT24!$A$6:$CA$38,65,0)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VLOOKUP($A18,[24]HISTOAOUT24!$A$6:$BA$38,48,0)</f>
        <v>0</v>
      </c>
      <c r="F18" s="36">
        <f>MVTJUIL24!I18-E18+L18</f>
        <v>850662.76419736946</v>
      </c>
      <c r="G18" s="5">
        <f>IF(MVTJUIL24!I18+L18&gt;700000,(MVTJUIL24!I18-E18+L18),0)</f>
        <v>850662.76419736946</v>
      </c>
      <c r="H18" s="36">
        <f t="shared" si="0"/>
        <v>0</v>
      </c>
      <c r="I18" s="6">
        <f t="shared" si="2"/>
        <v>850662.76419736946</v>
      </c>
      <c r="J18" s="36">
        <f>VLOOKUP($A18,[24]HISTOAOUT24!$A$6:$AQ$42,22,0)</f>
        <v>0</v>
      </c>
      <c r="K18" s="36">
        <f>VLOOKUP($A18,[24]HISTOAOUT24!$A$6:$AU$38,45,0)</f>
        <v>0</v>
      </c>
      <c r="L18" s="36">
        <f t="shared" si="3"/>
        <v>0</v>
      </c>
      <c r="M18" s="36">
        <f t="shared" si="4"/>
        <v>0</v>
      </c>
      <c r="N18" s="36">
        <f t="shared" si="1"/>
        <v>0</v>
      </c>
      <c r="O18" s="36">
        <f t="shared" si="5"/>
        <v>0</v>
      </c>
      <c r="P18" s="36">
        <f>VLOOKUP($A18,[24]HISTOAOUT24!$A$6:$AU$38,7,0)</f>
        <v>0</v>
      </c>
      <c r="Q18" s="36">
        <f>VLOOKUP($A18,[24]HISTOAOUT24!$A$6:$AU$38,23,0)</f>
        <v>0</v>
      </c>
      <c r="R18" s="36">
        <f>VLOOKUP($A18,[24]HISTOAOUT24!$A$6:$AU$38,46,0)</f>
        <v>0</v>
      </c>
      <c r="S18" s="36">
        <f>VLOOKUP($A18,[24]HISTOAOUT24!$A$6:$AU$38,26,0)</f>
        <v>0</v>
      </c>
      <c r="T18" s="36">
        <f>VLOOKUP($A18,[24]HISTOAOUT24!$A$6:$BG$38,58,0)</f>
        <v>0</v>
      </c>
      <c r="U18" s="36">
        <f>VLOOKUP($A18,[24]HISTOAOUT24!$A$6:$AU$38,28,0)</f>
        <v>0</v>
      </c>
      <c r="V18" s="36">
        <f>VLOOKUP($A18,[24]HISTOAOUT24!$A$6:$AU$38,19,0)</f>
        <v>0</v>
      </c>
      <c r="W18" s="36">
        <f>VLOOKUP($A18,[24]HISTOAOUT24!$A$6:$AU$38,20,0)</f>
        <v>0</v>
      </c>
      <c r="X18" s="36">
        <f>VLOOKUP($A18,[24]HISTOAOUT24!$A$6:$AU$38,27,0)</f>
        <v>0</v>
      </c>
      <c r="Y18" s="36">
        <f>VLOOKUP($A18,[24]HISTOAOUT24!$A$6:$BM$38,33,0)</f>
        <v>0</v>
      </c>
      <c r="Z18" s="36">
        <f>VLOOKUP($A18,[24]HISTOAOUT24!$A$6:$BM$38,65,0)</f>
        <v>0</v>
      </c>
      <c r="AA18" s="36"/>
      <c r="AB18" s="36">
        <f>VLOOKUP($A18,[24]HISTOAOUT24!$A$6:$AU$38,43,0)</f>
        <v>0</v>
      </c>
      <c r="AC18" s="36">
        <f>VLOOKUP($A18,[24]HISTOAOUT24!$A$6:$AU$38,44,0)</f>
        <v>0</v>
      </c>
      <c r="AD18" s="36">
        <f>VLOOKUP($A18,[24]HISTOAOUT24!$A$6:$AU$38,47,0)</f>
        <v>0</v>
      </c>
      <c r="AE18" s="36">
        <f>VLOOKUP(A18,[24]HISTOAOUT24!$A$6:$BB$38,54,0)</f>
        <v>0</v>
      </c>
      <c r="AF18" s="36">
        <f>VLOOKUP($A18,[24]HISTOAOUT24!$A$6:$CA$38,60,0)</f>
        <v>0</v>
      </c>
      <c r="AG18" s="36">
        <f>VLOOKUP($A18,[24]HISTOAOUT24!$A$6:$CA$38,61,0)</f>
        <v>0</v>
      </c>
      <c r="AH18" s="36">
        <f>VLOOKUP($A18,[24]HISTOAOUT24!$A$6:$CA$38,62,0)</f>
        <v>0</v>
      </c>
      <c r="AI18" s="36">
        <f>VLOOKUP($A18,[24]HISTOAOUT24!$A$6:$CA$38,63,0)</f>
        <v>0</v>
      </c>
      <c r="AJ18" s="36">
        <f>VLOOKUP($A18,[24]HISTOAOUT24!$A$6:$CA$38,64,0)</f>
        <v>0</v>
      </c>
      <c r="AK18" s="36">
        <f>VLOOKUP($A18,[24]HISTOAOUT24!$A$6:$CA$38,65,0)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MVTJUIL24!I19-E19+L19</f>
        <v>676217.13072703336</v>
      </c>
      <c r="G19" s="5">
        <f>IF(MVTJUIL24!I19+L19&gt;700000,(MVTJUIL24!I19-E19+L19),0)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MVTJUIL24!I20-E20+L20</f>
        <v>57000</v>
      </c>
      <c r="G20" s="5">
        <f>IF(MVTJUIL24!I20+L20&gt;700000,(MVTJUIL24!I20-E20+L20),0)</f>
        <v>0</v>
      </c>
      <c r="H20" s="36">
        <f t="shared" si="0"/>
        <v>0</v>
      </c>
      <c r="I20" s="6">
        <f t="shared" si="2"/>
        <v>57000</v>
      </c>
      <c r="J20" s="36">
        <f>VLOOKUP($A20,[24]HISTOAOUT24!$A$6:$AQ$42,22,0)</f>
        <v>0</v>
      </c>
      <c r="K20" s="36">
        <f>VLOOKUP($A20,[24]HISTOAOUT24!$A$6:$AU$38,45,0)</f>
        <v>0</v>
      </c>
      <c r="L20" s="36">
        <f t="shared" ref="L20" si="6">IF(K20=0,0,K20-(M20+N20+O20))</f>
        <v>0</v>
      </c>
      <c r="M20" s="36">
        <f t="shared" ref="M20" si="7">IF(K20=0,0,1000)</f>
        <v>0</v>
      </c>
      <c r="N20" s="36">
        <f t="shared" ref="N20" si="8">IF(K20=0,0,1000)</f>
        <v>0</v>
      </c>
      <c r="O20" s="36">
        <f t="shared" ref="O20" si="9">IF(K20=0,0,4000)</f>
        <v>0</v>
      </c>
      <c r="P20" s="36">
        <f>VLOOKUP($A20,[24]HISTOAOUT24!$A$6:$AU$38,7,0)</f>
        <v>0</v>
      </c>
      <c r="Q20" s="36">
        <f>VLOOKUP($A20,[24]HISTOAOUT24!$A$6:$AU$38,23,0)</f>
        <v>0</v>
      </c>
      <c r="R20" s="36">
        <f>VLOOKUP($A20,[24]HISTOAOUT24!$A$6:$AU$38,46,0)</f>
        <v>0</v>
      </c>
      <c r="S20" s="36">
        <f>VLOOKUP($A20,[24]HISTOAOUT24!$A$6:$AU$38,26,0)</f>
        <v>0</v>
      </c>
      <c r="T20" s="36">
        <f>VLOOKUP($A20,[24]HISTOAOUT24!$A$6:$BG$38,58,0)</f>
        <v>0</v>
      </c>
      <c r="U20" s="36">
        <f>VLOOKUP($A20,[24]HISTOAOUT24!$A$6:$AU$38,28,0)</f>
        <v>0</v>
      </c>
      <c r="V20" s="36">
        <f>VLOOKUP($A20,[24]HISTOAOUT24!$A$6:$AU$38,19,0)</f>
        <v>0</v>
      </c>
      <c r="W20" s="36">
        <f>VLOOKUP($A20,[24]HISTOAOUT24!$A$6:$AU$38,20,0)</f>
        <v>0</v>
      </c>
      <c r="X20" s="36">
        <f>VLOOKUP($A20,[24]HISTOAOUT24!$A$6:$AU$38,27,0)</f>
        <v>0</v>
      </c>
      <c r="Y20" s="36">
        <f>VLOOKUP($A20,[24]HISTOAOUT24!$A$6:$BM$38,33,0)</f>
        <v>0</v>
      </c>
      <c r="Z20" s="36">
        <f>VLOOKUP($A20,[24]HISTOAOUT24!$A$6:$BM$38,65,0)</f>
        <v>0</v>
      </c>
      <c r="AA20" s="36"/>
      <c r="AB20" s="36">
        <f>VLOOKUP($A20,[24]HISTOAOUT24!$A$6:$AU$38,43,0)</f>
        <v>0</v>
      </c>
      <c r="AC20" s="36">
        <f>VLOOKUP($A20,[24]HISTOAOUT24!$A$6:$AU$38,44,0)</f>
        <v>0</v>
      </c>
      <c r="AD20" s="36">
        <f>VLOOKUP($A20,[24]HISTOAOUT24!$A$6:$AU$38,47,0)</f>
        <v>0</v>
      </c>
      <c r="AE20" s="36">
        <f>VLOOKUP(A20,[24]HISTOAOUT24!$A$6:$BB$38,54,0)</f>
        <v>0</v>
      </c>
      <c r="AF20" s="36">
        <f>VLOOKUP($A20,[24]HISTOAOUT24!$A$6:$CA$38,60,0)</f>
        <v>0</v>
      </c>
      <c r="AG20" s="36">
        <f>VLOOKUP($A20,[24]HISTOAOUT24!$A$6:$CA$38,61,0)</f>
        <v>0</v>
      </c>
      <c r="AH20" s="36">
        <f>VLOOKUP($A20,[24]HISTOAOUT24!$A$6:$CA$38,62,0)</f>
        <v>0</v>
      </c>
      <c r="AI20" s="36">
        <f>VLOOKUP($A20,[24]HISTOAOUT24!$A$6:$CA$38,63,0)</f>
        <v>0</v>
      </c>
      <c r="AJ20" s="36">
        <f>VLOOKUP($A20,[24]HISTOAOUT24!$A$6:$CA$38,64,0)</f>
        <v>0</v>
      </c>
      <c r="AK20" s="36">
        <f>VLOOKUP($A20,[24]HISTOAOUT24!$A$6:$CA$38,65,0)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MVTJUIL24!I21-E21+L21</f>
        <v>838355.80062958295</v>
      </c>
      <c r="G21" s="5">
        <f>IF(MVTJUIL24!I21+L21&gt;700000,(MVTJUIL24!I21-E21+L21),0)</f>
        <v>838355.80062958295</v>
      </c>
      <c r="H21" s="36">
        <f t="shared" si="0"/>
        <v>0</v>
      </c>
      <c r="I21" s="6">
        <f t="shared" si="2"/>
        <v>838355.80062958295</v>
      </c>
      <c r="J21" s="36">
        <f>VLOOKUP($A21,[24]HISTOAOUT24!$A$6:$AQ$42,22,0)</f>
        <v>0</v>
      </c>
      <c r="K21" s="36">
        <f>VLOOKUP($A21,[24]HISTOAOUT24!$A$6:$AU$38,45,0)</f>
        <v>0</v>
      </c>
      <c r="L21" s="36">
        <f t="shared" si="3"/>
        <v>0</v>
      </c>
      <c r="M21" s="36">
        <f t="shared" si="4"/>
        <v>0</v>
      </c>
      <c r="N21" s="36">
        <f t="shared" si="1"/>
        <v>0</v>
      </c>
      <c r="O21" s="36">
        <f t="shared" si="5"/>
        <v>0</v>
      </c>
      <c r="P21" s="36">
        <f>VLOOKUP($A21,[24]HISTOAOUT24!$A$6:$AU$38,7,0)</f>
        <v>0</v>
      </c>
      <c r="Q21" s="36">
        <f>VLOOKUP($A21,[24]HISTOAOUT24!$A$6:$AU$38,23,0)</f>
        <v>0</v>
      </c>
      <c r="R21" s="36">
        <f>VLOOKUP($A21,[24]HISTOAOUT24!$A$6:$AU$38,46,0)</f>
        <v>0</v>
      </c>
      <c r="S21" s="36">
        <f>VLOOKUP($A21,[24]HISTOAOUT24!$A$6:$AU$38,26,0)</f>
        <v>0</v>
      </c>
      <c r="T21" s="36">
        <f>VLOOKUP($A21,[24]HISTOAOUT24!$A$6:$BG$38,58,0)</f>
        <v>0</v>
      </c>
      <c r="U21" s="36">
        <f>VLOOKUP($A21,[24]HISTOAOUT24!$A$6:$AU$38,28,0)</f>
        <v>0</v>
      </c>
      <c r="V21" s="36">
        <f>VLOOKUP($A21,[24]HISTOAOUT24!$A$6:$AU$38,19,0)</f>
        <v>0</v>
      </c>
      <c r="W21" s="36">
        <f>VLOOKUP($A21,[24]HISTOAOUT24!$A$6:$AU$38,20,0)</f>
        <v>0</v>
      </c>
      <c r="X21" s="36">
        <f>VLOOKUP($A21,[24]HISTOAOUT24!$A$6:$AU$38,27,0)</f>
        <v>0</v>
      </c>
      <c r="Y21" s="36">
        <f>VLOOKUP($A21,[24]HISTOAOUT24!$A$6:$BM$38,33,0)</f>
        <v>0</v>
      </c>
      <c r="Z21" s="36">
        <f>VLOOKUP($A21,[24]HISTOAOUT24!$A$6:$BM$38,65,0)</f>
        <v>0</v>
      </c>
      <c r="AA21" s="36"/>
      <c r="AB21" s="36">
        <f>VLOOKUP($A21,[24]HISTOAOUT24!$A$6:$AU$38,43,0)</f>
        <v>0</v>
      </c>
      <c r="AC21" s="36">
        <f>VLOOKUP($A21,[24]HISTOAOUT24!$A$6:$AU$38,44,0)</f>
        <v>0</v>
      </c>
      <c r="AD21" s="36">
        <f>VLOOKUP($A21,[24]HISTOAOUT24!$A$6:$AU$38,47,0)</f>
        <v>0</v>
      </c>
      <c r="AE21" s="36">
        <f>VLOOKUP(A21,[24]HISTOAOUT24!$A$6:$BB$38,54,0)</f>
        <v>0</v>
      </c>
      <c r="AF21" s="36">
        <f>VLOOKUP($A21,[24]HISTOAOUT24!$A$6:$CA$38,60,0)</f>
        <v>0</v>
      </c>
      <c r="AG21" s="36">
        <f>VLOOKUP($A21,[24]HISTOAOUT24!$A$6:$CA$38,61,0)</f>
        <v>0</v>
      </c>
      <c r="AH21" s="36">
        <f>VLOOKUP($A21,[24]HISTOAOUT24!$A$6:$CA$38,62,0)</f>
        <v>0</v>
      </c>
      <c r="AI21" s="36">
        <f>VLOOKUP($A21,[24]HISTOAOUT24!$A$6:$CA$38,63,0)</f>
        <v>0</v>
      </c>
      <c r="AJ21" s="36">
        <f>VLOOKUP($A21,[24]HISTOAOUT24!$A$6:$CA$38,64,0)</f>
        <v>0</v>
      </c>
      <c r="AK21" s="36">
        <f>VLOOKUP($A21,[24]HISTOAOUT24!$A$6:$CA$38,65,0)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MVTJUIL24!I22-E22+L22</f>
        <v>805738.95952735876</v>
      </c>
      <c r="G22" s="5">
        <f>IF(MVTJUIL24!I22+L22&gt;700000,(MVTJUIL24!I22-E22+L22),0)</f>
        <v>805738.95952735876</v>
      </c>
      <c r="H22" s="36">
        <f t="shared" si="0"/>
        <v>0</v>
      </c>
      <c r="I22" s="6">
        <f t="shared" si="2"/>
        <v>805738.95952735876</v>
      </c>
      <c r="J22" s="36">
        <f>VLOOKUP($A22,[24]HISTOAOUT24!$A$6:$AQ$42,22,0)</f>
        <v>0</v>
      </c>
      <c r="K22" s="36">
        <f>VLOOKUP($A22,[24]HISTOAOUT24!$A$6:$AU$38,45,0)</f>
        <v>0</v>
      </c>
      <c r="L22" s="36">
        <f t="shared" si="3"/>
        <v>0</v>
      </c>
      <c r="M22" s="36">
        <f t="shared" si="4"/>
        <v>0</v>
      </c>
      <c r="N22" s="36">
        <f t="shared" si="1"/>
        <v>0</v>
      </c>
      <c r="O22" s="36">
        <f t="shared" si="5"/>
        <v>0</v>
      </c>
      <c r="P22" s="36">
        <f>VLOOKUP($A22,[24]HISTOAOUT24!$A$6:$AU$38,7,0)</f>
        <v>0</v>
      </c>
      <c r="Q22" s="36">
        <f>VLOOKUP($A22,[24]HISTOAOUT24!$A$6:$AU$38,23,0)</f>
        <v>0</v>
      </c>
      <c r="R22" s="36">
        <f>VLOOKUP($A22,[24]HISTOAOUT24!$A$6:$AU$38,46,0)</f>
        <v>0</v>
      </c>
      <c r="S22" s="36">
        <f>VLOOKUP($A22,[24]HISTOAOUT24!$A$6:$AU$38,26,0)</f>
        <v>0</v>
      </c>
      <c r="T22" s="36">
        <f>VLOOKUP($A22,[24]HISTOAOUT24!$A$6:$BG$38,58,0)</f>
        <v>0</v>
      </c>
      <c r="U22" s="36">
        <f>VLOOKUP($A22,[24]HISTOAOUT24!$A$6:$AU$38,28,0)</f>
        <v>0</v>
      </c>
      <c r="V22" s="36">
        <f>VLOOKUP($A22,[24]HISTOAOUT24!$A$6:$AU$38,19,0)</f>
        <v>0</v>
      </c>
      <c r="W22" s="36">
        <f>VLOOKUP($A22,[24]HISTOAOUT24!$A$6:$AU$38,20,0)</f>
        <v>0</v>
      </c>
      <c r="X22" s="36">
        <f>VLOOKUP($A22,[24]HISTOAOUT24!$A$6:$AU$38,27,0)</f>
        <v>0</v>
      </c>
      <c r="Y22" s="36">
        <f>VLOOKUP($A22,[24]HISTOAOUT24!$A$6:$BM$38,33,0)</f>
        <v>0</v>
      </c>
      <c r="Z22" s="36">
        <f>VLOOKUP($A22,[24]HISTOAOUT24!$A$6:$BM$38,65,0)</f>
        <v>0</v>
      </c>
      <c r="AA22" s="36"/>
      <c r="AB22" s="36">
        <f>VLOOKUP($A22,[24]HISTOAOUT24!$A$6:$AU$38,43,0)</f>
        <v>0</v>
      </c>
      <c r="AC22" s="36">
        <f>VLOOKUP($A22,[24]HISTOAOUT24!$A$6:$AU$38,44,0)</f>
        <v>0</v>
      </c>
      <c r="AD22" s="36">
        <f>VLOOKUP($A22,[24]HISTOAOUT24!$A$6:$AU$38,47,0)</f>
        <v>0</v>
      </c>
      <c r="AE22" s="36">
        <f>VLOOKUP(A22,[24]HISTOAOUT24!$A$6:$BB$38,54,0)</f>
        <v>0</v>
      </c>
      <c r="AF22" s="36">
        <f>VLOOKUP($A22,[24]HISTOAOUT24!$A$6:$CA$38,60,0)</f>
        <v>0</v>
      </c>
      <c r="AG22" s="36">
        <f>VLOOKUP($A22,[24]HISTOAOUT24!$A$6:$CA$38,61,0)</f>
        <v>0</v>
      </c>
      <c r="AH22" s="36">
        <f>VLOOKUP($A22,[24]HISTOAOUT24!$A$6:$CA$38,62,0)</f>
        <v>0</v>
      </c>
      <c r="AI22" s="36">
        <f>VLOOKUP($A22,[24]HISTOAOUT24!$A$6:$CA$38,63,0)</f>
        <v>0</v>
      </c>
      <c r="AJ22" s="36">
        <f>VLOOKUP($A22,[24]HISTOAOUT24!$A$6:$CA$38,64,0)</f>
        <v>0</v>
      </c>
      <c r="AK22" s="36">
        <f>VLOOKUP($A22,[24]HISTOAOUT24!$A$6:$CA$38,65,0)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MVTJUIL24!I23-E23+L23</f>
        <v>911674.32467319479</v>
      </c>
      <c r="G23" s="5">
        <f>IF(MVTJUIL24!I23+L23&gt;700000,(MVTJUIL24!I23-E23+L23),0)</f>
        <v>911674.32467319479</v>
      </c>
      <c r="H23" s="36">
        <f t="shared" si="0"/>
        <v>0</v>
      </c>
      <c r="I23" s="6">
        <f t="shared" si="2"/>
        <v>911674.32467319479</v>
      </c>
      <c r="J23" s="36">
        <f>VLOOKUP($A23,[24]HISTOAOUT24!$A$6:$AQ$42,22,0)</f>
        <v>0</v>
      </c>
      <c r="K23" s="36">
        <f>VLOOKUP($A23,[24]HISTOAOUT24!$A$6:$AU$38,45,0)</f>
        <v>0</v>
      </c>
      <c r="L23" s="36">
        <f t="shared" si="3"/>
        <v>0</v>
      </c>
      <c r="M23" s="36">
        <f t="shared" si="4"/>
        <v>0</v>
      </c>
      <c r="N23" s="36">
        <f t="shared" si="1"/>
        <v>0</v>
      </c>
      <c r="O23" s="36">
        <f t="shared" si="5"/>
        <v>0</v>
      </c>
      <c r="P23" s="36">
        <f>VLOOKUP($A23,[24]HISTOAOUT24!$A$6:$AU$38,7,0)</f>
        <v>0</v>
      </c>
      <c r="Q23" s="36">
        <f>VLOOKUP($A23,[24]HISTOAOUT24!$A$6:$AU$38,23,0)</f>
        <v>0</v>
      </c>
      <c r="R23" s="36">
        <f>VLOOKUP($A23,[24]HISTOAOUT24!$A$6:$AU$38,46,0)</f>
        <v>0</v>
      </c>
      <c r="S23" s="36">
        <f>VLOOKUP($A23,[24]HISTOAOUT24!$A$6:$AU$38,26,0)</f>
        <v>0</v>
      </c>
      <c r="T23" s="36">
        <f>VLOOKUP($A23,[24]HISTOAOUT24!$A$6:$BG$38,58,0)</f>
        <v>0</v>
      </c>
      <c r="U23" s="36">
        <f>VLOOKUP($A23,[24]HISTOAOUT24!$A$6:$AU$38,28,0)</f>
        <v>0</v>
      </c>
      <c r="V23" s="36">
        <f>VLOOKUP($A23,[24]HISTOAOUT24!$A$6:$AU$38,19,0)</f>
        <v>0</v>
      </c>
      <c r="W23" s="36">
        <f>VLOOKUP($A23,[24]HISTOAOUT24!$A$6:$AU$38,20,0)</f>
        <v>0</v>
      </c>
      <c r="X23" s="36">
        <f>VLOOKUP($A23,[24]HISTOAOUT24!$A$6:$AU$38,27,0)</f>
        <v>0</v>
      </c>
      <c r="Y23" s="36">
        <f>VLOOKUP($A23,[24]HISTOAOUT24!$A$6:$BM$38,33,0)</f>
        <v>0</v>
      </c>
      <c r="Z23" s="36">
        <f>VLOOKUP($A23,[24]HISTOAOUT24!$A$6:$BM$38,65,0)</f>
        <v>0</v>
      </c>
      <c r="AA23" s="36"/>
      <c r="AB23" s="36">
        <f>VLOOKUP($A23,[24]HISTOAOUT24!$A$6:$AU$38,43,0)</f>
        <v>0</v>
      </c>
      <c r="AC23" s="36">
        <f>VLOOKUP($A23,[24]HISTOAOUT24!$A$6:$AU$38,44,0)</f>
        <v>0</v>
      </c>
      <c r="AD23" s="36">
        <f>VLOOKUP($A23,[24]HISTOAOUT24!$A$6:$AU$38,47,0)</f>
        <v>0</v>
      </c>
      <c r="AE23" s="36">
        <f>VLOOKUP(A23,[24]HISTOAOUT24!$A$6:$BB$38,54,0)</f>
        <v>0</v>
      </c>
      <c r="AF23" s="36">
        <f>VLOOKUP($A23,[24]HISTOAOUT24!$A$6:$CA$38,60,0)</f>
        <v>0</v>
      </c>
      <c r="AG23" s="36">
        <f>VLOOKUP($A23,[24]HISTOAOUT24!$A$6:$CA$38,61,0)</f>
        <v>0</v>
      </c>
      <c r="AH23" s="36">
        <f>VLOOKUP($A23,[24]HISTOAOUT24!$A$6:$CA$38,62,0)</f>
        <v>0</v>
      </c>
      <c r="AI23" s="36">
        <f>VLOOKUP($A23,[24]HISTOAOUT24!$A$6:$CA$38,63,0)</f>
        <v>0</v>
      </c>
      <c r="AJ23" s="36">
        <f>VLOOKUP($A23,[24]HISTOAOUT24!$A$6:$CA$38,64,0)</f>
        <v>0</v>
      </c>
      <c r="AK23" s="36">
        <f>VLOOKUP($A23,[24]HISTOAOUT24!$A$6:$CA$38,65,0)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MVTJUIL24!I24-E24+L24</f>
        <v>1074827.8441992993</v>
      </c>
      <c r="G24" s="5">
        <f>IF(MVTJUIL24!I24+L24&gt;700000,(MVTJUIL24!I24-E24+L24),0)</f>
        <v>1074827.8441992993</v>
      </c>
      <c r="H24" s="36">
        <f t="shared" si="0"/>
        <v>0</v>
      </c>
      <c r="I24" s="6">
        <f t="shared" si="2"/>
        <v>1074827.8441992993</v>
      </c>
      <c r="J24" s="36">
        <f>VLOOKUP($A24,[24]HISTOAOUT24!$A$6:$AQ$42,22,0)</f>
        <v>0</v>
      </c>
      <c r="K24" s="36">
        <f>VLOOKUP($A24,[24]HISTOAOUT24!$A$6:$AU$38,45,0)</f>
        <v>0</v>
      </c>
      <c r="L24" s="36">
        <f t="shared" si="3"/>
        <v>0</v>
      </c>
      <c r="M24" s="36">
        <f t="shared" si="4"/>
        <v>0</v>
      </c>
      <c r="N24" s="36">
        <f t="shared" si="1"/>
        <v>0</v>
      </c>
      <c r="O24" s="36">
        <f t="shared" si="5"/>
        <v>0</v>
      </c>
      <c r="P24" s="36">
        <f>VLOOKUP($A24,[24]HISTOAOUT24!$A$6:$AU$38,7,0)</f>
        <v>0</v>
      </c>
      <c r="Q24" s="36">
        <f>VLOOKUP($A24,[24]HISTOAOUT24!$A$6:$AU$38,23,0)</f>
        <v>0</v>
      </c>
      <c r="R24" s="36">
        <f>VLOOKUP($A24,[24]HISTOAOUT24!$A$6:$AU$38,46,0)</f>
        <v>0</v>
      </c>
      <c r="S24" s="36">
        <f>VLOOKUP($A24,[24]HISTOAOUT24!$A$6:$AU$38,26,0)</f>
        <v>0</v>
      </c>
      <c r="T24" s="36">
        <f>VLOOKUP($A24,[24]HISTOAOUT24!$A$6:$BG$38,58,0)</f>
        <v>0</v>
      </c>
      <c r="U24" s="36">
        <f>VLOOKUP($A24,[24]HISTOAOUT24!$A$6:$AU$38,28,0)</f>
        <v>0</v>
      </c>
      <c r="V24" s="36">
        <f>VLOOKUP($A24,[24]HISTOAOUT24!$A$6:$AU$38,19,0)</f>
        <v>0</v>
      </c>
      <c r="W24" s="36">
        <f>VLOOKUP($A24,[24]HISTOAOUT24!$A$6:$AU$38,20,0)</f>
        <v>0</v>
      </c>
      <c r="X24" s="36">
        <f>VLOOKUP($A24,[24]HISTOAOUT24!$A$6:$AU$38,27,0)</f>
        <v>0</v>
      </c>
      <c r="Y24" s="36">
        <f>VLOOKUP($A24,[24]HISTOAOUT24!$A$6:$BM$38,33,0)</f>
        <v>0</v>
      </c>
      <c r="Z24" s="36">
        <f>VLOOKUP($A24,[24]HISTOAOUT24!$A$6:$BM$38,65,0)</f>
        <v>0</v>
      </c>
      <c r="AA24" s="36"/>
      <c r="AB24" s="36">
        <f>VLOOKUP($A24,[24]HISTOAOUT24!$A$6:$AU$38,43,0)</f>
        <v>0</v>
      </c>
      <c r="AC24" s="36">
        <f>VLOOKUP($A24,[24]HISTOAOUT24!$A$6:$AU$38,44,0)</f>
        <v>0</v>
      </c>
      <c r="AD24" s="36">
        <f>VLOOKUP($A24,[24]HISTOAOUT24!$A$6:$AU$38,47,0)</f>
        <v>0</v>
      </c>
      <c r="AE24" s="36">
        <f>VLOOKUP(A24,[24]HISTOAOUT24!$A$6:$BB$38,54,0)</f>
        <v>0</v>
      </c>
      <c r="AF24" s="36">
        <f>VLOOKUP($A24,[24]HISTOAOUT24!$A$6:$CA$38,60,0)</f>
        <v>0</v>
      </c>
      <c r="AG24" s="36">
        <f>VLOOKUP($A24,[24]HISTOAOUT24!$A$6:$CA$38,61,0)</f>
        <v>0</v>
      </c>
      <c r="AH24" s="36">
        <f>VLOOKUP($A24,[24]HISTOAOUT24!$A$6:$CA$38,62,0)</f>
        <v>0</v>
      </c>
      <c r="AI24" s="36">
        <f>VLOOKUP($A24,[24]HISTOAOUT24!$A$6:$CA$38,63,0)</f>
        <v>0</v>
      </c>
      <c r="AJ24" s="36">
        <f>VLOOKUP($A24,[24]HISTOAOUT24!$A$6:$CA$38,64,0)</f>
        <v>0</v>
      </c>
      <c r="AK24" s="36">
        <f>VLOOKUP($A24,[24]HISTOAOUT24!$A$6:$CA$38,65,0)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MVTJUIL24!I25-E25+L25</f>
        <v>896141.79504321574</v>
      </c>
      <c r="G25" s="5">
        <f>IF(MVTJUIL24!I25+L25&gt;700000,(MVTJUIL24!I25-E25+L25),0)</f>
        <v>896141.79504321574</v>
      </c>
      <c r="H25" s="36">
        <f t="shared" si="0"/>
        <v>0</v>
      </c>
      <c r="I25" s="6">
        <f t="shared" si="2"/>
        <v>896141.79504321574</v>
      </c>
      <c r="J25" s="36">
        <f>VLOOKUP($A25,[24]HISTOAOUT24!$A$6:$AQ$42,22,0)</f>
        <v>0</v>
      </c>
      <c r="K25" s="36">
        <f>VLOOKUP($A25,[24]HISTOAOUT24!$A$6:$AU$38,45,0)</f>
        <v>0</v>
      </c>
      <c r="L25" s="36">
        <f t="shared" si="3"/>
        <v>0</v>
      </c>
      <c r="M25" s="36">
        <f t="shared" si="4"/>
        <v>0</v>
      </c>
      <c r="N25" s="36">
        <f t="shared" si="1"/>
        <v>0</v>
      </c>
      <c r="O25" s="36">
        <f t="shared" si="5"/>
        <v>0</v>
      </c>
      <c r="P25" s="36">
        <f>VLOOKUP($A25,[24]HISTOAOUT24!$A$6:$AU$38,7,0)</f>
        <v>0</v>
      </c>
      <c r="Q25" s="36">
        <f>VLOOKUP($A25,[24]HISTOAOUT24!$A$6:$AU$38,23,0)</f>
        <v>0</v>
      </c>
      <c r="R25" s="36">
        <f>VLOOKUP($A25,[24]HISTOAOUT24!$A$6:$AU$38,46,0)</f>
        <v>0</v>
      </c>
      <c r="S25" s="36">
        <f>VLOOKUP($A25,[24]HISTOAOUT24!$A$6:$AU$38,26,0)</f>
        <v>0</v>
      </c>
      <c r="T25" s="36">
        <f>VLOOKUP($A25,[24]HISTOAOUT24!$A$6:$BG$38,58,0)</f>
        <v>0</v>
      </c>
      <c r="U25" s="36">
        <f>VLOOKUP($A25,[24]HISTOAOUT24!$A$6:$AU$38,28,0)</f>
        <v>0</v>
      </c>
      <c r="V25" s="36">
        <f>VLOOKUP($A25,[24]HISTOAOUT24!$A$6:$AU$38,19,0)</f>
        <v>0</v>
      </c>
      <c r="W25" s="36">
        <f>VLOOKUP($A25,[24]HISTOAOUT24!$A$6:$AU$38,20,0)</f>
        <v>0</v>
      </c>
      <c r="X25" s="36">
        <f>VLOOKUP($A25,[24]HISTOAOUT24!$A$6:$AU$38,27,0)</f>
        <v>0</v>
      </c>
      <c r="Y25" s="36">
        <f>VLOOKUP($A25,[24]HISTOAOUT24!$A$6:$BM$38,33,0)</f>
        <v>0</v>
      </c>
      <c r="Z25" s="36">
        <f>VLOOKUP($A25,[24]HISTOAOUT24!$A$6:$BM$38,65,0)</f>
        <v>0</v>
      </c>
      <c r="AA25" s="36"/>
      <c r="AB25" s="36">
        <f>VLOOKUP($A25,[24]HISTOAOUT24!$A$6:$AU$38,43,0)</f>
        <v>0</v>
      </c>
      <c r="AC25" s="36">
        <f>VLOOKUP($A25,[24]HISTOAOUT24!$A$6:$AU$38,44,0)</f>
        <v>0</v>
      </c>
      <c r="AD25" s="36">
        <f>VLOOKUP($A25,[24]HISTOAOUT24!$A$6:$AU$38,47,0)</f>
        <v>0</v>
      </c>
      <c r="AE25" s="36">
        <f>VLOOKUP(A25,[24]HISTOAOUT24!$A$6:$BB$38,54,0)</f>
        <v>0</v>
      </c>
      <c r="AF25" s="36">
        <f>VLOOKUP($A25,[24]HISTOAOUT24!$A$6:$CA$38,60,0)</f>
        <v>0</v>
      </c>
      <c r="AG25" s="36">
        <f>VLOOKUP($A25,[24]HISTOAOUT24!$A$6:$CA$38,61,0)</f>
        <v>0</v>
      </c>
      <c r="AH25" s="36">
        <f>VLOOKUP($A25,[24]HISTOAOUT24!$A$6:$CA$38,62,0)</f>
        <v>0</v>
      </c>
      <c r="AI25" s="36">
        <f>VLOOKUP($A25,[24]HISTOAOUT24!$A$6:$CA$38,63,0)</f>
        <v>0</v>
      </c>
      <c r="AJ25" s="36">
        <f>VLOOKUP($A25,[24]HISTOAOUT24!$A$6:$CA$38,64,0)</f>
        <v>0</v>
      </c>
      <c r="AK25" s="36">
        <f>VLOOKUP($A25,[24]HISTOAOUT24!$A$6:$CA$38,65,0)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MVTJUIL24!I26-E26+L26</f>
        <v>826266.46813543816</v>
      </c>
      <c r="G26" s="5">
        <f>IF(MVTJUIL24!I26+L26&gt;700000,(MVTJUIL24!I26-E26+L26),0)</f>
        <v>826266.46813543816</v>
      </c>
      <c r="H26" s="36">
        <f t="shared" si="0"/>
        <v>0</v>
      </c>
      <c r="I26" s="6">
        <f t="shared" si="2"/>
        <v>826266.46813543816</v>
      </c>
      <c r="J26" s="36">
        <f>VLOOKUP($A26,[24]HISTOAOUT24!$A$6:$AQ$42,22,0)</f>
        <v>0</v>
      </c>
      <c r="K26" s="36">
        <f>VLOOKUP($A26,[24]HISTOAOUT24!$A$6:$AU$38,45,0)</f>
        <v>0</v>
      </c>
      <c r="L26" s="36">
        <f t="shared" si="3"/>
        <v>0</v>
      </c>
      <c r="M26" s="36">
        <f t="shared" si="4"/>
        <v>0</v>
      </c>
      <c r="N26" s="36">
        <f t="shared" si="1"/>
        <v>0</v>
      </c>
      <c r="O26" s="36">
        <f t="shared" si="5"/>
        <v>0</v>
      </c>
      <c r="P26" s="36">
        <f>VLOOKUP($A26,[24]HISTOAOUT24!$A$6:$AU$38,7,0)</f>
        <v>0</v>
      </c>
      <c r="Q26" s="36">
        <f>VLOOKUP($A26,[24]HISTOAOUT24!$A$6:$AU$38,23,0)</f>
        <v>0</v>
      </c>
      <c r="R26" s="36">
        <f>VLOOKUP($A26,[24]HISTOAOUT24!$A$6:$AU$38,46,0)</f>
        <v>0</v>
      </c>
      <c r="S26" s="36">
        <f>VLOOKUP($A26,[24]HISTOAOUT24!$A$6:$AU$38,26,0)</f>
        <v>0</v>
      </c>
      <c r="T26" s="36">
        <f>VLOOKUP($A26,[24]HISTOAOUT24!$A$6:$BG$38,58,0)</f>
        <v>0</v>
      </c>
      <c r="U26" s="36">
        <f>VLOOKUP($A26,[24]HISTOAOUT24!$A$6:$AU$38,28,0)</f>
        <v>0</v>
      </c>
      <c r="V26" s="36">
        <f>VLOOKUP($A26,[24]HISTOAOUT24!$A$6:$AU$38,19,0)</f>
        <v>0</v>
      </c>
      <c r="W26" s="36">
        <f>VLOOKUP($A26,[24]HISTOAOUT24!$A$6:$AU$38,20,0)</f>
        <v>0</v>
      </c>
      <c r="X26" s="36">
        <f>VLOOKUP($A26,[24]HISTOAOUT24!$A$6:$AU$38,27,0)</f>
        <v>0</v>
      </c>
      <c r="Y26" s="36">
        <f>VLOOKUP($A26,[24]HISTOAOUT24!$A$6:$BM$38,33,0)</f>
        <v>0</v>
      </c>
      <c r="Z26" s="36">
        <f>VLOOKUP($A26,[24]HISTOAOUT24!$A$6:$BM$38,65,0)</f>
        <v>0</v>
      </c>
      <c r="AA26" s="36"/>
      <c r="AB26" s="36">
        <f>VLOOKUP($A26,[24]HISTOAOUT24!$A$6:$AU$38,43,0)</f>
        <v>0</v>
      </c>
      <c r="AC26" s="36">
        <f>VLOOKUP($A26,[24]HISTOAOUT24!$A$6:$AU$38,44,0)</f>
        <v>0</v>
      </c>
      <c r="AD26" s="36">
        <f>VLOOKUP($A26,[24]HISTOAOUT24!$A$6:$AU$38,47,0)</f>
        <v>0</v>
      </c>
      <c r="AE26" s="36">
        <f>VLOOKUP(A26,[24]HISTOAOUT24!$A$6:$BB$38,54,0)</f>
        <v>0</v>
      </c>
      <c r="AF26" s="36">
        <f>VLOOKUP($A26,[24]HISTOAOUT24!$A$6:$CA$38,60,0)</f>
        <v>0</v>
      </c>
      <c r="AG26" s="36">
        <f>VLOOKUP($A26,[24]HISTOAOUT24!$A$6:$CA$38,61,0)</f>
        <v>0</v>
      </c>
      <c r="AH26" s="36">
        <f>VLOOKUP($A26,[24]HISTOAOUT24!$A$6:$CA$38,62,0)</f>
        <v>0</v>
      </c>
      <c r="AI26" s="36">
        <f>VLOOKUP($A26,[24]HISTOAOUT24!$A$6:$CA$38,63,0)</f>
        <v>0</v>
      </c>
      <c r="AJ26" s="36">
        <f>VLOOKUP($A26,[24]HISTOAOUT24!$A$6:$CA$38,64,0)</f>
        <v>0</v>
      </c>
      <c r="AK26" s="36">
        <f>VLOOKUP($A26,[24]HISTOAOUT24!$A$6:$CA$38,65,0)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MVTJUIL24!I27-E27+L27</f>
        <v>824824.17371512204</v>
      </c>
      <c r="G27" s="5">
        <f>IF(MVTJUIL24!I27+L27&gt;700000,(MVTJUIL24!I27-E27+L27),0)</f>
        <v>824824.17371512204</v>
      </c>
      <c r="H27" s="36">
        <f t="shared" si="0"/>
        <v>0</v>
      </c>
      <c r="I27" s="6">
        <f t="shared" si="2"/>
        <v>824824.17371512204</v>
      </c>
      <c r="J27" s="36">
        <f>VLOOKUP($A27,[24]HISTOAOUT24!$A$6:$AQ$42,22,0)</f>
        <v>0</v>
      </c>
      <c r="K27" s="36">
        <f>VLOOKUP($A27,[24]HISTOAOUT24!$A$6:$AU$38,45,0)</f>
        <v>0</v>
      </c>
      <c r="L27" s="36">
        <f t="shared" si="3"/>
        <v>0</v>
      </c>
      <c r="M27" s="36">
        <f t="shared" si="4"/>
        <v>0</v>
      </c>
      <c r="N27" s="36">
        <f t="shared" si="1"/>
        <v>0</v>
      </c>
      <c r="O27" s="36">
        <f t="shared" si="5"/>
        <v>0</v>
      </c>
      <c r="P27" s="36">
        <f>VLOOKUP($A27,[24]HISTOAOUT24!$A$6:$AU$38,7,0)</f>
        <v>0</v>
      </c>
      <c r="Q27" s="36">
        <f>VLOOKUP($A27,[24]HISTOAOUT24!$A$6:$AU$38,23,0)</f>
        <v>0</v>
      </c>
      <c r="R27" s="36">
        <f>VLOOKUP($A27,[24]HISTOAOUT24!$A$6:$AU$38,46,0)</f>
        <v>0</v>
      </c>
      <c r="S27" s="36">
        <f>VLOOKUP($A27,[24]HISTOAOUT24!$A$6:$AU$38,26,0)</f>
        <v>0</v>
      </c>
      <c r="T27" s="36">
        <f>VLOOKUP($A27,[24]HISTOAOUT24!$A$6:$BG$38,58,0)</f>
        <v>0</v>
      </c>
      <c r="U27" s="36">
        <f>VLOOKUP($A27,[24]HISTOAOUT24!$A$6:$AU$38,28,0)</f>
        <v>0</v>
      </c>
      <c r="V27" s="36">
        <f>VLOOKUP($A27,[24]HISTOAOUT24!$A$6:$AU$38,19,0)</f>
        <v>0</v>
      </c>
      <c r="W27" s="36">
        <f>VLOOKUP($A27,[24]HISTOAOUT24!$A$6:$AU$38,20,0)</f>
        <v>0</v>
      </c>
      <c r="X27" s="36">
        <f>VLOOKUP($A27,[24]HISTOAOUT24!$A$6:$AU$38,27,0)</f>
        <v>0</v>
      </c>
      <c r="Y27" s="36">
        <f>VLOOKUP($A27,[24]HISTOAOUT24!$A$6:$BM$38,33,0)</f>
        <v>0</v>
      </c>
      <c r="Z27" s="36">
        <f>VLOOKUP($A27,[24]HISTOAOUT24!$A$6:$BM$38,65,0)</f>
        <v>0</v>
      </c>
      <c r="AA27" s="36"/>
      <c r="AB27" s="36">
        <f>VLOOKUP($A27,[24]HISTOAOUT24!$A$6:$AU$38,43,0)</f>
        <v>0</v>
      </c>
      <c r="AC27" s="36">
        <f>VLOOKUP($A27,[24]HISTOAOUT24!$A$6:$AU$38,44,0)</f>
        <v>0</v>
      </c>
      <c r="AD27" s="36">
        <f>VLOOKUP($A27,[24]HISTOAOUT24!$A$6:$AU$38,47,0)</f>
        <v>0</v>
      </c>
      <c r="AE27" s="36">
        <f>VLOOKUP(A27,[24]HISTOAOUT24!$A$6:$BB$38,54,0)</f>
        <v>0</v>
      </c>
      <c r="AF27" s="36">
        <f>VLOOKUP($A27,[24]HISTOAOUT24!$A$6:$CA$38,60,0)</f>
        <v>0</v>
      </c>
      <c r="AG27" s="36">
        <f>VLOOKUP($A27,[24]HISTOAOUT24!$A$6:$CA$38,61,0)</f>
        <v>0</v>
      </c>
      <c r="AH27" s="36">
        <f>VLOOKUP($A27,[24]HISTOAOUT24!$A$6:$CA$38,62,0)</f>
        <v>0</v>
      </c>
      <c r="AI27" s="36">
        <f>VLOOKUP($A27,[24]HISTOAOUT24!$A$6:$CA$38,63,0)</f>
        <v>0</v>
      </c>
      <c r="AJ27" s="36">
        <f>VLOOKUP($A27,[24]HISTOAOUT24!$A$6:$CA$38,64,0)</f>
        <v>0</v>
      </c>
      <c r="AK27" s="36">
        <f>VLOOKUP($A27,[24]HISTOAOUT24!$A$6:$CA$38,65,0)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MVTJUIL24!I28-E28+L28</f>
        <v>726176.12513194664</v>
      </c>
      <c r="G28" s="5">
        <f>IF(MVTJUIL24!I28+L28&gt;700000,(MVTJUIL24!I28-E28+L28),0)</f>
        <v>726176.12513194664</v>
      </c>
      <c r="H28" s="36">
        <f t="shared" si="0"/>
        <v>0</v>
      </c>
      <c r="I28" s="6">
        <f t="shared" si="2"/>
        <v>726176.12513194664</v>
      </c>
      <c r="J28" s="36">
        <f>VLOOKUP($A28,[24]HISTOAOUT24!$A$6:$AQ$42,22,0)</f>
        <v>0</v>
      </c>
      <c r="K28" s="36">
        <f>VLOOKUP($A28,[24]HISTOAOUT24!$A$6:$AU$38,45,0)</f>
        <v>0</v>
      </c>
      <c r="L28" s="36">
        <f t="shared" si="3"/>
        <v>0</v>
      </c>
      <c r="M28" s="36">
        <f t="shared" si="4"/>
        <v>0</v>
      </c>
      <c r="N28" s="36">
        <f t="shared" si="1"/>
        <v>0</v>
      </c>
      <c r="O28" s="36">
        <f t="shared" si="5"/>
        <v>0</v>
      </c>
      <c r="P28" s="36">
        <f>VLOOKUP($A28,[24]HISTOAOUT24!$A$6:$AU$38,7,0)</f>
        <v>0</v>
      </c>
      <c r="Q28" s="36">
        <f>VLOOKUP($A28,[24]HISTOAOUT24!$A$6:$AU$38,23,0)</f>
        <v>0</v>
      </c>
      <c r="R28" s="36">
        <f>VLOOKUP($A28,[24]HISTOAOUT24!$A$6:$AU$38,46,0)</f>
        <v>0</v>
      </c>
      <c r="S28" s="36">
        <f>VLOOKUP($A28,[24]HISTOAOUT24!$A$6:$AU$38,26,0)</f>
        <v>0</v>
      </c>
      <c r="T28" s="36">
        <f>VLOOKUP($A28,[24]HISTOAOUT24!$A$6:$BG$38,58,0)</f>
        <v>0</v>
      </c>
      <c r="U28" s="36">
        <f>VLOOKUP($A28,[24]HISTOAOUT24!$A$6:$AU$38,28,0)</f>
        <v>0</v>
      </c>
      <c r="V28" s="36">
        <f>VLOOKUP($A28,[24]HISTOAOUT24!$A$6:$AU$38,19,0)</f>
        <v>0</v>
      </c>
      <c r="W28" s="36">
        <f>VLOOKUP($A28,[24]HISTOAOUT24!$A$6:$AU$38,20,0)</f>
        <v>0</v>
      </c>
      <c r="X28" s="36">
        <f>VLOOKUP($A28,[24]HISTOAOUT24!$A$6:$AU$38,27,0)</f>
        <v>0</v>
      </c>
      <c r="Y28" s="36">
        <f>VLOOKUP($A28,[24]HISTOAOUT24!$A$6:$BM$38,33,0)</f>
        <v>0</v>
      </c>
      <c r="Z28" s="36">
        <f>VLOOKUP($A28,[24]HISTOAOUT24!$A$6:$BM$38,65,0)</f>
        <v>0</v>
      </c>
      <c r="AA28" s="36"/>
      <c r="AB28" s="36">
        <f>VLOOKUP($A28,[24]HISTOAOUT24!$A$6:$AU$38,43,0)</f>
        <v>0</v>
      </c>
      <c r="AC28" s="36">
        <f>VLOOKUP($A28,[24]HISTOAOUT24!$A$6:$AU$38,44,0)</f>
        <v>0</v>
      </c>
      <c r="AD28" s="36">
        <f>VLOOKUP($A28,[24]HISTOAOUT24!$A$6:$AU$38,47,0)</f>
        <v>0</v>
      </c>
      <c r="AE28" s="36">
        <f>VLOOKUP(A28,[24]HISTOAOUT24!$A$6:$BB$38,54,0)</f>
        <v>0</v>
      </c>
      <c r="AF28" s="36">
        <f>VLOOKUP($A28,[24]HISTOAOUT24!$A$6:$CA$38,60,0)</f>
        <v>0</v>
      </c>
      <c r="AG28" s="36">
        <f>VLOOKUP($A28,[24]HISTOAOUT24!$A$6:$CA$38,61,0)</f>
        <v>0</v>
      </c>
      <c r="AH28" s="36">
        <f>VLOOKUP($A28,[24]HISTOAOUT24!$A$6:$CA$38,62,0)</f>
        <v>0</v>
      </c>
      <c r="AI28" s="36">
        <f>VLOOKUP($A28,[24]HISTOAOUT24!$A$6:$CA$38,63,0)</f>
        <v>0</v>
      </c>
      <c r="AJ28" s="36">
        <f>VLOOKUP($A28,[24]HISTOAOUT24!$A$6:$CA$38,64,0)</f>
        <v>0</v>
      </c>
      <c r="AK28" s="36">
        <f>VLOOKUP($A28,[24]HISTOAOUT24!$A$6:$CA$38,65,0)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MVTJUIL24!I29-E29+L29</f>
        <v>851151.34423741512</v>
      </c>
      <c r="G29" s="5">
        <f>IF(MVTJUIL24!I29+L29&gt;700000,(MVTJUIL24!I29-E29+L29),0)</f>
        <v>851151.34423741512</v>
      </c>
      <c r="H29" s="36">
        <f t="shared" si="0"/>
        <v>0</v>
      </c>
      <c r="I29" s="6">
        <f t="shared" si="2"/>
        <v>851151.34423741512</v>
      </c>
      <c r="J29" s="36">
        <f>VLOOKUP($A29,[24]HISTOAOUT24!$A$6:$AQ$42,22,0)</f>
        <v>0</v>
      </c>
      <c r="K29" s="36">
        <f>VLOOKUP($A29,[24]HISTOAOUT24!$A$6:$AU$38,45,0)</f>
        <v>0</v>
      </c>
      <c r="L29" s="36">
        <f t="shared" si="3"/>
        <v>0</v>
      </c>
      <c r="M29" s="36">
        <f t="shared" si="4"/>
        <v>0</v>
      </c>
      <c r="N29" s="36">
        <f t="shared" si="1"/>
        <v>0</v>
      </c>
      <c r="O29" s="36">
        <f t="shared" si="5"/>
        <v>0</v>
      </c>
      <c r="P29" s="36">
        <f>VLOOKUP($A29,[24]HISTOAOUT24!$A$6:$AU$38,7,0)</f>
        <v>0</v>
      </c>
      <c r="Q29" s="36">
        <f>VLOOKUP($A29,[24]HISTOAOUT24!$A$6:$AU$38,23,0)</f>
        <v>0</v>
      </c>
      <c r="R29" s="36">
        <f>VLOOKUP($A29,[24]HISTOAOUT24!$A$6:$AU$38,46,0)</f>
        <v>0</v>
      </c>
      <c r="S29" s="36">
        <f>VLOOKUP($A29,[24]HISTOAOUT24!$A$6:$AU$38,26,0)</f>
        <v>0</v>
      </c>
      <c r="T29" s="36">
        <f>VLOOKUP($A29,[24]HISTOAOUT24!$A$6:$BG$38,58,0)</f>
        <v>0</v>
      </c>
      <c r="U29" s="36">
        <f>VLOOKUP($A29,[24]HISTOAOUT24!$A$6:$AU$38,28,0)</f>
        <v>0</v>
      </c>
      <c r="V29" s="36">
        <f>VLOOKUP($A29,[24]HISTOAOUT24!$A$6:$AU$38,19,0)</f>
        <v>0</v>
      </c>
      <c r="W29" s="36">
        <f>VLOOKUP($A29,[24]HISTOAOUT24!$A$6:$AU$38,20,0)</f>
        <v>0</v>
      </c>
      <c r="X29" s="36">
        <f>VLOOKUP($A29,[24]HISTOAOUT24!$A$6:$AU$38,27,0)</f>
        <v>0</v>
      </c>
      <c r="Y29" s="36">
        <f>VLOOKUP($A29,[24]HISTOAOUT24!$A$6:$BM$38,33,0)</f>
        <v>0</v>
      </c>
      <c r="Z29" s="36">
        <f>VLOOKUP($A29,[24]HISTOAOUT24!$A$6:$BM$38,65,0)</f>
        <v>0</v>
      </c>
      <c r="AA29" s="36"/>
      <c r="AB29" s="36">
        <f>VLOOKUP($A29,[24]HISTOAOUT24!$A$6:$AU$38,43,0)</f>
        <v>0</v>
      </c>
      <c r="AC29" s="36">
        <f>VLOOKUP($A29,[24]HISTOAOUT24!$A$6:$AU$38,44,0)</f>
        <v>0</v>
      </c>
      <c r="AD29" s="36">
        <f>VLOOKUP($A29,[24]HISTOAOUT24!$A$6:$AU$38,47,0)</f>
        <v>0</v>
      </c>
      <c r="AE29" s="36">
        <f>VLOOKUP(A29,[24]HISTOAOUT24!$A$6:$BB$38,54,0)</f>
        <v>0</v>
      </c>
      <c r="AF29" s="36">
        <f>VLOOKUP($A29,[24]HISTOAOUT24!$A$6:$CA$38,60,0)</f>
        <v>0</v>
      </c>
      <c r="AG29" s="36">
        <f>VLOOKUP($A29,[24]HISTOAOUT24!$A$6:$CA$38,61,0)</f>
        <v>0</v>
      </c>
      <c r="AH29" s="36">
        <f>VLOOKUP($A29,[24]HISTOAOUT24!$A$6:$CA$38,62,0)</f>
        <v>0</v>
      </c>
      <c r="AI29" s="36">
        <f>VLOOKUP($A29,[24]HISTOAOUT24!$A$6:$CA$38,63,0)</f>
        <v>0</v>
      </c>
      <c r="AJ29" s="36">
        <f>VLOOKUP($A29,[24]HISTOAOUT24!$A$6:$CA$38,64,0)</f>
        <v>0</v>
      </c>
      <c r="AK29" s="36">
        <f>VLOOKUP($A29,[24]HISTOAOUT24!$A$6:$CA$38,65,0)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MVTJUIL24!I30-E30+L30</f>
        <v>755786.81046782702</v>
      </c>
      <c r="G30" s="5">
        <f>IF(MVTJUIL24!I30+L30&gt;700000,(MVTJUIL24!I30-E30+L30),0)</f>
        <v>755786.81046782702</v>
      </c>
      <c r="H30" s="36">
        <f t="shared" si="0"/>
        <v>0</v>
      </c>
      <c r="I30" s="6">
        <f t="shared" si="2"/>
        <v>755786.81046782702</v>
      </c>
      <c r="J30" s="36">
        <f>VLOOKUP($A30,[24]HISTOAOUT24!$A$6:$AQ$42,22,0)</f>
        <v>0</v>
      </c>
      <c r="K30" s="36">
        <f>VLOOKUP($A30,[24]HISTOAOUT24!$A$6:$AU$38,45,0)</f>
        <v>0</v>
      </c>
      <c r="L30" s="36">
        <f t="shared" si="3"/>
        <v>0</v>
      </c>
      <c r="M30" s="36">
        <f t="shared" si="4"/>
        <v>0</v>
      </c>
      <c r="N30" s="36">
        <f t="shared" si="1"/>
        <v>0</v>
      </c>
      <c r="O30" s="36">
        <f t="shared" si="5"/>
        <v>0</v>
      </c>
      <c r="P30" s="36">
        <f>VLOOKUP($A30,[24]HISTOAOUT24!$A$6:$AU$38,7,0)</f>
        <v>0</v>
      </c>
      <c r="Q30" s="36">
        <f>VLOOKUP($A30,[24]HISTOAOUT24!$A$6:$AU$38,23,0)</f>
        <v>0</v>
      </c>
      <c r="R30" s="36">
        <f>VLOOKUP($A30,[24]HISTOAOUT24!$A$6:$AU$38,46,0)</f>
        <v>0</v>
      </c>
      <c r="S30" s="36">
        <f>VLOOKUP($A30,[24]HISTOAOUT24!$A$6:$AU$38,26,0)</f>
        <v>0</v>
      </c>
      <c r="T30" s="36">
        <f>VLOOKUP($A30,[24]HISTOAOUT24!$A$6:$BG$38,58,0)</f>
        <v>0</v>
      </c>
      <c r="U30" s="36">
        <f>VLOOKUP($A30,[24]HISTOAOUT24!$A$6:$AU$38,28,0)</f>
        <v>0</v>
      </c>
      <c r="V30" s="36">
        <f>VLOOKUP($A30,[24]HISTOAOUT24!$A$6:$AU$38,19,0)</f>
        <v>0</v>
      </c>
      <c r="W30" s="36">
        <f>VLOOKUP($A30,[24]HISTOAOUT24!$A$6:$AU$38,20,0)</f>
        <v>0</v>
      </c>
      <c r="X30" s="36">
        <f>VLOOKUP($A30,[24]HISTOAOUT24!$A$6:$AU$38,27,0)</f>
        <v>0</v>
      </c>
      <c r="Y30" s="36">
        <f>VLOOKUP($A30,[24]HISTOAOUT24!$A$6:$BM$38,33,0)</f>
        <v>0</v>
      </c>
      <c r="Z30" s="36">
        <f>VLOOKUP($A30,[24]HISTOAOUT24!$A$6:$BM$38,65,0)</f>
        <v>0</v>
      </c>
      <c r="AA30" s="36"/>
      <c r="AB30" s="36">
        <f>VLOOKUP($A30,[24]HISTOAOUT24!$A$6:$AU$38,43,0)</f>
        <v>0</v>
      </c>
      <c r="AC30" s="36">
        <f>VLOOKUP($A30,[24]HISTOAOUT24!$A$6:$AU$38,44,0)</f>
        <v>0</v>
      </c>
      <c r="AD30" s="36">
        <f>VLOOKUP($A30,[24]HISTOAOUT24!$A$6:$AU$38,47,0)</f>
        <v>0</v>
      </c>
      <c r="AE30" s="36">
        <f>VLOOKUP(A30,[24]HISTOAOUT24!$A$6:$BB$38,54,0)</f>
        <v>0</v>
      </c>
      <c r="AF30" s="36">
        <f>VLOOKUP($A30,[24]HISTOAOUT24!$A$6:$CA$38,60,0)</f>
        <v>0</v>
      </c>
      <c r="AG30" s="36">
        <f>VLOOKUP($A30,[24]HISTOAOUT24!$A$6:$CA$38,61,0)</f>
        <v>0</v>
      </c>
      <c r="AH30" s="36">
        <f>VLOOKUP($A30,[24]HISTOAOUT24!$A$6:$CA$38,62,0)</f>
        <v>0</v>
      </c>
      <c r="AI30" s="36">
        <f>VLOOKUP($A30,[24]HISTOAOUT24!$A$6:$CA$38,63,0)</f>
        <v>0</v>
      </c>
      <c r="AJ30" s="36">
        <f>VLOOKUP($A30,[24]HISTOAOUT24!$A$6:$CA$38,64,0)</f>
        <v>0</v>
      </c>
      <c r="AK30" s="36">
        <f>VLOOKUP($A30,[24]HISTOAOUT24!$A$6:$CA$38,65,0)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MVTJUIL24!I31-E31+L31</f>
        <v>915903.03114813485</v>
      </c>
      <c r="G31" s="5">
        <f>IF(MVTJUIL24!I31+L31&gt;700000,(MVTJUIL24!I31-E31+L31),0)</f>
        <v>915903.03114813485</v>
      </c>
      <c r="H31" s="36">
        <f t="shared" si="0"/>
        <v>0</v>
      </c>
      <c r="I31" s="6">
        <f t="shared" si="2"/>
        <v>915903.03114813485</v>
      </c>
      <c r="J31" s="36">
        <f>VLOOKUP($A31,[24]HISTOAOUT24!$A$6:$AQ$42,22,0)</f>
        <v>0</v>
      </c>
      <c r="K31" s="36">
        <f>VLOOKUP($A31,[24]HISTOAOUT24!$A$6:$AU$38,45,0)</f>
        <v>0</v>
      </c>
      <c r="L31" s="36">
        <f t="shared" si="3"/>
        <v>0</v>
      </c>
      <c r="M31" s="36">
        <f t="shared" si="4"/>
        <v>0</v>
      </c>
      <c r="N31" s="36">
        <f t="shared" si="1"/>
        <v>0</v>
      </c>
      <c r="O31" s="36">
        <f t="shared" si="5"/>
        <v>0</v>
      </c>
      <c r="P31" s="36">
        <f>VLOOKUP($A31,[24]HISTOAOUT24!$A$6:$AU$38,7,0)</f>
        <v>0</v>
      </c>
      <c r="Q31" s="36">
        <f>VLOOKUP($A31,[24]HISTOAOUT24!$A$6:$AU$38,23,0)</f>
        <v>0</v>
      </c>
      <c r="R31" s="36">
        <f>VLOOKUP($A31,[24]HISTOAOUT24!$A$6:$AU$38,46,0)</f>
        <v>0</v>
      </c>
      <c r="S31" s="36">
        <f>VLOOKUP($A31,[24]HISTOAOUT24!$A$6:$AU$38,26,0)</f>
        <v>0</v>
      </c>
      <c r="T31" s="36">
        <f>VLOOKUP($A31,[24]HISTOAOUT24!$A$6:$BG$38,58,0)</f>
        <v>0</v>
      </c>
      <c r="U31" s="36">
        <f>VLOOKUP($A31,[24]HISTOAOUT24!$A$6:$AU$38,28,0)</f>
        <v>0</v>
      </c>
      <c r="V31" s="36">
        <f>VLOOKUP($A31,[24]HISTOAOUT24!$A$6:$AU$38,19,0)</f>
        <v>0</v>
      </c>
      <c r="W31" s="36">
        <f>VLOOKUP($A31,[24]HISTOAOUT24!$A$6:$AU$38,20,0)</f>
        <v>0</v>
      </c>
      <c r="X31" s="36">
        <f>VLOOKUP($A31,[24]HISTOAOUT24!$A$6:$AU$38,27,0)</f>
        <v>0</v>
      </c>
      <c r="Y31" s="36">
        <f>VLOOKUP($A31,[24]HISTOAOUT24!$A$6:$BM$38,33,0)</f>
        <v>0</v>
      </c>
      <c r="Z31" s="36">
        <f>VLOOKUP($A31,[24]HISTOAOUT24!$A$6:$BM$38,65,0)</f>
        <v>0</v>
      </c>
      <c r="AA31" s="36"/>
      <c r="AB31" s="36">
        <f>VLOOKUP($A31,[24]HISTOAOUT24!$A$6:$AU$38,43,0)</f>
        <v>0</v>
      </c>
      <c r="AC31" s="36">
        <f>VLOOKUP($A31,[24]HISTOAOUT24!$A$6:$AU$38,44,0)</f>
        <v>0</v>
      </c>
      <c r="AD31" s="36">
        <f>VLOOKUP($A31,[24]HISTOAOUT24!$A$6:$AU$38,47,0)</f>
        <v>0</v>
      </c>
      <c r="AE31" s="36">
        <f>VLOOKUP(A31,[24]HISTOAOUT24!$A$6:$BB$38,54,0)</f>
        <v>0</v>
      </c>
      <c r="AF31" s="36">
        <f>VLOOKUP($A31,[24]HISTOAOUT24!$A$6:$CA$38,60,0)</f>
        <v>0</v>
      </c>
      <c r="AG31" s="36">
        <f>VLOOKUP($A31,[24]HISTOAOUT24!$A$6:$CA$38,61,0)</f>
        <v>0</v>
      </c>
      <c r="AH31" s="36">
        <f>VLOOKUP($A31,[24]HISTOAOUT24!$A$6:$CA$38,62,0)</f>
        <v>0</v>
      </c>
      <c r="AI31" s="36">
        <f>VLOOKUP($A31,[24]HISTOAOUT24!$A$6:$CA$38,63,0)</f>
        <v>0</v>
      </c>
      <c r="AJ31" s="36">
        <f>VLOOKUP($A31,[24]HISTOAOUT24!$A$6:$CA$38,64,0)</f>
        <v>0</v>
      </c>
      <c r="AK31" s="36">
        <f>VLOOKUP($A31,[24]HISTOAOUT24!$A$6:$CA$38,65,0)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MVTJUIL24!I32-E32+L32</f>
        <v>805243.98131057119</v>
      </c>
      <c r="G32" s="5">
        <f>IF(MVTJUIL24!I32+L32&gt;700000,(MVTJUIL24!I32-E32+L32),0)</f>
        <v>805243.98131057119</v>
      </c>
      <c r="H32" s="36">
        <f t="shared" si="0"/>
        <v>0</v>
      </c>
      <c r="I32" s="6">
        <f t="shared" si="2"/>
        <v>805243.98131057119</v>
      </c>
      <c r="J32" s="36">
        <f>VLOOKUP($A32,[24]HISTOAOUT24!$A$6:$AQ$42,22,0)</f>
        <v>0</v>
      </c>
      <c r="K32" s="36">
        <f>VLOOKUP($A32,[24]HISTOAOUT24!$A$6:$AU$38,45,0)</f>
        <v>0</v>
      </c>
      <c r="L32" s="36">
        <f t="shared" si="3"/>
        <v>0</v>
      </c>
      <c r="M32" s="36">
        <f t="shared" si="4"/>
        <v>0</v>
      </c>
      <c r="N32" s="36">
        <f t="shared" si="1"/>
        <v>0</v>
      </c>
      <c r="O32" s="36">
        <f t="shared" si="5"/>
        <v>0</v>
      </c>
      <c r="P32" s="36">
        <f>VLOOKUP($A32,[24]HISTOAOUT24!$A$6:$AU$38,7,0)</f>
        <v>0</v>
      </c>
      <c r="Q32" s="36">
        <f>VLOOKUP($A32,[24]HISTOAOUT24!$A$6:$AU$38,23,0)</f>
        <v>0</v>
      </c>
      <c r="R32" s="36">
        <f>VLOOKUP($A32,[24]HISTOAOUT24!$A$6:$AU$38,46,0)</f>
        <v>0</v>
      </c>
      <c r="S32" s="36">
        <f>VLOOKUP($A32,[24]HISTOAOUT24!$A$6:$AU$38,26,0)</f>
        <v>0</v>
      </c>
      <c r="T32" s="36">
        <f>VLOOKUP($A32,[24]HISTOAOUT24!$A$6:$BG$38,58,0)</f>
        <v>0</v>
      </c>
      <c r="U32" s="36">
        <f>VLOOKUP($A32,[24]HISTOAOUT24!$A$6:$AU$38,28,0)</f>
        <v>0</v>
      </c>
      <c r="V32" s="36">
        <f>VLOOKUP($A32,[24]HISTOAOUT24!$A$6:$AU$38,19,0)</f>
        <v>0</v>
      </c>
      <c r="W32" s="36">
        <f>VLOOKUP($A32,[24]HISTOAOUT24!$A$6:$AU$38,20,0)</f>
        <v>0</v>
      </c>
      <c r="X32" s="36">
        <f>VLOOKUP($A32,[24]HISTOAOUT24!$A$6:$AU$38,27,0)</f>
        <v>0</v>
      </c>
      <c r="Y32" s="36">
        <f>VLOOKUP($A32,[24]HISTOAOUT24!$A$6:$BM$38,33,0)</f>
        <v>0</v>
      </c>
      <c r="Z32" s="36">
        <f>VLOOKUP($A32,[24]HISTOAOUT24!$A$6:$BM$38,65,0)</f>
        <v>0</v>
      </c>
      <c r="AA32" s="36"/>
      <c r="AB32" s="36">
        <f>VLOOKUP($A32,[24]HISTOAOUT24!$A$6:$AU$38,43,0)</f>
        <v>0</v>
      </c>
      <c r="AC32" s="36">
        <f>VLOOKUP($A32,[24]HISTOAOUT24!$A$6:$AU$38,44,0)</f>
        <v>0</v>
      </c>
      <c r="AD32" s="36">
        <f>VLOOKUP($A32,[24]HISTOAOUT24!$A$6:$AU$38,47,0)</f>
        <v>0</v>
      </c>
      <c r="AE32" s="36">
        <f>VLOOKUP(A32,[24]HISTOAOUT24!$A$6:$BB$38,54,0)</f>
        <v>0</v>
      </c>
      <c r="AF32" s="36">
        <f>VLOOKUP($A32,[24]HISTOAOUT24!$A$6:$CA$38,60,0)</f>
        <v>0</v>
      </c>
      <c r="AG32" s="36">
        <f>VLOOKUP($A32,[24]HISTOAOUT24!$A$6:$CA$38,61,0)</f>
        <v>0</v>
      </c>
      <c r="AH32" s="36">
        <f>VLOOKUP($A32,[24]HISTOAOUT24!$A$6:$CA$38,62,0)</f>
        <v>0</v>
      </c>
      <c r="AI32" s="36">
        <f>VLOOKUP($A32,[24]HISTOAOUT24!$A$6:$CA$38,63,0)</f>
        <v>0</v>
      </c>
      <c r="AJ32" s="36">
        <f>VLOOKUP($A32,[24]HISTOAOUT24!$A$6:$CA$38,64,0)</f>
        <v>0</v>
      </c>
      <c r="AK32" s="36">
        <f>VLOOKUP($A32,[24]HISTOAOUT24!$A$6:$CA$38,65,0)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MVTJUIL24!I33-E33+L33</f>
        <v>805552.64928596013</v>
      </c>
      <c r="G33" s="5">
        <f>IF(MVTJUIL24!I33+L33&gt;700000,(MVTJUIL24!I33-E33+L33),0)</f>
        <v>805552.64928596013</v>
      </c>
      <c r="H33" s="36">
        <f t="shared" si="0"/>
        <v>0</v>
      </c>
      <c r="I33" s="6">
        <f t="shared" si="2"/>
        <v>805552.64928596013</v>
      </c>
      <c r="J33" s="36">
        <f>VLOOKUP($A33,[24]HISTOAOUT24!$A$6:$AQ$42,22,0)</f>
        <v>0</v>
      </c>
      <c r="K33" s="36">
        <f>VLOOKUP($A33,[24]HISTOAOUT24!$A$6:$AU$38,45,0)</f>
        <v>0</v>
      </c>
      <c r="L33" s="36">
        <f t="shared" si="3"/>
        <v>0</v>
      </c>
      <c r="M33" s="36">
        <f t="shared" si="4"/>
        <v>0</v>
      </c>
      <c r="N33" s="36">
        <f t="shared" si="1"/>
        <v>0</v>
      </c>
      <c r="O33" s="36">
        <f t="shared" si="5"/>
        <v>0</v>
      </c>
      <c r="P33" s="36">
        <f>VLOOKUP($A33,[24]HISTOAOUT24!$A$6:$AU$38,7,0)</f>
        <v>0</v>
      </c>
      <c r="Q33" s="36">
        <f>VLOOKUP($A33,[24]HISTOAOUT24!$A$6:$AU$38,23,0)</f>
        <v>0</v>
      </c>
      <c r="R33" s="36">
        <f>VLOOKUP($A33,[24]HISTOAOUT24!$A$6:$AU$38,46,0)</f>
        <v>0</v>
      </c>
      <c r="S33" s="36">
        <f>VLOOKUP($A33,[24]HISTOAOUT24!$A$6:$AU$38,26,0)</f>
        <v>0</v>
      </c>
      <c r="T33" s="36">
        <f>VLOOKUP($A33,[24]HISTOAOUT24!$A$6:$BG$38,58,0)</f>
        <v>0</v>
      </c>
      <c r="U33" s="36">
        <f>VLOOKUP($A33,[24]HISTOAOUT24!$A$6:$AU$38,28,0)</f>
        <v>0</v>
      </c>
      <c r="V33" s="36">
        <f>VLOOKUP($A33,[24]HISTOAOUT24!$A$6:$AU$38,19,0)</f>
        <v>0</v>
      </c>
      <c r="W33" s="36">
        <f>VLOOKUP($A33,[24]HISTOAOUT24!$A$6:$AU$38,20,0)</f>
        <v>0</v>
      </c>
      <c r="X33" s="36">
        <f>VLOOKUP($A33,[24]HISTOAOUT24!$A$6:$AU$38,27,0)</f>
        <v>0</v>
      </c>
      <c r="Y33" s="36">
        <f>VLOOKUP($A33,[24]HISTOAOUT24!$A$6:$BM$38,33,0)</f>
        <v>0</v>
      </c>
      <c r="Z33" s="36">
        <f>VLOOKUP($A33,[24]HISTOAOUT24!$A$6:$BM$38,65,0)</f>
        <v>0</v>
      </c>
      <c r="AA33" s="36"/>
      <c r="AB33" s="36">
        <f>VLOOKUP($A33,[24]HISTOAOUT24!$A$6:$AU$38,43,0)</f>
        <v>0</v>
      </c>
      <c r="AC33" s="36">
        <f>VLOOKUP($A33,[24]HISTOAOUT24!$A$6:$AU$38,44,0)</f>
        <v>0</v>
      </c>
      <c r="AD33" s="36">
        <f>VLOOKUP($A33,[24]HISTOAOUT24!$A$6:$AU$38,47,0)</f>
        <v>0</v>
      </c>
      <c r="AE33" s="36">
        <f>VLOOKUP(A33,[24]HISTOAOUT24!$A$6:$BB$38,54,0)</f>
        <v>0</v>
      </c>
      <c r="AF33" s="36">
        <f>VLOOKUP($A33,[24]HISTOAOUT24!$A$6:$CA$38,60,0)</f>
        <v>0</v>
      </c>
      <c r="AG33" s="36">
        <f>VLOOKUP($A33,[24]HISTOAOUT24!$A$6:$CA$38,61,0)</f>
        <v>0</v>
      </c>
      <c r="AH33" s="36">
        <f>VLOOKUP($A33,[24]HISTOAOUT24!$A$6:$CA$38,62,0)</f>
        <v>0</v>
      </c>
      <c r="AI33" s="36">
        <f>VLOOKUP($A33,[24]HISTOAOUT24!$A$6:$CA$38,63,0)</f>
        <v>0</v>
      </c>
      <c r="AJ33" s="36">
        <f>VLOOKUP($A33,[24]HISTOAOUT24!$A$6:$CA$38,64,0)</f>
        <v>0</v>
      </c>
      <c r="AK33" s="36">
        <f>VLOOKUP($A33,[24]HISTOAOUT24!$A$6:$CA$38,65,0)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MVTJUIL24!I34-E34+L34</f>
        <v>382000</v>
      </c>
      <c r="G34" s="5">
        <f>IF(MVTJUIL24!I34+L34&gt;700000,(MVTJUIL24!I34-E34+L34),0)</f>
        <v>0</v>
      </c>
      <c r="H34" s="36">
        <f t="shared" si="0"/>
        <v>0</v>
      </c>
      <c r="I34" s="6">
        <f t="shared" si="2"/>
        <v>382000</v>
      </c>
      <c r="J34" s="36">
        <f>VLOOKUP($A34,[24]HISTOAOUT24!$A$6:$AQ$42,22,0)</f>
        <v>0</v>
      </c>
      <c r="K34" s="36">
        <f>VLOOKUP($A34,[24]HISTOAOUT24!$A$6:$AU$38,45,0)</f>
        <v>0</v>
      </c>
      <c r="L34" s="36">
        <f t="shared" si="3"/>
        <v>0</v>
      </c>
      <c r="M34" s="36">
        <f t="shared" si="4"/>
        <v>0</v>
      </c>
      <c r="N34" s="36">
        <f t="shared" si="1"/>
        <v>0</v>
      </c>
      <c r="O34" s="36">
        <f t="shared" si="5"/>
        <v>0</v>
      </c>
      <c r="P34" s="36">
        <f>VLOOKUP($A34,[24]HISTOAOUT24!$A$6:$AU$38,7,0)</f>
        <v>0</v>
      </c>
      <c r="Q34" s="36">
        <f>VLOOKUP($A34,[24]HISTOAOUT24!$A$6:$AU$38,23,0)</f>
        <v>0</v>
      </c>
      <c r="R34" s="36">
        <f>VLOOKUP($A34,[24]HISTOAOUT24!$A$6:$AU$38,46,0)</f>
        <v>0</v>
      </c>
      <c r="S34" s="36">
        <f>VLOOKUP($A34,[24]HISTOAOUT24!$A$6:$AU$38,26,0)</f>
        <v>0</v>
      </c>
      <c r="T34" s="36">
        <f>VLOOKUP($A34,[24]HISTOAOUT24!$A$6:$BG$38,58,0)</f>
        <v>0</v>
      </c>
      <c r="U34" s="36">
        <f>VLOOKUP($A34,[24]HISTOAOUT24!$A$6:$AU$38,28,0)</f>
        <v>0</v>
      </c>
      <c r="V34" s="36">
        <f>VLOOKUP($A34,[24]HISTOAOUT24!$A$6:$AU$38,19,0)</f>
        <v>0</v>
      </c>
      <c r="W34" s="36">
        <f>VLOOKUP($A34,[24]HISTOAOUT24!$A$6:$AU$38,20,0)</f>
        <v>0</v>
      </c>
      <c r="X34" s="36">
        <f>VLOOKUP($A34,[24]HISTOAOUT24!$A$6:$AU$38,27,0)</f>
        <v>0</v>
      </c>
      <c r="Y34" s="36">
        <f>VLOOKUP($A34,[24]HISTOAOUT24!$A$6:$BM$38,33,0)</f>
        <v>0</v>
      </c>
      <c r="Z34" s="36">
        <f>VLOOKUP($A34,[24]HISTOAOUT24!$A$6:$BM$38,65,0)</f>
        <v>0</v>
      </c>
      <c r="AA34" s="36"/>
      <c r="AB34" s="36">
        <f>VLOOKUP($A34,[24]HISTOAOUT24!$A$6:$AU$38,43,0)</f>
        <v>0</v>
      </c>
      <c r="AC34" s="36">
        <f>VLOOKUP($A34,[24]HISTOAOUT24!$A$6:$AU$38,44,0)</f>
        <v>0</v>
      </c>
      <c r="AD34" s="36">
        <f>VLOOKUP($A34,[24]HISTOAOUT24!$A$6:$AU$38,47,0)</f>
        <v>0</v>
      </c>
      <c r="AE34" s="36">
        <f>VLOOKUP(A34,[24]HISTOAOUT24!$A$6:$BB$38,54,0)</f>
        <v>0</v>
      </c>
      <c r="AF34" s="36">
        <f>VLOOKUP($A34,[24]HISTOAOUT24!$A$6:$CA$38,60,0)</f>
        <v>0</v>
      </c>
      <c r="AG34" s="36">
        <f>VLOOKUP($A34,[24]HISTOAOUT24!$A$6:$CA$38,61,0)</f>
        <v>0</v>
      </c>
      <c r="AH34" s="36">
        <f>VLOOKUP($A34,[24]HISTOAOUT24!$A$6:$CA$38,62,0)</f>
        <v>0</v>
      </c>
      <c r="AI34" s="36">
        <f>VLOOKUP($A34,[24]HISTOAOUT24!$A$6:$CA$38,63,0)</f>
        <v>0</v>
      </c>
      <c r="AJ34" s="36">
        <f>VLOOKUP($A34,[24]HISTOAOUT24!$A$6:$CA$38,64,0)</f>
        <v>0</v>
      </c>
      <c r="AK34" s="36">
        <f>VLOOKUP($A34,[24]HISTOAOUT24!$A$6:$CA$38,65,0)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MVTJUIL24!I35-E35+L35</f>
        <v>160000</v>
      </c>
      <c r="G35" s="5">
        <f>IF(MVTJUIL24!I35+L35&gt;700000,(MVTJUIL24!I35-E35+L35),0)</f>
        <v>0</v>
      </c>
      <c r="H35" s="36">
        <f t="shared" si="0"/>
        <v>0</v>
      </c>
      <c r="I35" s="6">
        <f t="shared" si="2"/>
        <v>160000</v>
      </c>
      <c r="J35" s="36">
        <f>VLOOKUP($A35,[24]HISTOAOUT24!$A$6:$AQ$42,22,0)</f>
        <v>0</v>
      </c>
      <c r="K35" s="36">
        <f>VLOOKUP($A35,[24]HISTOAOUT24!$A$6:$AU$38,45,0)</f>
        <v>0</v>
      </c>
      <c r="L35" s="36">
        <f t="shared" si="3"/>
        <v>0</v>
      </c>
      <c r="M35" s="36">
        <f t="shared" si="4"/>
        <v>0</v>
      </c>
      <c r="N35" s="36">
        <f t="shared" si="1"/>
        <v>0</v>
      </c>
      <c r="O35" s="36">
        <f t="shared" si="5"/>
        <v>0</v>
      </c>
      <c r="P35" s="36">
        <f>VLOOKUP($A35,[24]HISTOAOUT24!$A$6:$AU$38,7,0)</f>
        <v>0</v>
      </c>
      <c r="Q35" s="36">
        <f>VLOOKUP($A35,[24]HISTOAOUT24!$A$6:$AU$38,23,0)</f>
        <v>0</v>
      </c>
      <c r="R35" s="36">
        <f>VLOOKUP($A35,[24]HISTOAOUT24!$A$6:$AU$38,46,0)</f>
        <v>0</v>
      </c>
      <c r="S35" s="36">
        <f>VLOOKUP($A35,[24]HISTOAOUT24!$A$6:$AU$38,26,0)</f>
        <v>0</v>
      </c>
      <c r="T35" s="36">
        <f>VLOOKUP($A35,[24]HISTOAOUT24!$A$6:$BG$38,58,0)</f>
        <v>0</v>
      </c>
      <c r="U35" s="36">
        <f>VLOOKUP($A35,[24]HISTOAOUT24!$A$6:$AU$38,28,0)</f>
        <v>0</v>
      </c>
      <c r="V35" s="36">
        <f>VLOOKUP($A35,[24]HISTOAOUT24!$A$6:$AU$38,19,0)</f>
        <v>0</v>
      </c>
      <c r="W35" s="36">
        <f>VLOOKUP($A35,[24]HISTOAOUT24!$A$6:$AU$38,20,0)</f>
        <v>0</v>
      </c>
      <c r="X35" s="36">
        <f>VLOOKUP($A35,[24]HISTOAOUT24!$A$6:$AU$38,27,0)</f>
        <v>0</v>
      </c>
      <c r="Y35" s="36">
        <f>VLOOKUP($A35,[24]HISTOAOUT24!$A$6:$BM$38,33,0)</f>
        <v>0</v>
      </c>
      <c r="Z35" s="36">
        <f>VLOOKUP($A35,[24]HISTOAOUT24!$A$6:$BM$38,65,0)</f>
        <v>0</v>
      </c>
      <c r="AA35" s="36"/>
      <c r="AB35" s="36">
        <f>VLOOKUP($A35,[24]HISTOAOUT24!$A$6:$AU$38,43,0)</f>
        <v>0</v>
      </c>
      <c r="AC35" s="36">
        <f>VLOOKUP($A35,[24]HISTOAOUT24!$A$6:$AU$38,44,0)</f>
        <v>0</v>
      </c>
      <c r="AD35" s="36">
        <f>VLOOKUP($A35,[24]HISTOAOUT24!$A$6:$AU$38,47,0)</f>
        <v>0</v>
      </c>
      <c r="AE35" s="36">
        <f>VLOOKUP(A35,[24]HISTOAOUT24!$A$6:$BB$38,54,0)</f>
        <v>0</v>
      </c>
      <c r="AF35" s="36">
        <f>VLOOKUP($A35,[24]HISTOAOUT24!$A$6:$CA$38,60,0)</f>
        <v>0</v>
      </c>
      <c r="AG35" s="36">
        <f>VLOOKUP($A35,[24]HISTOAOUT24!$A$6:$CA$38,61,0)</f>
        <v>0</v>
      </c>
      <c r="AH35" s="36">
        <f>VLOOKUP($A35,[24]HISTOAOUT24!$A$6:$CA$38,62,0)</f>
        <v>0</v>
      </c>
      <c r="AI35" s="36">
        <f>VLOOKUP($A35,[24]HISTOAOUT24!$A$6:$CA$38,63,0)</f>
        <v>0</v>
      </c>
      <c r="AJ35" s="36">
        <f>VLOOKUP($A35,[24]HISTOAOUT24!$A$6:$CA$38,64,0)</f>
        <v>0</v>
      </c>
      <c r="AK35" s="36">
        <f>VLOOKUP($A35,[24]HISTOAOUT24!$A$6:$CA$38,65,0)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MVTJUIL24!I36-E36+L36</f>
        <v>832599.08181867818</v>
      </c>
      <c r="G36" s="5">
        <f>IF(MVTJUIL24!I36+L36&gt;700000,(MVTJUIL24!I36-E36+L36),0)</f>
        <v>832599.08181867818</v>
      </c>
      <c r="H36" s="36">
        <f t="shared" si="0"/>
        <v>0</v>
      </c>
      <c r="I36" s="6">
        <f t="shared" si="2"/>
        <v>832599.08181867818</v>
      </c>
      <c r="J36" s="36">
        <f>VLOOKUP($A36,[24]HISTOAOUT24!$A$6:$AQ$42,22,0)</f>
        <v>0</v>
      </c>
      <c r="K36" s="36">
        <f>VLOOKUP($A36,[24]HISTOAOUT24!$A$6:$AU$38,45,0)</f>
        <v>0</v>
      </c>
      <c r="L36" s="36">
        <f t="shared" si="3"/>
        <v>0</v>
      </c>
      <c r="M36" s="36">
        <f t="shared" si="4"/>
        <v>0</v>
      </c>
      <c r="N36" s="36">
        <f t="shared" si="1"/>
        <v>0</v>
      </c>
      <c r="O36" s="36">
        <f t="shared" si="5"/>
        <v>0</v>
      </c>
      <c r="P36" s="36">
        <f>VLOOKUP($A36,[24]HISTOAOUT24!$A$6:$AU$38,7,0)</f>
        <v>0</v>
      </c>
      <c r="Q36" s="36">
        <f>VLOOKUP($A36,[24]HISTOAOUT24!$A$6:$AU$38,23,0)</f>
        <v>0</v>
      </c>
      <c r="R36" s="36">
        <f>VLOOKUP($A36,[24]HISTOAOUT24!$A$6:$AU$38,46,0)</f>
        <v>0</v>
      </c>
      <c r="S36" s="36">
        <f>VLOOKUP($A36,[24]HISTOAOUT24!$A$6:$AU$38,26,0)</f>
        <v>0</v>
      </c>
      <c r="T36" s="36">
        <f>VLOOKUP($A36,[24]HISTOAOUT24!$A$6:$BG$38,58,0)</f>
        <v>0</v>
      </c>
      <c r="U36" s="36">
        <f>VLOOKUP($A36,[24]HISTOAOUT24!$A$6:$AU$38,28,0)</f>
        <v>0</v>
      </c>
      <c r="V36" s="36">
        <f>VLOOKUP($A36,[24]HISTOAOUT24!$A$6:$AU$38,19,0)</f>
        <v>0</v>
      </c>
      <c r="W36" s="36">
        <f>VLOOKUP($A36,[24]HISTOAOUT24!$A$6:$AU$38,20,0)</f>
        <v>0</v>
      </c>
      <c r="X36" s="36">
        <f>VLOOKUP($A36,[24]HISTOAOUT24!$A$6:$AU$38,27,0)</f>
        <v>0</v>
      </c>
      <c r="Y36" s="36">
        <f>VLOOKUP($A36,[24]HISTOAOUT24!$A$6:$BM$38,33,0)</f>
        <v>0</v>
      </c>
      <c r="Z36" s="36">
        <f>VLOOKUP($A36,[24]HISTOAOUT24!$A$6:$BM$38,65,0)</f>
        <v>0</v>
      </c>
      <c r="AA36" s="36"/>
      <c r="AB36" s="36">
        <f>VLOOKUP($A36,[24]HISTOAOUT24!$A$6:$AU$38,43,0)</f>
        <v>0</v>
      </c>
      <c r="AC36" s="36">
        <f>VLOOKUP($A36,[24]HISTOAOUT24!$A$6:$AU$38,44,0)</f>
        <v>0</v>
      </c>
      <c r="AD36" s="36">
        <f>VLOOKUP($A36,[24]HISTOAOUT24!$A$6:$AU$38,47,0)</f>
        <v>0</v>
      </c>
      <c r="AE36" s="36">
        <f>VLOOKUP(A36,[24]HISTOAOUT24!$A$6:$BB$38,54,0)</f>
        <v>0</v>
      </c>
      <c r="AF36" s="36">
        <f>VLOOKUP($A36,[24]HISTOAOUT24!$A$6:$CA$38,60,0)</f>
        <v>0</v>
      </c>
      <c r="AG36" s="36">
        <f>VLOOKUP($A36,[24]HISTOAOUT24!$A$6:$CA$38,61,0)</f>
        <v>0</v>
      </c>
      <c r="AH36" s="36">
        <f>VLOOKUP($A36,[24]HISTOAOUT24!$A$6:$CA$38,62,0)</f>
        <v>0</v>
      </c>
      <c r="AI36" s="36">
        <f>VLOOKUP($A36,[24]HISTOAOUT24!$A$6:$CA$38,63,0)</f>
        <v>0</v>
      </c>
      <c r="AJ36" s="36">
        <f>VLOOKUP($A36,[24]HISTOAOUT24!$A$6:$CA$38,64,0)</f>
        <v>0</v>
      </c>
      <c r="AK36" s="36">
        <f>VLOOKUP($A36,[24]HISTOAOUT24!$A$6:$CA$38,65,0)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MVTJUIL24!I37-E37+L37</f>
        <v>1875400.7147676253</v>
      </c>
      <c r="G37" s="5">
        <f>IF(MVTJUIL24!I37+L37&gt;700000,(MVTJUIL24!I37-E37+L37),0)</f>
        <v>1875400.7147676253</v>
      </c>
      <c r="H37" s="36">
        <f t="shared" si="0"/>
        <v>0</v>
      </c>
      <c r="I37" s="6">
        <f t="shared" si="2"/>
        <v>1875400.7147676253</v>
      </c>
      <c r="J37" s="36">
        <f>VLOOKUP($A37,[24]HISTOAOUT24!$A$6:$AQ$42,22,0)</f>
        <v>0</v>
      </c>
      <c r="K37" s="36">
        <f>VLOOKUP($A37,[24]HISTOAOUT24!$A$6:$AU$38,45,0)</f>
        <v>0</v>
      </c>
      <c r="L37" s="36">
        <f t="shared" si="3"/>
        <v>0</v>
      </c>
      <c r="M37" s="36">
        <f t="shared" si="4"/>
        <v>0</v>
      </c>
      <c r="N37" s="36">
        <f t="shared" si="1"/>
        <v>0</v>
      </c>
      <c r="O37" s="36">
        <f t="shared" si="5"/>
        <v>0</v>
      </c>
      <c r="P37" s="36">
        <f>VLOOKUP($A37,[24]HISTOAOUT24!$A$6:$AU$38,7,0)</f>
        <v>0</v>
      </c>
      <c r="Q37" s="36">
        <f>VLOOKUP($A37,[24]HISTOAOUT24!$A$6:$AU$38,23,0)</f>
        <v>0</v>
      </c>
      <c r="R37" s="36">
        <f>VLOOKUP($A37,[24]HISTOAOUT24!$A$6:$AU$38,46,0)</f>
        <v>0</v>
      </c>
      <c r="S37" s="36">
        <f>VLOOKUP($A37,[24]HISTOAOUT24!$A$6:$AU$38,26,0)</f>
        <v>0</v>
      </c>
      <c r="T37" s="36">
        <f>VLOOKUP($A37,[24]HISTOAOUT24!$A$6:$BG$38,58,0)</f>
        <v>0</v>
      </c>
      <c r="U37" s="36">
        <f>VLOOKUP($A37,[24]HISTOAOUT24!$A$6:$AU$38,28,0)</f>
        <v>0</v>
      </c>
      <c r="V37" s="36">
        <f>VLOOKUP($A37,[24]HISTOAOUT24!$A$6:$AU$38,19,0)</f>
        <v>0</v>
      </c>
      <c r="W37" s="36">
        <f>VLOOKUP($A37,[24]HISTOAOUT24!$A$6:$AU$38,20,0)</f>
        <v>0</v>
      </c>
      <c r="X37" s="36">
        <f>VLOOKUP($A37,[24]HISTOAOUT24!$A$6:$AU$38,27,0)</f>
        <v>0</v>
      </c>
      <c r="Y37" s="36">
        <f>VLOOKUP($A37,[24]HISTOAOUT24!$A$6:$BM$38,33,0)</f>
        <v>0</v>
      </c>
      <c r="Z37" s="36">
        <f>VLOOKUP($A37,[24]HISTOAOUT24!$A$6:$BM$38,65,0)</f>
        <v>0</v>
      </c>
      <c r="AA37" s="36"/>
      <c r="AB37" s="36">
        <f>VLOOKUP($A37,[24]HISTOAOUT24!$A$6:$AU$38,43,0)</f>
        <v>0</v>
      </c>
      <c r="AC37" s="36">
        <f>VLOOKUP($A37,[24]HISTOAOUT24!$A$6:$AU$38,44,0)</f>
        <v>0</v>
      </c>
      <c r="AD37" s="36">
        <f>VLOOKUP($A37,[24]HISTOAOUT24!$A$6:$AU$38,47,0)</f>
        <v>0</v>
      </c>
      <c r="AE37" s="36">
        <f>VLOOKUP(A37,[24]HISTOAOUT24!$A$6:$BB$38,54,0)</f>
        <v>0</v>
      </c>
      <c r="AF37" s="36">
        <f>VLOOKUP($A37,[24]HISTOAOUT24!$A$6:$CA$38,60,0)</f>
        <v>0</v>
      </c>
      <c r="AG37" s="36">
        <f>VLOOKUP($A37,[24]HISTOAOUT24!$A$6:$CA$38,61,0)</f>
        <v>0</v>
      </c>
      <c r="AH37" s="36">
        <f>VLOOKUP($A37,[24]HISTOAOUT24!$A$6:$CA$38,62,0)</f>
        <v>0</v>
      </c>
      <c r="AI37" s="36">
        <f>VLOOKUP($A37,[24]HISTOAOUT24!$A$6:$CA$38,63,0)</f>
        <v>0</v>
      </c>
      <c r="AJ37" s="36">
        <f>VLOOKUP($A37,[24]HISTOAOUT24!$A$6:$CA$38,64,0)</f>
        <v>0</v>
      </c>
      <c r="AK37" s="36">
        <f>VLOOKUP($A37,[24]HISTOAOUT24!$A$6:$CA$38,65,0)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MVTJUIL24!I38-E38+L38</f>
        <v>57000</v>
      </c>
      <c r="G38" s="5">
        <f>IF(MVTJUIL24!I38+L38&gt;700000,(MVTJUIL24!I38-E38+L38),0)</f>
        <v>0</v>
      </c>
      <c r="H38" s="36">
        <f t="shared" si="0"/>
        <v>0</v>
      </c>
      <c r="I38" s="6">
        <f t="shared" si="2"/>
        <v>57000</v>
      </c>
      <c r="J38" s="36">
        <f>VLOOKUP($A38,[24]HISTOAOUT24!$A$6:$AQ$42,22,0)</f>
        <v>0</v>
      </c>
      <c r="K38" s="36">
        <f>VLOOKUP($A38,[24]HISTOAOUT24!$A$6:$AU$38,45,0)</f>
        <v>0</v>
      </c>
      <c r="L38" s="36">
        <f t="shared" si="3"/>
        <v>0</v>
      </c>
      <c r="M38" s="36">
        <f t="shared" si="4"/>
        <v>0</v>
      </c>
      <c r="N38" s="36">
        <f t="shared" si="1"/>
        <v>0</v>
      </c>
      <c r="O38" s="36">
        <f t="shared" si="5"/>
        <v>0</v>
      </c>
      <c r="P38" s="36">
        <f>VLOOKUP($A38,[24]HISTOAOUT24!$A$6:$AU$38,7,0)</f>
        <v>0</v>
      </c>
      <c r="Q38" s="36">
        <f>VLOOKUP($A38,[24]HISTOAOUT24!$A$6:$AU$38,23,0)</f>
        <v>0</v>
      </c>
      <c r="R38" s="36">
        <f>VLOOKUP($A38,[24]HISTOAOUT24!$A$6:$AU$38,46,0)</f>
        <v>0</v>
      </c>
      <c r="S38" s="36">
        <f>VLOOKUP($A38,[24]HISTOAOUT24!$A$6:$AU$38,26,0)</f>
        <v>0</v>
      </c>
      <c r="T38" s="36">
        <f>VLOOKUP($A38,[24]HISTOAOUT24!$A$6:$BG$38,58,0)</f>
        <v>0</v>
      </c>
      <c r="U38" s="36">
        <f>VLOOKUP($A38,[24]HISTOAOUT24!$A$6:$AU$38,28,0)</f>
        <v>0</v>
      </c>
      <c r="V38" s="36">
        <f>VLOOKUP($A38,[24]HISTOAOUT24!$A$6:$AU$38,19,0)</f>
        <v>0</v>
      </c>
      <c r="W38" s="36">
        <f>VLOOKUP($A38,[24]HISTOAOUT24!$A$6:$AU$38,20,0)</f>
        <v>0</v>
      </c>
      <c r="X38" s="36">
        <f>VLOOKUP($A38,[24]HISTOAOUT24!$A$6:$AU$38,27,0)</f>
        <v>0</v>
      </c>
      <c r="Y38" s="36">
        <f>VLOOKUP($A38,[24]HISTOAOUT24!$A$6:$BM$38,33,0)</f>
        <v>0</v>
      </c>
      <c r="Z38" s="36">
        <f>VLOOKUP($A38,[24]HISTOAOUT24!$A$6:$BM$38,65,0)</f>
        <v>0</v>
      </c>
      <c r="AA38" s="36"/>
      <c r="AB38" s="36">
        <f>VLOOKUP($A38,[24]HISTOAOUT24!$A$6:$AU$38,43,0)</f>
        <v>0</v>
      </c>
      <c r="AC38" s="36">
        <f>VLOOKUP($A38,[24]HISTOAOUT24!$A$6:$AU$38,44,0)</f>
        <v>0</v>
      </c>
      <c r="AD38" s="36">
        <f>VLOOKUP($A38,[24]HISTOAOUT24!$A$6:$AU$38,47,0)</f>
        <v>0</v>
      </c>
      <c r="AE38" s="36">
        <f>VLOOKUP(A38,[24]HISTOAOUT24!$A$6:$BB$38,54,0)</f>
        <v>0</v>
      </c>
      <c r="AF38" s="36">
        <f>VLOOKUP($A38,[24]HISTOAOUT24!$A$6:$CA$38,60,0)</f>
        <v>0</v>
      </c>
      <c r="AG38" s="36">
        <f>VLOOKUP($A38,[24]HISTOAOUT24!$A$6:$CA$38,61,0)</f>
        <v>0</v>
      </c>
      <c r="AH38" s="36">
        <f>VLOOKUP($A38,[24]HISTOAOUT24!$A$6:$CA$38,62,0)</f>
        <v>0</v>
      </c>
      <c r="AI38" s="36">
        <f>VLOOKUP($A38,[24]HISTOAOUT24!$A$6:$CA$38,63,0)</f>
        <v>0</v>
      </c>
      <c r="AJ38" s="36">
        <f>VLOOKUP($A38,[24]HISTOAOUT24!$A$6:$CA$38,64,0)</f>
        <v>0</v>
      </c>
      <c r="AK38" s="36">
        <f>VLOOKUP($A38,[24]HISTOAOUT24!$A$6:$CA$38,65,0)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MVTJUIL24!I39-E39+L39</f>
        <v>2040313.2142100567</v>
      </c>
      <c r="G39" s="5">
        <f>IF(MVTJUIL24!I39+L39&gt;700000,(MVTJUIL24!I39-E39+L39),0)</f>
        <v>2040313.2142100567</v>
      </c>
      <c r="H39" s="36">
        <f t="shared" si="0"/>
        <v>0</v>
      </c>
      <c r="I39" s="6">
        <f t="shared" si="2"/>
        <v>2040313.2142100567</v>
      </c>
      <c r="J39" s="36">
        <f>VLOOKUP($A39,[24]HISTOAOUT24!$A$6:$AQ$42,22,0)</f>
        <v>0</v>
      </c>
      <c r="K39" s="36">
        <f>VLOOKUP($A39,[24]HISTOAOUT24!$A$6:$AU$38,45,0)</f>
        <v>0</v>
      </c>
      <c r="L39" s="36">
        <f t="shared" si="3"/>
        <v>0</v>
      </c>
      <c r="M39" s="36">
        <f t="shared" si="4"/>
        <v>0</v>
      </c>
      <c r="N39" s="36">
        <f t="shared" si="1"/>
        <v>0</v>
      </c>
      <c r="O39" s="36">
        <f t="shared" si="5"/>
        <v>0</v>
      </c>
      <c r="P39" s="36">
        <f>VLOOKUP($A39,[24]HISTOAOUT24!$A$6:$AU$38,7,0)</f>
        <v>0</v>
      </c>
      <c r="Q39" s="36">
        <f>VLOOKUP($A39,[24]HISTOAOUT24!$A$6:$AU$38,23,0)</f>
        <v>0</v>
      </c>
      <c r="R39" s="36">
        <f>VLOOKUP($A39,[24]HISTOAOUT24!$A$6:$AU$38,46,0)</f>
        <v>0</v>
      </c>
      <c r="S39" s="36">
        <f>VLOOKUP($A39,[24]HISTOAOUT24!$A$6:$AU$38,26,0)</f>
        <v>0</v>
      </c>
      <c r="T39" s="36">
        <f>VLOOKUP($A39,[24]HISTOAOUT24!$A$6:$BG$38,58,0)</f>
        <v>0</v>
      </c>
      <c r="U39" s="36">
        <f>VLOOKUP($A39,[24]HISTOAOUT24!$A$6:$AU$38,28,0)</f>
        <v>0</v>
      </c>
      <c r="V39" s="36">
        <f>VLOOKUP($A39,[24]HISTOAOUT24!$A$6:$AU$38,19,0)</f>
        <v>0</v>
      </c>
      <c r="W39" s="36">
        <f>VLOOKUP($A39,[24]HISTOAOUT24!$A$6:$AU$38,20,0)</f>
        <v>0</v>
      </c>
      <c r="X39" s="36">
        <f>VLOOKUP($A39,[24]HISTOAOUT24!$A$6:$AU$38,27,0)</f>
        <v>0</v>
      </c>
      <c r="Y39" s="36">
        <f>VLOOKUP($A39,[24]HISTOAOUT24!$A$6:$BM$38,33,0)</f>
        <v>0</v>
      </c>
      <c r="Z39" s="36">
        <f>VLOOKUP($A39,[24]HISTOAOUT24!$A$6:$BM$38,65,0)</f>
        <v>0</v>
      </c>
      <c r="AA39" s="36"/>
      <c r="AB39" s="36">
        <f>VLOOKUP($A39,[24]HISTOAOUT24!$A$6:$AU$38,43,0)</f>
        <v>0</v>
      </c>
      <c r="AC39" s="36">
        <f>VLOOKUP($A39,[24]HISTOAOUT24!$A$6:$AU$38,44,0)</f>
        <v>0</v>
      </c>
      <c r="AD39" s="36">
        <f>VLOOKUP($A39,[24]HISTOAOUT24!$A$6:$AU$38,47,0)</f>
        <v>0</v>
      </c>
      <c r="AE39" s="36">
        <f>VLOOKUP(A39,[24]HISTOAOUT24!$A$6:$BB$38,54,0)</f>
        <v>0</v>
      </c>
      <c r="AF39" s="36">
        <f>VLOOKUP($A39,[24]HISTOAOUT24!$A$6:$CA$38,60,0)</f>
        <v>0</v>
      </c>
      <c r="AG39" s="36">
        <f>VLOOKUP($A39,[24]HISTOAOUT24!$A$6:$CA$38,61,0)</f>
        <v>0</v>
      </c>
      <c r="AH39" s="36">
        <f>VLOOKUP($A39,[24]HISTOAOUT24!$A$6:$CA$38,62,0)</f>
        <v>0</v>
      </c>
      <c r="AI39" s="36">
        <f>VLOOKUP($A39,[24]HISTOAOUT24!$A$6:$CA$38,63,0)</f>
        <v>0</v>
      </c>
      <c r="AJ39" s="36">
        <f>VLOOKUP($A39,[24]HISTOAOUT24!$A$6:$CA$38,64,0)</f>
        <v>0</v>
      </c>
      <c r="AK39" s="36">
        <f>VLOOKUP($A39,[24]HISTOAOUT24!$A$6:$CA$38,65,0)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28564156.655274987</v>
      </c>
      <c r="G41" s="9">
        <f t="shared" si="10"/>
        <v>27231939.524547949</v>
      </c>
      <c r="H41" s="36">
        <f t="shared" si="10"/>
        <v>0</v>
      </c>
      <c r="I41" s="9">
        <f t="shared" si="10"/>
        <v>28564156.655274987</v>
      </c>
      <c r="J41" s="9">
        <f t="shared" si="10"/>
        <v>0</v>
      </c>
      <c r="K41" s="9">
        <f t="shared" si="10"/>
        <v>0</v>
      </c>
      <c r="L41" s="9">
        <f t="shared" si="10"/>
        <v>0</v>
      </c>
      <c r="M41" s="9">
        <f t="shared" si="10"/>
        <v>0</v>
      </c>
      <c r="N41" s="9">
        <f t="shared" si="10"/>
        <v>0</v>
      </c>
      <c r="O41" s="9">
        <f t="shared" si="10"/>
        <v>0</v>
      </c>
      <c r="P41" s="9">
        <f t="shared" si="10"/>
        <v>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C6" activePane="bottomRight" state="frozen"/>
      <selection activeCell="B43" sqref="B43"/>
      <selection pane="topRight" activeCell="B43" sqref="B43"/>
      <selection pane="bottomLeft" activeCell="B43" sqref="B43"/>
      <selection pane="bottomRight" activeCell="K4" sqref="K4:P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0"/>
      <c r="AM1" s="161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6"/>
      <c r="K4" s="162">
        <v>45643</v>
      </c>
      <c r="L4" s="162"/>
      <c r="M4" s="162"/>
      <c r="N4" s="162"/>
      <c r="O4" s="162"/>
      <c r="P4" s="162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VLOOKUP($A6,[24]HISTODEC24!$A$6:$BA$38,48,0)</f>
        <v>0</v>
      </c>
      <c r="F6" s="36">
        <f>MVTNOV24!I6-E6+L6</f>
        <v>946220.58968855068</v>
      </c>
      <c r="G6" s="5">
        <f>IF(MVTNOV24!I6+L6&gt;700000,(MVTNOV24!I6-E6+L6),0)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VLOOKUP($A6,[24]HISTODEC24!$A$6:$AQ$42,22,0)</f>
        <v>0</v>
      </c>
      <c r="K6" s="36">
        <f>VLOOKUP($A6,[24]HISTODEC24!$A$6:$AU$38,45,0)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VLOOKUP($A6,[24]HISTODEC24!$A$6:$AU$38,7,0)</f>
        <v>0</v>
      </c>
      <c r="Q6" s="36">
        <f>VLOOKUP($A6,[24]HISTODEC24!$A$6:$AU$38,23,0)</f>
        <v>0</v>
      </c>
      <c r="R6" s="36">
        <f>VLOOKUP($A6,[24]HISTODEC24!$A$6:$AU$38,46,0)</f>
        <v>0</v>
      </c>
      <c r="S6" s="36">
        <f>VLOOKUP($A6,[24]HISTODEC24!$A$6:$AU$38,26,0)</f>
        <v>0</v>
      </c>
      <c r="T6" s="36">
        <f>VLOOKUP($A6,[24]HISTODEC24!$A$6:$BG$38,58,0)</f>
        <v>0</v>
      </c>
      <c r="U6" s="36">
        <f>VLOOKUP($A6,[24]HISTODEC24!$A$6:$AU$38,28,0)</f>
        <v>0</v>
      </c>
      <c r="V6" s="36">
        <f>VLOOKUP($A6,[24]HISTODEC24!$A$6:$AU$38,19,0)</f>
        <v>0</v>
      </c>
      <c r="W6" s="36">
        <f>VLOOKUP($A6,[24]HISTODEC24!$A$6:$AU$38,20,0)</f>
        <v>0</v>
      </c>
      <c r="X6" s="36">
        <f>VLOOKUP($A6,[24]HISTODEC24!$A$6:$AU$38,27,0)</f>
        <v>0</v>
      </c>
      <c r="Y6" s="36">
        <f>VLOOKUP($A6,[24]HISTODEC24!$A$6:$BM$38,33,0)</f>
        <v>0</v>
      </c>
      <c r="Z6" s="36">
        <f>VLOOKUP($A6,[24]HISTODEC24!$A$6:$BM$38,65,0)</f>
        <v>0</v>
      </c>
      <c r="AA6" s="36"/>
      <c r="AB6" s="36">
        <f>VLOOKUP($A6,[24]HISTODEC24!$A$6:$AU$38,43,0)</f>
        <v>0</v>
      </c>
      <c r="AC6" s="36">
        <f>VLOOKUP($A6,[24]HISTODEC24!$A$6:$AU$38,44,0)</f>
        <v>0</v>
      </c>
      <c r="AD6" s="36">
        <f>VLOOKUP($A6,[24]HISTODEC24!$A$6:$AU$38,47,0)</f>
        <v>0</v>
      </c>
      <c r="AE6" s="36">
        <f>VLOOKUP(A6,[24]HISTODEC24!$A$6:$BB$38,54,0)</f>
        <v>0</v>
      </c>
      <c r="AF6" s="36">
        <f>VLOOKUP($A6,[24]HISTODEC24!$A$6:$CA$38,60,0)</f>
        <v>0</v>
      </c>
      <c r="AG6" s="36">
        <f>VLOOKUP($A6,[24]HISTODEC24!$A$6:$CA$38,61,0)</f>
        <v>0</v>
      </c>
      <c r="AH6" s="36">
        <f>VLOOKUP($A6,[24]HISTODEC24!$A$6:$CA$38,62,0)</f>
        <v>0</v>
      </c>
      <c r="AI6" s="36">
        <f>VLOOKUP($A6,[24]HISTODEC24!$A$6:$CA$38,63,0)</f>
        <v>0</v>
      </c>
      <c r="AJ6" s="36">
        <f>VLOOKUP($A6,[24]HISTODEC24!$A$6:$CA$38,64,0)</f>
        <v>0</v>
      </c>
      <c r="AK6" s="36">
        <f>VLOOKUP($A6,[24]HISTODEC24!$A$6:$CA$38,65,0)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VLOOKUP($A7,[24]HISTODEC24!$A$6:$BA$38,48,0)</f>
        <v>0</v>
      </c>
      <c r="F7" s="36">
        <f>MVTNOV24!I7-E7+L7</f>
        <v>760791.19348721951</v>
      </c>
      <c r="G7" s="5">
        <f>IF(MVTNOV24!I7+L7&gt;700000,(MVTNOV24!I7-E7+L7),0)</f>
        <v>760791.19348721951</v>
      </c>
      <c r="H7" s="36">
        <f t="shared" si="0"/>
        <v>0</v>
      </c>
      <c r="I7" s="6">
        <f t="shared" ref="I7:I39" si="2">F7+H7</f>
        <v>760791.19348721951</v>
      </c>
      <c r="J7" s="36">
        <f>VLOOKUP($A7,[24]HISTODEC24!$A$6:$AQ$42,22,0)</f>
        <v>0</v>
      </c>
      <c r="K7" s="36">
        <f>VLOOKUP($A7,[24]HISTODEC24!$A$6:$AU$38,45,0)</f>
        <v>0</v>
      </c>
      <c r="L7" s="36">
        <f>IF(K7=0,0,K7-(M7+N7+O7))</f>
        <v>0</v>
      </c>
      <c r="M7" s="36">
        <f>IF(K7=0,0,1000)</f>
        <v>0</v>
      </c>
      <c r="N7" s="36">
        <f t="shared" si="1"/>
        <v>0</v>
      </c>
      <c r="O7" s="36">
        <f>IF(K7=0,0,4000)</f>
        <v>0</v>
      </c>
      <c r="P7" s="36">
        <f>VLOOKUP($A7,[24]HISTODEC24!$A$6:$AU$38,7,0)</f>
        <v>0</v>
      </c>
      <c r="Q7" s="36">
        <f>VLOOKUP($A7,[24]HISTODEC24!$A$6:$AU$38,23,0)</f>
        <v>0</v>
      </c>
      <c r="R7" s="36">
        <f>VLOOKUP($A7,[24]HISTODEC24!$A$6:$AU$38,46,0)</f>
        <v>0</v>
      </c>
      <c r="S7" s="36">
        <f>VLOOKUP($A7,[24]HISTODEC24!$A$6:$AU$38,26,0)</f>
        <v>0</v>
      </c>
      <c r="T7" s="36">
        <f>VLOOKUP($A7,[24]HISTODEC24!$A$6:$BG$38,58,0)</f>
        <v>0</v>
      </c>
      <c r="U7" s="36">
        <f>VLOOKUP($A7,[24]HISTODEC24!$A$6:$AU$38,28,0)</f>
        <v>0</v>
      </c>
      <c r="V7" s="36">
        <f>VLOOKUP($A7,[24]HISTODEC24!$A$6:$AU$38,19,0)</f>
        <v>0</v>
      </c>
      <c r="W7" s="36">
        <f>VLOOKUP($A7,[24]HISTODEC24!$A$6:$AU$38,20,0)</f>
        <v>0</v>
      </c>
      <c r="X7" s="36">
        <f>VLOOKUP($A7,[24]HISTODEC24!$A$6:$AU$38,27,0)</f>
        <v>0</v>
      </c>
      <c r="Y7" s="36">
        <f>VLOOKUP($A7,[24]HISTODEC24!$A$6:$BM$38,33,0)</f>
        <v>0</v>
      </c>
      <c r="Z7" s="36">
        <f>VLOOKUP($A7,[24]HISTODEC24!$A$6:$BM$38,65,0)</f>
        <v>0</v>
      </c>
      <c r="AA7" s="36"/>
      <c r="AB7" s="36">
        <f>VLOOKUP($A7,[24]HISTODEC24!$A$6:$AU$38,43,0)</f>
        <v>0</v>
      </c>
      <c r="AC7" s="36">
        <f>VLOOKUP($A7,[24]HISTODEC24!$A$6:$AU$38,44,0)</f>
        <v>0</v>
      </c>
      <c r="AD7" s="36">
        <f>VLOOKUP($A7,[24]HISTODEC24!$A$6:$AU$38,47,0)</f>
        <v>0</v>
      </c>
      <c r="AE7" s="36">
        <f>VLOOKUP(A7,[24]HISTODEC24!$A$6:$BB$38,54,0)</f>
        <v>0</v>
      </c>
      <c r="AF7" s="36">
        <f>VLOOKUP($A7,[24]HISTODEC24!$A$6:$CA$38,60,0)</f>
        <v>0</v>
      </c>
      <c r="AG7" s="36">
        <f>VLOOKUP($A7,[24]HISTODEC24!$A$6:$CA$38,61,0)</f>
        <v>0</v>
      </c>
      <c r="AH7" s="36">
        <f>VLOOKUP($A7,[24]HISTODEC24!$A$6:$CA$38,62,0)</f>
        <v>0</v>
      </c>
      <c r="AI7" s="36">
        <f>VLOOKUP($A7,[24]HISTODEC24!$A$6:$CA$38,63,0)</f>
        <v>0</v>
      </c>
      <c r="AJ7" s="36">
        <f>VLOOKUP($A7,[24]HISTODEC24!$A$6:$CA$38,64,0)</f>
        <v>0</v>
      </c>
      <c r="AK7" s="36">
        <f>VLOOKUP($A7,[24]HISTODEC24!$A$6:$CA$38,65,0)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VLOOKUP($A8,[24]HISTODEC24!$A$6:$BA$38,48,0)</f>
        <v>0</v>
      </c>
      <c r="F8" s="36">
        <f>MVTNOV24!I8-E8+L8</f>
        <v>801533.31236524263</v>
      </c>
      <c r="G8" s="5">
        <f>IF(MVTNOV24!I8+L8&gt;700000,(MVTNOV24!I8-E8+L8),0)</f>
        <v>801533.31236524263</v>
      </c>
      <c r="H8" s="36">
        <f t="shared" si="0"/>
        <v>0</v>
      </c>
      <c r="I8" s="6">
        <f t="shared" si="2"/>
        <v>801533.31236524263</v>
      </c>
      <c r="J8" s="36">
        <f>VLOOKUP($A8,[24]HISTODEC24!$A$6:$AQ$42,22,0)</f>
        <v>0</v>
      </c>
      <c r="K8" s="36">
        <f>VLOOKUP($A8,[24]HISTODEC24!$A$6:$AU$38,45,0)</f>
        <v>0</v>
      </c>
      <c r="L8" s="36">
        <f t="shared" ref="L8:L39" si="3">IF(K8=0,0,K8-(M8+N8+O8))</f>
        <v>0</v>
      </c>
      <c r="M8" s="36">
        <f t="shared" ref="M8:M39" si="4">IF(K8=0,0,1000)</f>
        <v>0</v>
      </c>
      <c r="N8" s="36">
        <f t="shared" si="1"/>
        <v>0</v>
      </c>
      <c r="O8" s="36">
        <f t="shared" ref="O8:O39" si="5">IF(K8=0,0,4000)</f>
        <v>0</v>
      </c>
      <c r="P8" s="36">
        <f>VLOOKUP($A8,[24]HISTODEC24!$A$6:$AU$38,7,0)</f>
        <v>0</v>
      </c>
      <c r="Q8" s="36">
        <f>VLOOKUP($A8,[24]HISTODEC24!$A$6:$AU$38,23,0)</f>
        <v>0</v>
      </c>
      <c r="R8" s="36">
        <f>VLOOKUP($A8,[24]HISTODEC24!$A$6:$AU$38,46,0)</f>
        <v>0</v>
      </c>
      <c r="S8" s="36">
        <f>VLOOKUP($A8,[24]HISTODEC24!$A$6:$AU$38,26,0)</f>
        <v>0</v>
      </c>
      <c r="T8" s="36">
        <f>VLOOKUP($A8,[24]HISTODEC24!$A$6:$BG$38,58,0)</f>
        <v>0</v>
      </c>
      <c r="U8" s="36">
        <f>VLOOKUP($A8,[24]HISTODEC24!$A$6:$AU$38,28,0)</f>
        <v>0</v>
      </c>
      <c r="V8" s="36">
        <f>VLOOKUP($A8,[24]HISTODEC24!$A$6:$AU$38,19,0)</f>
        <v>0</v>
      </c>
      <c r="W8" s="36">
        <f>VLOOKUP($A8,[24]HISTODEC24!$A$6:$AU$38,20,0)</f>
        <v>0</v>
      </c>
      <c r="X8" s="36">
        <f>VLOOKUP($A8,[24]HISTODEC24!$A$6:$AU$38,27,0)</f>
        <v>0</v>
      </c>
      <c r="Y8" s="36">
        <f>VLOOKUP($A8,[24]HISTODEC24!$A$6:$BM$38,33,0)</f>
        <v>0</v>
      </c>
      <c r="Z8" s="36">
        <f>VLOOKUP($A8,[24]HISTODEC24!$A$6:$BM$38,65,0)</f>
        <v>0</v>
      </c>
      <c r="AA8" s="36"/>
      <c r="AB8" s="36">
        <f>VLOOKUP($A8,[24]HISTODEC24!$A$6:$AU$38,43,0)</f>
        <v>0</v>
      </c>
      <c r="AC8" s="36">
        <f>VLOOKUP($A8,[24]HISTODEC24!$A$6:$AU$38,44,0)</f>
        <v>0</v>
      </c>
      <c r="AD8" s="36">
        <f>VLOOKUP($A8,[24]HISTODEC24!$A$6:$AU$38,47,0)</f>
        <v>0</v>
      </c>
      <c r="AE8" s="36">
        <f>VLOOKUP(A8,[24]HISTODEC24!$A$6:$BB$38,54,0)</f>
        <v>0</v>
      </c>
      <c r="AF8" s="36">
        <f>VLOOKUP($A8,[24]HISTODEC24!$A$6:$CA$38,60,0)</f>
        <v>0</v>
      </c>
      <c r="AG8" s="36">
        <f>VLOOKUP($A8,[24]HISTODEC24!$A$6:$CA$38,61,0)</f>
        <v>0</v>
      </c>
      <c r="AH8" s="36">
        <f>VLOOKUP($A8,[24]HISTODEC24!$A$6:$CA$38,62,0)</f>
        <v>0</v>
      </c>
      <c r="AI8" s="36">
        <f>VLOOKUP($A8,[24]HISTODEC24!$A$6:$CA$38,63,0)</f>
        <v>0</v>
      </c>
      <c r="AJ8" s="36">
        <f>VLOOKUP($A8,[24]HISTODEC24!$A$6:$CA$38,64,0)</f>
        <v>0</v>
      </c>
      <c r="AK8" s="36">
        <f>VLOOKUP($A8,[24]HISTODEC24!$A$6:$CA$38,65,0)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VLOOKUP($A9,[24]HISTODEC24!$A$6:$BA$38,48,0)</f>
        <v>0</v>
      </c>
      <c r="F9" s="36">
        <f>MVTNOV24!I9-E9+L9</f>
        <v>861462.00686817756</v>
      </c>
      <c r="G9" s="5">
        <f>IF(MVTNOV24!I9+L9&gt;700000,(MVTNOV24!I9-E9+L9),0)</f>
        <v>861462.00686817756</v>
      </c>
      <c r="H9" s="36">
        <f t="shared" si="0"/>
        <v>0</v>
      </c>
      <c r="I9" s="6">
        <f t="shared" si="2"/>
        <v>861462.00686817756</v>
      </c>
      <c r="J9" s="36">
        <f>VLOOKUP($A9,[24]HISTODEC24!$A$6:$AQ$42,22,0)</f>
        <v>0</v>
      </c>
      <c r="K9" s="36">
        <f>VLOOKUP($A9,[24]HISTODEC24!$A$6:$AU$38,45,0)</f>
        <v>0</v>
      </c>
      <c r="L9" s="36">
        <f t="shared" si="3"/>
        <v>0</v>
      </c>
      <c r="M9" s="36">
        <f t="shared" si="4"/>
        <v>0</v>
      </c>
      <c r="N9" s="36">
        <f t="shared" si="1"/>
        <v>0</v>
      </c>
      <c r="O9" s="36">
        <f t="shared" si="5"/>
        <v>0</v>
      </c>
      <c r="P9" s="36">
        <f>VLOOKUP($A9,[24]HISTODEC24!$A$6:$AU$38,7,0)</f>
        <v>0</v>
      </c>
      <c r="Q9" s="36">
        <f>VLOOKUP($A9,[24]HISTODEC24!$A$6:$AU$38,23,0)</f>
        <v>0</v>
      </c>
      <c r="R9" s="36">
        <f>VLOOKUP($A9,[24]HISTODEC24!$A$6:$AU$38,46,0)</f>
        <v>0</v>
      </c>
      <c r="S9" s="36">
        <f>VLOOKUP($A9,[24]HISTODEC24!$A$6:$AU$38,26,0)</f>
        <v>0</v>
      </c>
      <c r="T9" s="36">
        <f>VLOOKUP($A9,[24]HISTODEC24!$A$6:$BG$38,58,0)</f>
        <v>0</v>
      </c>
      <c r="U9" s="36">
        <f>VLOOKUP($A9,[24]HISTODEC24!$A$6:$AU$38,28,0)</f>
        <v>0</v>
      </c>
      <c r="V9" s="36">
        <f>VLOOKUP($A9,[24]HISTODEC24!$A$6:$AU$38,19,0)</f>
        <v>0</v>
      </c>
      <c r="W9" s="36">
        <f>VLOOKUP($A9,[24]HISTODEC24!$A$6:$AU$38,20,0)</f>
        <v>0</v>
      </c>
      <c r="X9" s="36">
        <f>VLOOKUP($A9,[24]HISTODEC24!$A$6:$AU$38,27,0)</f>
        <v>0</v>
      </c>
      <c r="Y9" s="36">
        <f>VLOOKUP($A9,[24]HISTODEC24!$A$6:$BM$38,33,0)</f>
        <v>0</v>
      </c>
      <c r="Z9" s="36">
        <f>VLOOKUP($A9,[24]HISTODEC24!$A$6:$BM$38,65,0)</f>
        <v>0</v>
      </c>
      <c r="AA9" s="36"/>
      <c r="AB9" s="36">
        <f>VLOOKUP($A9,[24]HISTODEC24!$A$6:$AU$38,43,0)</f>
        <v>0</v>
      </c>
      <c r="AC9" s="36">
        <f>VLOOKUP($A9,[24]HISTODEC24!$A$6:$AU$38,44,0)</f>
        <v>0</v>
      </c>
      <c r="AD9" s="36">
        <f>VLOOKUP($A9,[24]HISTODEC24!$A$6:$AU$38,47,0)</f>
        <v>0</v>
      </c>
      <c r="AE9" s="36">
        <f>VLOOKUP(A9,[24]HISTODEC24!$A$6:$BB$38,54,0)</f>
        <v>0</v>
      </c>
      <c r="AF9" s="36">
        <f>VLOOKUP($A9,[24]HISTODEC24!$A$6:$CA$38,60,0)</f>
        <v>0</v>
      </c>
      <c r="AG9" s="36">
        <f>VLOOKUP($A9,[24]HISTODEC24!$A$6:$CA$38,61,0)</f>
        <v>0</v>
      </c>
      <c r="AH9" s="36">
        <f>VLOOKUP($A9,[24]HISTODEC24!$A$6:$CA$38,62,0)</f>
        <v>0</v>
      </c>
      <c r="AI9" s="36">
        <f>VLOOKUP($A9,[24]HISTODEC24!$A$6:$CA$38,63,0)</f>
        <v>0</v>
      </c>
      <c r="AJ9" s="36">
        <f>VLOOKUP($A9,[24]HISTODEC24!$A$6:$CA$38,64,0)</f>
        <v>0</v>
      </c>
      <c r="AK9" s="36">
        <f>VLOOKUP($A9,[24]HISTODEC24!$A$6:$CA$38,65,0)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VLOOKUP($A10,[24]HISTODEC24!$A$6:$BA$38,48,0)</f>
        <v>0</v>
      </c>
      <c r="F10" s="36">
        <f>MVTNOV24!I10-E10+L10</f>
        <v>798805.20622596238</v>
      </c>
      <c r="G10" s="5">
        <f>IF(MVTNOV24!I10+L10&gt;700000,(MVTNOV24!I10-E10+L10),0)</f>
        <v>798805.20622596238</v>
      </c>
      <c r="H10" s="36">
        <f t="shared" si="0"/>
        <v>0</v>
      </c>
      <c r="I10" s="6">
        <f t="shared" si="2"/>
        <v>798805.20622596238</v>
      </c>
      <c r="J10" s="36">
        <f>VLOOKUP($A10,[24]HISTODEC24!$A$6:$AQ$42,22,0)</f>
        <v>0</v>
      </c>
      <c r="K10" s="36">
        <f>VLOOKUP($A10,[24]HISTODEC24!$A$6:$AU$38,45,0)</f>
        <v>0</v>
      </c>
      <c r="L10" s="36">
        <f t="shared" si="3"/>
        <v>0</v>
      </c>
      <c r="M10" s="36">
        <f t="shared" si="4"/>
        <v>0</v>
      </c>
      <c r="N10" s="36">
        <f t="shared" si="1"/>
        <v>0</v>
      </c>
      <c r="O10" s="36">
        <f t="shared" si="5"/>
        <v>0</v>
      </c>
      <c r="P10" s="36">
        <f>VLOOKUP($A10,[24]HISTODEC24!$A$6:$AU$38,7,0)</f>
        <v>0</v>
      </c>
      <c r="Q10" s="36">
        <f>VLOOKUP($A10,[24]HISTODEC24!$A$6:$AU$38,23,0)</f>
        <v>0</v>
      </c>
      <c r="R10" s="36">
        <f>VLOOKUP($A10,[24]HISTODEC24!$A$6:$AU$38,46,0)</f>
        <v>0</v>
      </c>
      <c r="S10" s="36">
        <f>VLOOKUP($A10,[24]HISTODEC24!$A$6:$AU$38,26,0)</f>
        <v>0</v>
      </c>
      <c r="T10" s="36">
        <f>VLOOKUP($A10,[24]HISTODEC24!$A$6:$BG$38,58,0)</f>
        <v>0</v>
      </c>
      <c r="U10" s="36">
        <f>VLOOKUP($A10,[24]HISTODEC24!$A$6:$AU$38,28,0)</f>
        <v>0</v>
      </c>
      <c r="V10" s="36">
        <f>VLOOKUP($A10,[24]HISTODEC24!$A$6:$AU$38,19,0)</f>
        <v>0</v>
      </c>
      <c r="W10" s="36">
        <f>VLOOKUP($A10,[24]HISTODEC24!$A$6:$AU$38,20,0)</f>
        <v>0</v>
      </c>
      <c r="X10" s="36">
        <f>VLOOKUP($A10,[24]HISTODEC24!$A$6:$AU$38,27,0)</f>
        <v>0</v>
      </c>
      <c r="Y10" s="36">
        <f>VLOOKUP($A10,[24]HISTODEC24!$A$6:$BM$38,33,0)</f>
        <v>0</v>
      </c>
      <c r="Z10" s="36">
        <f>VLOOKUP($A10,[24]HISTODEC24!$A$6:$BM$38,65,0)</f>
        <v>0</v>
      </c>
      <c r="AA10" s="36"/>
      <c r="AB10" s="36">
        <f>VLOOKUP($A10,[24]HISTODEC24!$A$6:$AU$38,43,0)</f>
        <v>0</v>
      </c>
      <c r="AC10" s="36">
        <f>VLOOKUP($A10,[24]HISTODEC24!$A$6:$AU$38,44,0)</f>
        <v>0</v>
      </c>
      <c r="AD10" s="36">
        <f>VLOOKUP($A10,[24]HISTODEC24!$A$6:$AU$38,47,0)</f>
        <v>0</v>
      </c>
      <c r="AE10" s="36">
        <f>VLOOKUP(A10,[24]HISTODEC24!$A$6:$BB$38,54,0)</f>
        <v>0</v>
      </c>
      <c r="AF10" s="36">
        <f>VLOOKUP($A10,[24]HISTODEC24!$A$6:$CA$38,60,0)</f>
        <v>0</v>
      </c>
      <c r="AG10" s="36">
        <f>VLOOKUP($A10,[24]HISTODEC24!$A$6:$CA$38,61,0)</f>
        <v>0</v>
      </c>
      <c r="AH10" s="36">
        <f>VLOOKUP($A10,[24]HISTODEC24!$A$6:$CA$38,62,0)</f>
        <v>0</v>
      </c>
      <c r="AI10" s="36">
        <f>VLOOKUP($A10,[24]HISTODEC24!$A$6:$CA$38,63,0)</f>
        <v>0</v>
      </c>
      <c r="AJ10" s="36">
        <f>VLOOKUP($A10,[24]HISTODEC24!$A$6:$CA$38,64,0)</f>
        <v>0</v>
      </c>
      <c r="AK10" s="36">
        <f>VLOOKUP($A10,[24]HISTODEC24!$A$6:$CA$38,65,0)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VLOOKUP($A11,[24]HISTODEC24!$A$6:$BA$38,48,0)</f>
        <v>0</v>
      </c>
      <c r="F11" s="36">
        <f>MVTNOV24!I11-E11+L11</f>
        <v>806855.82895949238</v>
      </c>
      <c r="G11" s="5">
        <f>IF(MVTNOV24!I11+L11&gt;700000,(MVTNOV24!I11-E11+L11),0)</f>
        <v>806855.82895949238</v>
      </c>
      <c r="H11" s="36">
        <f t="shared" si="0"/>
        <v>0</v>
      </c>
      <c r="I11" s="6">
        <f t="shared" si="2"/>
        <v>806855.82895949238</v>
      </c>
      <c r="J11" s="36">
        <f>VLOOKUP($A11,[24]HISTODEC24!$A$6:$AQ$42,22,0)</f>
        <v>0</v>
      </c>
      <c r="K11" s="36">
        <f>VLOOKUP($A11,[24]HISTODEC24!$A$6:$AU$38,45,0)</f>
        <v>0</v>
      </c>
      <c r="L11" s="36">
        <f t="shared" si="3"/>
        <v>0</v>
      </c>
      <c r="M11" s="36">
        <f t="shared" si="4"/>
        <v>0</v>
      </c>
      <c r="N11" s="36">
        <f t="shared" si="1"/>
        <v>0</v>
      </c>
      <c r="O11" s="36">
        <f t="shared" si="5"/>
        <v>0</v>
      </c>
      <c r="P11" s="36">
        <f>VLOOKUP($A11,[24]HISTODEC24!$A$6:$AU$38,7,0)</f>
        <v>0</v>
      </c>
      <c r="Q11" s="36">
        <f>VLOOKUP($A11,[24]HISTODEC24!$A$6:$AU$38,23,0)</f>
        <v>0</v>
      </c>
      <c r="R11" s="36">
        <f>VLOOKUP($A11,[24]HISTODEC24!$A$6:$AU$38,46,0)</f>
        <v>0</v>
      </c>
      <c r="S11" s="36">
        <f>VLOOKUP($A11,[24]HISTODEC24!$A$6:$AU$38,26,0)</f>
        <v>0</v>
      </c>
      <c r="T11" s="36">
        <f>VLOOKUP($A11,[24]HISTODEC24!$A$6:$BG$38,58,0)</f>
        <v>0</v>
      </c>
      <c r="U11" s="36">
        <f>VLOOKUP($A11,[24]HISTODEC24!$A$6:$AU$38,28,0)</f>
        <v>0</v>
      </c>
      <c r="V11" s="36">
        <f>VLOOKUP($A11,[24]HISTODEC24!$A$6:$AU$38,19,0)</f>
        <v>0</v>
      </c>
      <c r="W11" s="36">
        <f>VLOOKUP($A11,[24]HISTODEC24!$A$6:$AU$38,20,0)</f>
        <v>0</v>
      </c>
      <c r="X11" s="36">
        <f>VLOOKUP($A11,[24]HISTODEC24!$A$6:$AU$38,27,0)</f>
        <v>0</v>
      </c>
      <c r="Y11" s="36">
        <f>VLOOKUP($A11,[24]HISTODEC24!$A$6:$BM$38,33,0)</f>
        <v>0</v>
      </c>
      <c r="Z11" s="36">
        <f>VLOOKUP($A11,[24]HISTODEC24!$A$6:$BM$38,65,0)</f>
        <v>0</v>
      </c>
      <c r="AA11" s="36"/>
      <c r="AB11" s="36">
        <f>VLOOKUP($A11,[24]HISTODEC24!$A$6:$AU$38,43,0)</f>
        <v>0</v>
      </c>
      <c r="AC11" s="36">
        <f>VLOOKUP($A11,[24]HISTODEC24!$A$6:$AU$38,44,0)</f>
        <v>0</v>
      </c>
      <c r="AD11" s="36">
        <f>VLOOKUP($A11,[24]HISTODEC24!$A$6:$AU$38,47,0)</f>
        <v>0</v>
      </c>
      <c r="AE11" s="36">
        <f>VLOOKUP(A11,[24]HISTODEC24!$A$6:$BB$38,54,0)</f>
        <v>0</v>
      </c>
      <c r="AF11" s="36">
        <f>VLOOKUP($A11,[24]HISTODEC24!$A$6:$CA$38,60,0)</f>
        <v>0</v>
      </c>
      <c r="AG11" s="36">
        <f>VLOOKUP($A11,[24]HISTODEC24!$A$6:$CA$38,61,0)</f>
        <v>0</v>
      </c>
      <c r="AH11" s="36">
        <f>VLOOKUP($A11,[24]HISTODEC24!$A$6:$CA$38,62,0)</f>
        <v>0</v>
      </c>
      <c r="AI11" s="36">
        <f>VLOOKUP($A11,[24]HISTODEC24!$A$6:$CA$38,63,0)</f>
        <v>0</v>
      </c>
      <c r="AJ11" s="36">
        <f>VLOOKUP($A11,[24]HISTODEC24!$A$6:$CA$38,64,0)</f>
        <v>0</v>
      </c>
      <c r="AK11" s="36">
        <f>VLOOKUP($A11,[24]HISTODEC24!$A$6:$CA$38,65,0)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VLOOKUP($A12,[24]HISTODEC24!$A$6:$BA$38,48,0)</f>
        <v>0</v>
      </c>
      <c r="F12" s="36">
        <f>MVTNOV24!I12-E12+L12</f>
        <v>835100.14741339569</v>
      </c>
      <c r="G12" s="5">
        <f>IF(MVTNOV24!I12+L12&gt;700000,(MVTNOV24!I12-E12+L12),0)</f>
        <v>835100.14741339569</v>
      </c>
      <c r="H12" s="36">
        <f t="shared" si="0"/>
        <v>0</v>
      </c>
      <c r="I12" s="6">
        <f t="shared" si="2"/>
        <v>835100.14741339569</v>
      </c>
      <c r="J12" s="36">
        <f>VLOOKUP($A12,[24]HISTODEC24!$A$6:$AQ$42,22,0)</f>
        <v>0</v>
      </c>
      <c r="K12" s="36">
        <f>VLOOKUP($A12,[24]HISTODEC24!$A$6:$AU$38,45,0)</f>
        <v>0</v>
      </c>
      <c r="L12" s="36">
        <f t="shared" si="3"/>
        <v>0</v>
      </c>
      <c r="M12" s="36">
        <f t="shared" si="4"/>
        <v>0</v>
      </c>
      <c r="N12" s="36">
        <f t="shared" si="1"/>
        <v>0</v>
      </c>
      <c r="O12" s="36">
        <f t="shared" si="5"/>
        <v>0</v>
      </c>
      <c r="P12" s="36">
        <f>VLOOKUP($A12,[24]HISTODEC24!$A$6:$AU$38,7,0)</f>
        <v>0</v>
      </c>
      <c r="Q12" s="36">
        <f>VLOOKUP($A12,[24]HISTODEC24!$A$6:$AU$38,23,0)</f>
        <v>0</v>
      </c>
      <c r="R12" s="36">
        <f>VLOOKUP($A12,[24]HISTODEC24!$A$6:$AU$38,46,0)</f>
        <v>0</v>
      </c>
      <c r="S12" s="36">
        <f>VLOOKUP($A12,[24]HISTODEC24!$A$6:$AU$38,26,0)</f>
        <v>0</v>
      </c>
      <c r="T12" s="36">
        <f>VLOOKUP($A12,[24]HISTODEC24!$A$6:$BG$38,58,0)</f>
        <v>0</v>
      </c>
      <c r="U12" s="36">
        <f>VLOOKUP($A12,[24]HISTODEC24!$A$6:$AU$38,28,0)</f>
        <v>0</v>
      </c>
      <c r="V12" s="36">
        <f>VLOOKUP($A12,[24]HISTODEC24!$A$6:$AU$38,19,0)</f>
        <v>0</v>
      </c>
      <c r="W12" s="36">
        <f>VLOOKUP($A12,[24]HISTODEC24!$A$6:$AU$38,20,0)</f>
        <v>0</v>
      </c>
      <c r="X12" s="36">
        <f>VLOOKUP($A12,[24]HISTODEC24!$A$6:$AU$38,27,0)</f>
        <v>0</v>
      </c>
      <c r="Y12" s="36">
        <f>VLOOKUP($A12,[24]HISTODEC24!$A$6:$BM$38,33,0)</f>
        <v>0</v>
      </c>
      <c r="Z12" s="36">
        <f>VLOOKUP($A12,[24]HISTODEC24!$A$6:$BM$38,65,0)</f>
        <v>0</v>
      </c>
      <c r="AA12" s="36"/>
      <c r="AB12" s="36">
        <f>VLOOKUP($A12,[24]HISTODEC24!$A$6:$AU$38,43,0)</f>
        <v>0</v>
      </c>
      <c r="AC12" s="36">
        <f>VLOOKUP($A12,[24]HISTODEC24!$A$6:$AU$38,44,0)</f>
        <v>0</v>
      </c>
      <c r="AD12" s="36">
        <f>VLOOKUP($A12,[24]HISTODEC24!$A$6:$AU$38,47,0)</f>
        <v>0</v>
      </c>
      <c r="AE12" s="36">
        <f>VLOOKUP(A12,[24]HISTODEC24!$A$6:$BB$38,54,0)</f>
        <v>0</v>
      </c>
      <c r="AF12" s="36">
        <f>VLOOKUP($A12,[24]HISTODEC24!$A$6:$CA$38,60,0)</f>
        <v>0</v>
      </c>
      <c r="AG12" s="36">
        <f>VLOOKUP($A12,[24]HISTODEC24!$A$6:$CA$38,61,0)</f>
        <v>0</v>
      </c>
      <c r="AH12" s="36">
        <f>VLOOKUP($A12,[24]HISTODEC24!$A$6:$CA$38,62,0)</f>
        <v>0</v>
      </c>
      <c r="AI12" s="36">
        <f>VLOOKUP($A12,[24]HISTODEC24!$A$6:$CA$38,63,0)</f>
        <v>0</v>
      </c>
      <c r="AJ12" s="36">
        <f>VLOOKUP($A12,[24]HISTODEC24!$A$6:$CA$38,64,0)</f>
        <v>0</v>
      </c>
      <c r="AK12" s="36">
        <f>VLOOKUP($A12,[24]HISTODEC24!$A$6:$CA$38,65,0)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VLOOKUP($A13,[24]HISTODEC24!$A$6:$BA$38,48,0)</f>
        <v>0</v>
      </c>
      <c r="F13" s="36">
        <f>MVTNOV24!I13-E13+L13</f>
        <v>804555.14612214814</v>
      </c>
      <c r="G13" s="5">
        <f>IF(MVTNOV24!I13+L13&gt;700000,(MVTNOV24!I13-E13+L13),0)</f>
        <v>804555.14612214814</v>
      </c>
      <c r="H13" s="36">
        <f t="shared" si="0"/>
        <v>0</v>
      </c>
      <c r="I13" s="6">
        <f t="shared" si="2"/>
        <v>804555.14612214814</v>
      </c>
      <c r="J13" s="36">
        <f>VLOOKUP($A13,[24]HISTODEC24!$A$6:$AQ$42,22,0)</f>
        <v>0</v>
      </c>
      <c r="K13" s="36">
        <f>VLOOKUP($A13,[24]HISTODEC24!$A$6:$AU$38,45,0)</f>
        <v>0</v>
      </c>
      <c r="L13" s="36">
        <f t="shared" si="3"/>
        <v>0</v>
      </c>
      <c r="M13" s="36">
        <f t="shared" si="4"/>
        <v>0</v>
      </c>
      <c r="N13" s="36">
        <f t="shared" si="1"/>
        <v>0</v>
      </c>
      <c r="O13" s="36">
        <f t="shared" si="5"/>
        <v>0</v>
      </c>
      <c r="P13" s="36">
        <f>VLOOKUP($A13,[24]HISTODEC24!$A$6:$AU$38,7,0)</f>
        <v>0</v>
      </c>
      <c r="Q13" s="36">
        <f>VLOOKUP($A13,[24]HISTODEC24!$A$6:$AU$38,23,0)</f>
        <v>0</v>
      </c>
      <c r="R13" s="36">
        <f>VLOOKUP($A13,[24]HISTODEC24!$A$6:$AU$38,46,0)</f>
        <v>0</v>
      </c>
      <c r="S13" s="36">
        <f>VLOOKUP($A13,[24]HISTODEC24!$A$6:$AU$38,26,0)</f>
        <v>0</v>
      </c>
      <c r="T13" s="36">
        <f>VLOOKUP($A13,[24]HISTODEC24!$A$6:$BG$38,58,0)</f>
        <v>0</v>
      </c>
      <c r="U13" s="36">
        <f>VLOOKUP($A13,[24]HISTODEC24!$A$6:$AU$38,28,0)</f>
        <v>0</v>
      </c>
      <c r="V13" s="36">
        <f>VLOOKUP($A13,[24]HISTODEC24!$A$6:$AU$38,19,0)</f>
        <v>0</v>
      </c>
      <c r="W13" s="36">
        <f>VLOOKUP($A13,[24]HISTODEC24!$A$6:$AU$38,20,0)</f>
        <v>0</v>
      </c>
      <c r="X13" s="36">
        <f>VLOOKUP($A13,[24]HISTODEC24!$A$6:$AU$38,27,0)</f>
        <v>0</v>
      </c>
      <c r="Y13" s="36">
        <f>VLOOKUP($A13,[24]HISTODEC24!$A$6:$BM$38,33,0)</f>
        <v>0</v>
      </c>
      <c r="Z13" s="36">
        <f>VLOOKUP($A13,[24]HISTODEC24!$A$6:$BM$38,65,0)</f>
        <v>0</v>
      </c>
      <c r="AA13" s="36"/>
      <c r="AB13" s="36">
        <f>VLOOKUP($A13,[24]HISTODEC24!$A$6:$AU$38,43,0)</f>
        <v>0</v>
      </c>
      <c r="AC13" s="36">
        <f>VLOOKUP($A13,[24]HISTODEC24!$A$6:$AU$38,44,0)</f>
        <v>0</v>
      </c>
      <c r="AD13" s="36">
        <f>VLOOKUP($A13,[24]HISTODEC24!$A$6:$AU$38,47,0)</f>
        <v>0</v>
      </c>
      <c r="AE13" s="36">
        <f>VLOOKUP(A13,[24]HISTODEC24!$A$6:$BB$38,54,0)</f>
        <v>0</v>
      </c>
      <c r="AF13" s="36">
        <f>VLOOKUP($A13,[24]HISTODEC24!$A$6:$CA$38,60,0)</f>
        <v>0</v>
      </c>
      <c r="AG13" s="36">
        <f>VLOOKUP($A13,[24]HISTODEC24!$A$6:$CA$38,61,0)</f>
        <v>0</v>
      </c>
      <c r="AH13" s="36">
        <f>VLOOKUP($A13,[24]HISTODEC24!$A$6:$CA$38,62,0)</f>
        <v>0</v>
      </c>
      <c r="AI13" s="36">
        <f>VLOOKUP($A13,[24]HISTODEC24!$A$6:$CA$38,63,0)</f>
        <v>0</v>
      </c>
      <c r="AJ13" s="36">
        <f>VLOOKUP($A13,[24]HISTODEC24!$A$6:$CA$38,64,0)</f>
        <v>0</v>
      </c>
      <c r="AK13" s="36">
        <f>VLOOKUP($A13,[24]HISTODEC24!$A$6:$CA$38,65,0)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VLOOKUP($A14,[24]HISTODEC24!$A$6:$BA$38,48,0)</f>
        <v>0</v>
      </c>
      <c r="F14" s="36">
        <f>MVTNOV24!I14-E14+L14</f>
        <v>1357425.9823482623</v>
      </c>
      <c r="G14" s="5">
        <f>IF(MVTNOV24!I14+L14&gt;700000,(MVTNOV24!I14-E14+L14),0)</f>
        <v>1357425.9823482623</v>
      </c>
      <c r="H14" s="36">
        <f t="shared" si="0"/>
        <v>0</v>
      </c>
      <c r="I14" s="6">
        <f t="shared" si="2"/>
        <v>1357425.9823482623</v>
      </c>
      <c r="J14" s="36">
        <f>VLOOKUP($A14,[24]HISTODEC24!$A$6:$AQ$42,22,0)</f>
        <v>0</v>
      </c>
      <c r="K14" s="36">
        <f>VLOOKUP($A14,[24]HISTODEC24!$A$6:$AU$38,45,0)</f>
        <v>0</v>
      </c>
      <c r="L14" s="36">
        <f t="shared" si="3"/>
        <v>0</v>
      </c>
      <c r="M14" s="36">
        <f t="shared" si="4"/>
        <v>0</v>
      </c>
      <c r="N14" s="36">
        <f t="shared" si="1"/>
        <v>0</v>
      </c>
      <c r="O14" s="36">
        <f t="shared" si="5"/>
        <v>0</v>
      </c>
      <c r="P14" s="36">
        <f>VLOOKUP($A14,[24]HISTODEC24!$A$6:$AU$38,7,0)</f>
        <v>0</v>
      </c>
      <c r="Q14" s="36">
        <f>VLOOKUP($A14,[24]HISTODEC24!$A$6:$AU$38,23,0)</f>
        <v>0</v>
      </c>
      <c r="R14" s="36">
        <f>VLOOKUP($A14,[24]HISTODEC24!$A$6:$AU$38,46,0)</f>
        <v>0</v>
      </c>
      <c r="S14" s="36">
        <f>VLOOKUP($A14,[24]HISTODEC24!$A$6:$AU$38,26,0)</f>
        <v>0</v>
      </c>
      <c r="T14" s="36">
        <f>VLOOKUP($A14,[24]HISTODEC24!$A$6:$BG$38,58,0)</f>
        <v>0</v>
      </c>
      <c r="U14" s="36">
        <f>VLOOKUP($A14,[24]HISTODEC24!$A$6:$AU$38,28,0)</f>
        <v>0</v>
      </c>
      <c r="V14" s="36">
        <f>VLOOKUP($A14,[24]HISTODEC24!$A$6:$AU$38,19,0)</f>
        <v>0</v>
      </c>
      <c r="W14" s="36">
        <f>VLOOKUP($A14,[24]HISTODEC24!$A$6:$AU$38,20,0)</f>
        <v>0</v>
      </c>
      <c r="X14" s="36">
        <f>VLOOKUP($A14,[24]HISTODEC24!$A$6:$AU$38,27,0)</f>
        <v>0</v>
      </c>
      <c r="Y14" s="36">
        <f>VLOOKUP($A14,[24]HISTODEC24!$A$6:$BM$38,33,0)</f>
        <v>0</v>
      </c>
      <c r="Z14" s="36">
        <f>VLOOKUP($A14,[24]HISTODEC24!$A$6:$BM$38,65,0)</f>
        <v>0</v>
      </c>
      <c r="AA14" s="36"/>
      <c r="AB14" s="36">
        <f>VLOOKUP($A14,[24]HISTODEC24!$A$6:$AU$38,43,0)</f>
        <v>0</v>
      </c>
      <c r="AC14" s="36">
        <f>VLOOKUP($A14,[24]HISTODEC24!$A$6:$AU$38,44,0)</f>
        <v>0</v>
      </c>
      <c r="AD14" s="36">
        <f>VLOOKUP($A14,[24]HISTODEC24!$A$6:$AU$38,47,0)</f>
        <v>0</v>
      </c>
      <c r="AE14" s="36">
        <f>VLOOKUP(A14,[24]HISTODEC24!$A$6:$BB$38,54,0)</f>
        <v>0</v>
      </c>
      <c r="AF14" s="36">
        <f>VLOOKUP($A14,[24]HISTODEC24!$A$6:$CA$38,60,0)</f>
        <v>0</v>
      </c>
      <c r="AG14" s="36">
        <f>VLOOKUP($A14,[24]HISTODEC24!$A$6:$CA$38,61,0)</f>
        <v>0</v>
      </c>
      <c r="AH14" s="36">
        <f>VLOOKUP($A14,[24]HISTODEC24!$A$6:$CA$38,62,0)</f>
        <v>0</v>
      </c>
      <c r="AI14" s="36">
        <f>VLOOKUP($A14,[24]HISTODEC24!$A$6:$CA$38,63,0)</f>
        <v>0</v>
      </c>
      <c r="AJ14" s="36">
        <f>VLOOKUP($A14,[24]HISTODEC24!$A$6:$CA$38,64,0)</f>
        <v>0</v>
      </c>
      <c r="AK14" s="36">
        <f>VLOOKUP($A14,[24]HISTODEC24!$A$6:$CA$38,65,0)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VLOOKUP($A15,[24]HISTODEC24!$A$6:$BA$38,48,0)</f>
        <v>0</v>
      </c>
      <c r="F15" s="36">
        <f>MVTNOV24!I15-E15+L15</f>
        <v>866309.62153810938</v>
      </c>
      <c r="G15" s="5">
        <f>IF(MVTNOV24!I15+L15&gt;700000,(MVTNOV24!I15-E15+L15),0)</f>
        <v>866309.62153810938</v>
      </c>
      <c r="H15" s="36">
        <f t="shared" si="0"/>
        <v>0</v>
      </c>
      <c r="I15" s="6">
        <f t="shared" si="2"/>
        <v>866309.62153810938</v>
      </c>
      <c r="J15" s="36">
        <f>VLOOKUP($A15,[24]HISTODEC24!$A$6:$AQ$42,22,0)</f>
        <v>0</v>
      </c>
      <c r="K15" s="36">
        <f>VLOOKUP($A15,[24]HISTODEC24!$A$6:$AU$38,45,0)</f>
        <v>0</v>
      </c>
      <c r="L15" s="36">
        <f t="shared" si="3"/>
        <v>0</v>
      </c>
      <c r="M15" s="36">
        <f t="shared" si="4"/>
        <v>0</v>
      </c>
      <c r="N15" s="36">
        <f t="shared" si="1"/>
        <v>0</v>
      </c>
      <c r="O15" s="36">
        <f t="shared" si="5"/>
        <v>0</v>
      </c>
      <c r="P15" s="36">
        <f>VLOOKUP($A15,[24]HISTODEC24!$A$6:$AU$38,7,0)</f>
        <v>0</v>
      </c>
      <c r="Q15" s="36">
        <f>VLOOKUP($A15,[24]HISTODEC24!$A$6:$AU$38,23,0)</f>
        <v>0</v>
      </c>
      <c r="R15" s="36">
        <f>VLOOKUP($A15,[24]HISTODEC24!$A$6:$AU$38,46,0)</f>
        <v>0</v>
      </c>
      <c r="S15" s="36">
        <f>VLOOKUP($A15,[24]HISTODEC24!$A$6:$AU$38,26,0)</f>
        <v>0</v>
      </c>
      <c r="T15" s="36">
        <f>VLOOKUP($A15,[24]HISTODEC24!$A$6:$BG$38,58,0)</f>
        <v>0</v>
      </c>
      <c r="U15" s="36">
        <f>VLOOKUP($A15,[24]HISTODEC24!$A$6:$AU$38,28,0)</f>
        <v>0</v>
      </c>
      <c r="V15" s="36">
        <f>VLOOKUP($A15,[24]HISTODEC24!$A$6:$AU$38,19,0)</f>
        <v>0</v>
      </c>
      <c r="W15" s="36">
        <f>VLOOKUP($A15,[24]HISTODEC24!$A$6:$AU$38,20,0)</f>
        <v>0</v>
      </c>
      <c r="X15" s="36">
        <f>VLOOKUP($A15,[24]HISTODEC24!$A$6:$AU$38,27,0)</f>
        <v>0</v>
      </c>
      <c r="Y15" s="36">
        <f>VLOOKUP($A15,[24]HISTODEC24!$A$6:$BM$38,33,0)</f>
        <v>0</v>
      </c>
      <c r="Z15" s="36">
        <f>VLOOKUP($A15,[24]HISTODEC24!$A$6:$BM$38,65,0)</f>
        <v>0</v>
      </c>
      <c r="AA15" s="36"/>
      <c r="AB15" s="36">
        <f>VLOOKUP($A15,[24]HISTODEC24!$A$6:$AU$38,43,0)</f>
        <v>0</v>
      </c>
      <c r="AC15" s="36">
        <f>VLOOKUP($A15,[24]HISTODEC24!$A$6:$AU$38,44,0)</f>
        <v>0</v>
      </c>
      <c r="AD15" s="36">
        <f>VLOOKUP($A15,[24]HISTODEC24!$A$6:$AU$38,47,0)</f>
        <v>0</v>
      </c>
      <c r="AE15" s="36">
        <f>VLOOKUP(A15,[24]HISTODEC24!$A$6:$BB$38,54,0)</f>
        <v>0</v>
      </c>
      <c r="AF15" s="36">
        <f>VLOOKUP($A15,[24]HISTODEC24!$A$6:$CA$38,60,0)</f>
        <v>0</v>
      </c>
      <c r="AG15" s="36">
        <f>VLOOKUP($A15,[24]HISTODEC24!$A$6:$CA$38,61,0)</f>
        <v>0</v>
      </c>
      <c r="AH15" s="36">
        <f>VLOOKUP($A15,[24]HISTODEC24!$A$6:$CA$38,62,0)</f>
        <v>0</v>
      </c>
      <c r="AI15" s="36">
        <f>VLOOKUP($A15,[24]HISTODEC24!$A$6:$CA$38,63,0)</f>
        <v>0</v>
      </c>
      <c r="AJ15" s="36">
        <f>VLOOKUP($A15,[24]HISTODEC24!$A$6:$CA$38,64,0)</f>
        <v>0</v>
      </c>
      <c r="AK15" s="36">
        <f>VLOOKUP($A15,[24]HISTODEC24!$A$6:$CA$38,65,0)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VLOOKUP($A16,[24]HISTODEC24!$A$6:$BA$38,48,0)</f>
        <v>0</v>
      </c>
      <c r="F16" s="36">
        <f>MVTNOV24!I16-E16+L16</f>
        <v>941858.70650704834</v>
      </c>
      <c r="G16" s="5">
        <f>IF(MVTNOV24!I16+L16&gt;700000,(MVTNOV24!I16-E16+L16),0)</f>
        <v>941858.70650704834</v>
      </c>
      <c r="H16" s="36">
        <f t="shared" si="0"/>
        <v>0</v>
      </c>
      <c r="I16" s="6">
        <f t="shared" si="2"/>
        <v>941858.70650704834</v>
      </c>
      <c r="J16" s="36">
        <f>VLOOKUP($A16,[24]HISTODEC24!$A$6:$AQ$42,22,0)</f>
        <v>0</v>
      </c>
      <c r="K16" s="36">
        <f>VLOOKUP($A16,[24]HISTODEC24!$A$6:$AU$38,45,0)</f>
        <v>0</v>
      </c>
      <c r="L16" s="36">
        <f t="shared" si="3"/>
        <v>0</v>
      </c>
      <c r="M16" s="36">
        <f t="shared" si="4"/>
        <v>0</v>
      </c>
      <c r="N16" s="36">
        <f t="shared" si="1"/>
        <v>0</v>
      </c>
      <c r="O16" s="36">
        <f t="shared" si="5"/>
        <v>0</v>
      </c>
      <c r="P16" s="36">
        <f>VLOOKUP($A16,[24]HISTODEC24!$A$6:$AU$38,7,0)</f>
        <v>0</v>
      </c>
      <c r="Q16" s="36">
        <f>VLOOKUP($A16,[24]HISTODEC24!$A$6:$AU$38,23,0)</f>
        <v>0</v>
      </c>
      <c r="R16" s="36">
        <f>VLOOKUP($A16,[24]HISTODEC24!$A$6:$AU$38,46,0)</f>
        <v>0</v>
      </c>
      <c r="S16" s="36">
        <f>VLOOKUP($A16,[24]HISTODEC24!$A$6:$AU$38,26,0)</f>
        <v>0</v>
      </c>
      <c r="T16" s="36">
        <f>VLOOKUP($A16,[24]HISTODEC24!$A$6:$BG$38,58,0)</f>
        <v>0</v>
      </c>
      <c r="U16" s="36">
        <f>VLOOKUP($A16,[24]HISTODEC24!$A$6:$AU$38,28,0)</f>
        <v>0</v>
      </c>
      <c r="V16" s="36">
        <f>VLOOKUP($A16,[24]HISTODEC24!$A$6:$AU$38,19,0)</f>
        <v>0</v>
      </c>
      <c r="W16" s="36">
        <f>VLOOKUP($A16,[24]HISTODEC24!$A$6:$AU$38,20,0)</f>
        <v>0</v>
      </c>
      <c r="X16" s="36">
        <f>VLOOKUP($A16,[24]HISTODEC24!$A$6:$AU$38,27,0)</f>
        <v>0</v>
      </c>
      <c r="Y16" s="36">
        <f>VLOOKUP($A16,[24]HISTODEC24!$A$6:$BM$38,33,0)</f>
        <v>0</v>
      </c>
      <c r="Z16" s="36">
        <f>VLOOKUP($A16,[24]HISTODEC24!$A$6:$BM$38,65,0)</f>
        <v>0</v>
      </c>
      <c r="AA16" s="36"/>
      <c r="AB16" s="36">
        <f>VLOOKUP($A16,[24]HISTODEC24!$A$6:$AU$38,43,0)</f>
        <v>0</v>
      </c>
      <c r="AC16" s="36">
        <f>VLOOKUP($A16,[24]HISTODEC24!$A$6:$AU$38,44,0)</f>
        <v>0</v>
      </c>
      <c r="AD16" s="36">
        <f>VLOOKUP($A16,[24]HISTODEC24!$A$6:$AU$38,47,0)</f>
        <v>0</v>
      </c>
      <c r="AE16" s="36">
        <f>VLOOKUP(A16,[24]HISTODEC24!$A$6:$BB$38,54,0)</f>
        <v>0</v>
      </c>
      <c r="AF16" s="36">
        <f>VLOOKUP($A16,[24]HISTODEC24!$A$6:$CA$38,60,0)</f>
        <v>0</v>
      </c>
      <c r="AG16" s="36">
        <f>VLOOKUP($A16,[24]HISTODEC24!$A$6:$CA$38,61,0)</f>
        <v>0</v>
      </c>
      <c r="AH16" s="36">
        <f>VLOOKUP($A16,[24]HISTODEC24!$A$6:$CA$38,62,0)</f>
        <v>0</v>
      </c>
      <c r="AI16" s="36">
        <f>VLOOKUP($A16,[24]HISTODEC24!$A$6:$CA$38,63,0)</f>
        <v>0</v>
      </c>
      <c r="AJ16" s="36">
        <f>VLOOKUP($A16,[24]HISTODEC24!$A$6:$CA$38,64,0)</f>
        <v>0</v>
      </c>
      <c r="AK16" s="36">
        <f>VLOOKUP($A16,[24]HISTODEC24!$A$6:$CA$38,65,0)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VLOOKUP($A17,[24]HISTODEC24!$A$6:$BA$38,48,0)</f>
        <v>0</v>
      </c>
      <c r="F17" s="36">
        <f>MVTNOV24!I17-E17+L17</f>
        <v>814402.7005255461</v>
      </c>
      <c r="G17" s="5">
        <f>IF(MVTNOV24!I17+L17&gt;700000,(MVTNOV24!I17-E17+L17),0)</f>
        <v>814402.7005255461</v>
      </c>
      <c r="H17" s="36">
        <f t="shared" si="0"/>
        <v>0</v>
      </c>
      <c r="I17" s="6">
        <f t="shared" si="2"/>
        <v>814402.7005255461</v>
      </c>
      <c r="J17" s="36">
        <f>VLOOKUP($A17,[24]HISTODEC24!$A$6:$AQ$42,22,0)</f>
        <v>0</v>
      </c>
      <c r="K17" s="36">
        <f>VLOOKUP($A17,[24]HISTODEC24!$A$6:$AU$38,45,0)</f>
        <v>0</v>
      </c>
      <c r="L17" s="36">
        <f t="shared" si="3"/>
        <v>0</v>
      </c>
      <c r="M17" s="36">
        <f t="shared" si="4"/>
        <v>0</v>
      </c>
      <c r="N17" s="36">
        <f t="shared" si="1"/>
        <v>0</v>
      </c>
      <c r="O17" s="36">
        <f t="shared" si="5"/>
        <v>0</v>
      </c>
      <c r="P17" s="36">
        <f>VLOOKUP($A17,[24]HISTODEC24!$A$6:$AU$38,7,0)</f>
        <v>0</v>
      </c>
      <c r="Q17" s="36">
        <f>VLOOKUP($A17,[24]HISTODEC24!$A$6:$AU$38,23,0)</f>
        <v>0</v>
      </c>
      <c r="R17" s="36">
        <f>VLOOKUP($A17,[24]HISTODEC24!$A$6:$AU$38,46,0)</f>
        <v>0</v>
      </c>
      <c r="S17" s="36">
        <f>VLOOKUP($A17,[24]HISTODEC24!$A$6:$AU$38,26,0)</f>
        <v>0</v>
      </c>
      <c r="T17" s="36">
        <f>VLOOKUP($A17,[24]HISTODEC24!$A$6:$BG$38,58,0)</f>
        <v>0</v>
      </c>
      <c r="U17" s="36">
        <f>VLOOKUP($A17,[24]HISTODEC24!$A$6:$AU$38,28,0)</f>
        <v>0</v>
      </c>
      <c r="V17" s="36">
        <f>VLOOKUP($A17,[24]HISTODEC24!$A$6:$AU$38,19,0)</f>
        <v>0</v>
      </c>
      <c r="W17" s="36">
        <f>VLOOKUP($A17,[24]HISTODEC24!$A$6:$AU$38,20,0)</f>
        <v>0</v>
      </c>
      <c r="X17" s="36">
        <f>VLOOKUP($A17,[24]HISTODEC24!$A$6:$AU$38,27,0)</f>
        <v>0</v>
      </c>
      <c r="Y17" s="36">
        <f>VLOOKUP($A17,[24]HISTODEC24!$A$6:$BM$38,33,0)</f>
        <v>0</v>
      </c>
      <c r="Z17" s="36">
        <f>VLOOKUP($A17,[24]HISTODEC24!$A$6:$BM$38,65,0)</f>
        <v>0</v>
      </c>
      <c r="AA17" s="36"/>
      <c r="AB17" s="36">
        <f>VLOOKUP($A17,[24]HISTODEC24!$A$6:$AU$38,43,0)</f>
        <v>0</v>
      </c>
      <c r="AC17" s="36">
        <f>VLOOKUP($A17,[24]HISTODEC24!$A$6:$AU$38,44,0)</f>
        <v>0</v>
      </c>
      <c r="AD17" s="36">
        <f>VLOOKUP($A17,[24]HISTODEC24!$A$6:$AU$38,47,0)</f>
        <v>0</v>
      </c>
      <c r="AE17" s="36">
        <f>VLOOKUP(A17,[24]HISTODEC24!$A$6:$BB$38,54,0)</f>
        <v>0</v>
      </c>
      <c r="AF17" s="36">
        <f>VLOOKUP($A17,[24]HISTODEC24!$A$6:$CA$38,60,0)</f>
        <v>0</v>
      </c>
      <c r="AG17" s="36">
        <f>VLOOKUP($A17,[24]HISTODEC24!$A$6:$CA$38,61,0)</f>
        <v>0</v>
      </c>
      <c r="AH17" s="36">
        <f>VLOOKUP($A17,[24]HISTODEC24!$A$6:$CA$38,62,0)</f>
        <v>0</v>
      </c>
      <c r="AI17" s="36">
        <f>VLOOKUP($A17,[24]HISTODEC24!$A$6:$CA$38,63,0)</f>
        <v>0</v>
      </c>
      <c r="AJ17" s="36">
        <f>VLOOKUP($A17,[24]HISTODEC24!$A$6:$CA$38,64,0)</f>
        <v>0</v>
      </c>
      <c r="AK17" s="36">
        <f>VLOOKUP($A17,[24]HISTODEC24!$A$6:$CA$38,65,0)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VLOOKUP($A18,[24]HISTODEC24!$A$6:$BA$38,48,0)</f>
        <v>0</v>
      </c>
      <c r="F18" s="36">
        <f>MVTNOV24!I18-E18+L18</f>
        <v>850662.76419736946</v>
      </c>
      <c r="G18" s="5">
        <f>IF(MVTNOV24!I18+L18&gt;700000,(MVTNOV24!I18-E18+L18),0)</f>
        <v>850662.76419736946</v>
      </c>
      <c r="H18" s="36">
        <f t="shared" si="0"/>
        <v>0</v>
      </c>
      <c r="I18" s="6">
        <f t="shared" si="2"/>
        <v>850662.76419736946</v>
      </c>
      <c r="J18" s="36">
        <f>VLOOKUP($A18,[24]HISTODEC24!$A$6:$AQ$42,22,0)</f>
        <v>0</v>
      </c>
      <c r="K18" s="36">
        <f>VLOOKUP($A18,[24]HISTODEC24!$A$6:$AU$38,45,0)</f>
        <v>0</v>
      </c>
      <c r="L18" s="36">
        <f t="shared" si="3"/>
        <v>0</v>
      </c>
      <c r="M18" s="36">
        <f t="shared" si="4"/>
        <v>0</v>
      </c>
      <c r="N18" s="36">
        <f t="shared" si="1"/>
        <v>0</v>
      </c>
      <c r="O18" s="36">
        <f t="shared" si="5"/>
        <v>0</v>
      </c>
      <c r="P18" s="36">
        <f>VLOOKUP($A18,[24]HISTODEC24!$A$6:$AU$38,7,0)</f>
        <v>0</v>
      </c>
      <c r="Q18" s="36">
        <f>VLOOKUP($A18,[24]HISTODEC24!$A$6:$AU$38,23,0)</f>
        <v>0</v>
      </c>
      <c r="R18" s="36">
        <f>VLOOKUP($A18,[24]HISTODEC24!$A$6:$AU$38,46,0)</f>
        <v>0</v>
      </c>
      <c r="S18" s="36">
        <f>VLOOKUP($A18,[24]HISTODEC24!$A$6:$AU$38,26,0)</f>
        <v>0</v>
      </c>
      <c r="T18" s="36">
        <f>VLOOKUP($A18,[24]HISTODEC24!$A$6:$BG$38,58,0)</f>
        <v>0</v>
      </c>
      <c r="U18" s="36">
        <f>VLOOKUP($A18,[24]HISTODEC24!$A$6:$AU$38,28,0)</f>
        <v>0</v>
      </c>
      <c r="V18" s="36">
        <f>VLOOKUP($A18,[24]HISTODEC24!$A$6:$AU$38,19,0)</f>
        <v>0</v>
      </c>
      <c r="W18" s="36">
        <f>VLOOKUP($A18,[24]HISTODEC24!$A$6:$AU$38,20,0)</f>
        <v>0</v>
      </c>
      <c r="X18" s="36">
        <f>VLOOKUP($A18,[24]HISTODEC24!$A$6:$AU$38,27,0)</f>
        <v>0</v>
      </c>
      <c r="Y18" s="36">
        <f>VLOOKUP($A18,[24]HISTODEC24!$A$6:$BM$38,33,0)</f>
        <v>0</v>
      </c>
      <c r="Z18" s="36">
        <f>VLOOKUP($A18,[24]HISTODEC24!$A$6:$BM$38,65,0)</f>
        <v>0</v>
      </c>
      <c r="AA18" s="36"/>
      <c r="AB18" s="36">
        <f>VLOOKUP($A18,[24]HISTODEC24!$A$6:$AU$38,43,0)</f>
        <v>0</v>
      </c>
      <c r="AC18" s="36">
        <f>VLOOKUP($A18,[24]HISTODEC24!$A$6:$AU$38,44,0)</f>
        <v>0</v>
      </c>
      <c r="AD18" s="36">
        <f>VLOOKUP($A18,[24]HISTODEC24!$A$6:$AU$38,47,0)</f>
        <v>0</v>
      </c>
      <c r="AE18" s="36">
        <f>VLOOKUP(A18,[24]HISTODEC24!$A$6:$BB$38,54,0)</f>
        <v>0</v>
      </c>
      <c r="AF18" s="36">
        <f>VLOOKUP($A18,[24]HISTODEC24!$A$6:$CA$38,60,0)</f>
        <v>0</v>
      </c>
      <c r="AG18" s="36">
        <f>VLOOKUP($A18,[24]HISTODEC24!$A$6:$CA$38,61,0)</f>
        <v>0</v>
      </c>
      <c r="AH18" s="36">
        <f>VLOOKUP($A18,[24]HISTODEC24!$A$6:$CA$38,62,0)</f>
        <v>0</v>
      </c>
      <c r="AI18" s="36">
        <f>VLOOKUP($A18,[24]HISTODEC24!$A$6:$CA$38,63,0)</f>
        <v>0</v>
      </c>
      <c r="AJ18" s="36">
        <f>VLOOKUP($A18,[24]HISTODEC24!$A$6:$CA$38,64,0)</f>
        <v>0</v>
      </c>
      <c r="AK18" s="36">
        <f>VLOOKUP($A18,[24]HISTODEC24!$A$6:$CA$38,65,0)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MVTNOV24!I19-E19+L19</f>
        <v>676217.13072703336</v>
      </c>
      <c r="G19" s="5">
        <f>IF(MVTNOV24!I19+L19&gt;700000,(MVTNOV24!I19-E19+L19),0)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MVTNOV24!I20-E20+L20</f>
        <v>57000</v>
      </c>
      <c r="G20" s="5">
        <f>IF(MVTNOV24!I20+L20&gt;700000,(MVTNOV24!I20-E20+L20),0)</f>
        <v>0</v>
      </c>
      <c r="H20" s="36">
        <f t="shared" si="0"/>
        <v>0</v>
      </c>
      <c r="I20" s="6">
        <f t="shared" si="2"/>
        <v>57000</v>
      </c>
      <c r="J20" s="36">
        <f>VLOOKUP($A20,[24]HISTODEC24!$A$6:$AQ$42,22,0)</f>
        <v>0</v>
      </c>
      <c r="K20" s="36">
        <f>VLOOKUP($A20,[24]HISTODEC24!$A$6:$AU$38,45,0)</f>
        <v>0</v>
      </c>
      <c r="L20" s="36">
        <f t="shared" ref="L20" si="6">IF(K20=0,0,K20-(M20+N20+O20))</f>
        <v>0</v>
      </c>
      <c r="M20" s="36">
        <f t="shared" ref="M20" si="7">IF(K20=0,0,1000)</f>
        <v>0</v>
      </c>
      <c r="N20" s="36">
        <f t="shared" ref="N20" si="8">IF(K20=0,0,1000)</f>
        <v>0</v>
      </c>
      <c r="O20" s="36">
        <f t="shared" ref="O20" si="9">IF(K20=0,0,4000)</f>
        <v>0</v>
      </c>
      <c r="P20" s="36">
        <f>VLOOKUP($A20,[24]HISTODEC24!$A$6:$AU$38,7,0)</f>
        <v>0</v>
      </c>
      <c r="Q20" s="36">
        <f>VLOOKUP($A20,[24]HISTODEC24!$A$6:$AU$38,23,0)</f>
        <v>0</v>
      </c>
      <c r="R20" s="36">
        <f>VLOOKUP($A20,[24]HISTODEC24!$A$6:$AU$38,46,0)</f>
        <v>0</v>
      </c>
      <c r="S20" s="36">
        <f>VLOOKUP($A20,[24]HISTODEC24!$A$6:$AU$38,26,0)</f>
        <v>0</v>
      </c>
      <c r="T20" s="36">
        <f>VLOOKUP($A20,[24]HISTODEC24!$A$6:$BG$38,58,0)</f>
        <v>0</v>
      </c>
      <c r="U20" s="36">
        <f>VLOOKUP($A20,[24]HISTODEC24!$A$6:$AU$38,28,0)</f>
        <v>0</v>
      </c>
      <c r="V20" s="36">
        <f>VLOOKUP($A20,[24]HISTODEC24!$A$6:$AU$38,19,0)</f>
        <v>0</v>
      </c>
      <c r="W20" s="36">
        <f>VLOOKUP($A20,[24]HISTODEC24!$A$6:$AU$38,20,0)</f>
        <v>0</v>
      </c>
      <c r="X20" s="36">
        <f>VLOOKUP($A20,[24]HISTODEC24!$A$6:$AU$38,27,0)</f>
        <v>0</v>
      </c>
      <c r="Y20" s="36">
        <f>VLOOKUP($A20,[24]HISTODEC24!$A$6:$BM$38,33,0)</f>
        <v>0</v>
      </c>
      <c r="Z20" s="36">
        <f>VLOOKUP($A20,[24]HISTODEC24!$A$6:$BM$38,65,0)</f>
        <v>0</v>
      </c>
      <c r="AA20" s="36"/>
      <c r="AB20" s="36">
        <f>VLOOKUP($A20,[24]HISTODEC24!$A$6:$AU$38,43,0)</f>
        <v>0</v>
      </c>
      <c r="AC20" s="36">
        <f>VLOOKUP($A20,[24]HISTODEC24!$A$6:$AU$38,44,0)</f>
        <v>0</v>
      </c>
      <c r="AD20" s="36">
        <f>VLOOKUP($A20,[24]HISTODEC24!$A$6:$AU$38,47,0)</f>
        <v>0</v>
      </c>
      <c r="AE20" s="36">
        <f>VLOOKUP(A20,[24]HISTODEC24!$A$6:$BB$38,54,0)</f>
        <v>0</v>
      </c>
      <c r="AF20" s="36">
        <f>VLOOKUP($A20,[24]HISTODEC24!$A$6:$CA$38,60,0)</f>
        <v>0</v>
      </c>
      <c r="AG20" s="36">
        <f>VLOOKUP($A20,[24]HISTODEC24!$A$6:$CA$38,61,0)</f>
        <v>0</v>
      </c>
      <c r="AH20" s="36">
        <f>VLOOKUP($A20,[24]HISTODEC24!$A$6:$CA$38,62,0)</f>
        <v>0</v>
      </c>
      <c r="AI20" s="36">
        <f>VLOOKUP($A20,[24]HISTODEC24!$A$6:$CA$38,63,0)</f>
        <v>0</v>
      </c>
      <c r="AJ20" s="36">
        <f>VLOOKUP($A20,[24]HISTODEC24!$A$6:$CA$38,64,0)</f>
        <v>0</v>
      </c>
      <c r="AK20" s="36">
        <f>VLOOKUP($A20,[24]HISTODEC24!$A$6:$CA$38,65,0)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MVTNOV24!I21-E21+L21</f>
        <v>838355.80062958295</v>
      </c>
      <c r="G21" s="5">
        <f>IF(MVTNOV24!I21+L21&gt;700000,(MVTNOV24!I21-E21+L21),0)</f>
        <v>838355.80062958295</v>
      </c>
      <c r="H21" s="36">
        <f t="shared" si="0"/>
        <v>0</v>
      </c>
      <c r="I21" s="6">
        <f t="shared" si="2"/>
        <v>838355.80062958295</v>
      </c>
      <c r="J21" s="36">
        <f>VLOOKUP($A21,[24]HISTODEC24!$A$6:$AQ$42,22,0)</f>
        <v>0</v>
      </c>
      <c r="K21" s="36">
        <f>VLOOKUP($A21,[24]HISTODEC24!$A$6:$AU$38,45,0)</f>
        <v>0</v>
      </c>
      <c r="L21" s="36">
        <f t="shared" si="3"/>
        <v>0</v>
      </c>
      <c r="M21" s="36">
        <f t="shared" si="4"/>
        <v>0</v>
      </c>
      <c r="N21" s="36">
        <f t="shared" si="1"/>
        <v>0</v>
      </c>
      <c r="O21" s="36">
        <f t="shared" si="5"/>
        <v>0</v>
      </c>
      <c r="P21" s="36">
        <f>VLOOKUP($A21,[24]HISTODEC24!$A$6:$AU$38,7,0)</f>
        <v>0</v>
      </c>
      <c r="Q21" s="36">
        <f>VLOOKUP($A21,[24]HISTODEC24!$A$6:$AU$38,23,0)</f>
        <v>0</v>
      </c>
      <c r="R21" s="36">
        <f>VLOOKUP($A21,[24]HISTODEC24!$A$6:$AU$38,46,0)</f>
        <v>0</v>
      </c>
      <c r="S21" s="36">
        <f>VLOOKUP($A21,[24]HISTODEC24!$A$6:$AU$38,26,0)</f>
        <v>0</v>
      </c>
      <c r="T21" s="36">
        <f>VLOOKUP($A21,[24]HISTODEC24!$A$6:$BG$38,58,0)</f>
        <v>0</v>
      </c>
      <c r="U21" s="36">
        <f>VLOOKUP($A21,[24]HISTODEC24!$A$6:$AU$38,28,0)</f>
        <v>0</v>
      </c>
      <c r="V21" s="36">
        <f>VLOOKUP($A21,[24]HISTODEC24!$A$6:$AU$38,19,0)</f>
        <v>0</v>
      </c>
      <c r="W21" s="36">
        <f>VLOOKUP($A21,[24]HISTODEC24!$A$6:$AU$38,20,0)</f>
        <v>0</v>
      </c>
      <c r="X21" s="36">
        <f>VLOOKUP($A21,[24]HISTODEC24!$A$6:$AU$38,27,0)</f>
        <v>0</v>
      </c>
      <c r="Y21" s="36">
        <f>VLOOKUP($A21,[24]HISTODEC24!$A$6:$BM$38,33,0)</f>
        <v>0</v>
      </c>
      <c r="Z21" s="36">
        <f>VLOOKUP($A21,[24]HISTODEC24!$A$6:$BM$38,65,0)</f>
        <v>0</v>
      </c>
      <c r="AA21" s="36"/>
      <c r="AB21" s="36">
        <f>VLOOKUP($A21,[24]HISTODEC24!$A$6:$AU$38,43,0)</f>
        <v>0</v>
      </c>
      <c r="AC21" s="36">
        <f>VLOOKUP($A21,[24]HISTODEC24!$A$6:$AU$38,44,0)</f>
        <v>0</v>
      </c>
      <c r="AD21" s="36">
        <f>VLOOKUP($A21,[24]HISTODEC24!$A$6:$AU$38,47,0)</f>
        <v>0</v>
      </c>
      <c r="AE21" s="36">
        <f>VLOOKUP(A21,[24]HISTODEC24!$A$6:$BB$38,54,0)</f>
        <v>0</v>
      </c>
      <c r="AF21" s="36">
        <f>VLOOKUP($A21,[24]HISTODEC24!$A$6:$CA$38,60,0)</f>
        <v>0</v>
      </c>
      <c r="AG21" s="36">
        <f>VLOOKUP($A21,[24]HISTODEC24!$A$6:$CA$38,61,0)</f>
        <v>0</v>
      </c>
      <c r="AH21" s="36">
        <f>VLOOKUP($A21,[24]HISTODEC24!$A$6:$CA$38,62,0)</f>
        <v>0</v>
      </c>
      <c r="AI21" s="36">
        <f>VLOOKUP($A21,[24]HISTODEC24!$A$6:$CA$38,63,0)</f>
        <v>0</v>
      </c>
      <c r="AJ21" s="36">
        <f>VLOOKUP($A21,[24]HISTODEC24!$A$6:$CA$38,64,0)</f>
        <v>0</v>
      </c>
      <c r="AK21" s="36">
        <f>VLOOKUP($A21,[24]HISTODEC24!$A$6:$CA$38,65,0)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MVTNOV24!I22-E22+L22</f>
        <v>805738.95952735876</v>
      </c>
      <c r="G22" s="5">
        <f>IF(MVTNOV24!I22+L22&gt;700000,(MVTNOV24!I22-E22+L22),0)</f>
        <v>805738.95952735876</v>
      </c>
      <c r="H22" s="36">
        <f t="shared" si="0"/>
        <v>0</v>
      </c>
      <c r="I22" s="6">
        <f t="shared" si="2"/>
        <v>805738.95952735876</v>
      </c>
      <c r="J22" s="36">
        <f>VLOOKUP($A22,[24]HISTODEC24!$A$6:$AQ$42,22,0)</f>
        <v>0</v>
      </c>
      <c r="K22" s="36">
        <f>VLOOKUP($A22,[24]HISTODEC24!$A$6:$AU$38,45,0)</f>
        <v>0</v>
      </c>
      <c r="L22" s="36">
        <f t="shared" si="3"/>
        <v>0</v>
      </c>
      <c r="M22" s="36">
        <f t="shared" si="4"/>
        <v>0</v>
      </c>
      <c r="N22" s="36">
        <f t="shared" si="1"/>
        <v>0</v>
      </c>
      <c r="O22" s="36">
        <f t="shared" si="5"/>
        <v>0</v>
      </c>
      <c r="P22" s="36">
        <f>VLOOKUP($A22,[24]HISTODEC24!$A$6:$AU$38,7,0)</f>
        <v>0</v>
      </c>
      <c r="Q22" s="36">
        <f>VLOOKUP($A22,[24]HISTODEC24!$A$6:$AU$38,23,0)</f>
        <v>0</v>
      </c>
      <c r="R22" s="36">
        <f>VLOOKUP($A22,[24]HISTODEC24!$A$6:$AU$38,46,0)</f>
        <v>0</v>
      </c>
      <c r="S22" s="36">
        <f>VLOOKUP($A22,[24]HISTODEC24!$A$6:$AU$38,26,0)</f>
        <v>0</v>
      </c>
      <c r="T22" s="36">
        <f>VLOOKUP($A22,[24]HISTODEC24!$A$6:$BG$38,58,0)</f>
        <v>0</v>
      </c>
      <c r="U22" s="36">
        <f>VLOOKUP($A22,[24]HISTODEC24!$A$6:$AU$38,28,0)</f>
        <v>0</v>
      </c>
      <c r="V22" s="36">
        <f>VLOOKUP($A22,[24]HISTODEC24!$A$6:$AU$38,19,0)</f>
        <v>0</v>
      </c>
      <c r="W22" s="36">
        <f>VLOOKUP($A22,[24]HISTODEC24!$A$6:$AU$38,20,0)</f>
        <v>0</v>
      </c>
      <c r="X22" s="36">
        <f>VLOOKUP($A22,[24]HISTODEC24!$A$6:$AU$38,27,0)</f>
        <v>0</v>
      </c>
      <c r="Y22" s="36">
        <f>VLOOKUP($A22,[24]HISTODEC24!$A$6:$BM$38,33,0)</f>
        <v>0</v>
      </c>
      <c r="Z22" s="36">
        <f>VLOOKUP($A22,[24]HISTODEC24!$A$6:$BM$38,65,0)</f>
        <v>0</v>
      </c>
      <c r="AA22" s="36"/>
      <c r="AB22" s="36">
        <f>VLOOKUP($A22,[24]HISTODEC24!$A$6:$AU$38,43,0)</f>
        <v>0</v>
      </c>
      <c r="AC22" s="36">
        <f>VLOOKUP($A22,[24]HISTODEC24!$A$6:$AU$38,44,0)</f>
        <v>0</v>
      </c>
      <c r="AD22" s="36">
        <f>VLOOKUP($A22,[24]HISTODEC24!$A$6:$AU$38,47,0)</f>
        <v>0</v>
      </c>
      <c r="AE22" s="36">
        <f>VLOOKUP(A22,[24]HISTODEC24!$A$6:$BB$38,54,0)</f>
        <v>0</v>
      </c>
      <c r="AF22" s="36">
        <f>VLOOKUP($A22,[24]HISTODEC24!$A$6:$CA$38,60,0)</f>
        <v>0</v>
      </c>
      <c r="AG22" s="36">
        <f>VLOOKUP($A22,[24]HISTODEC24!$A$6:$CA$38,61,0)</f>
        <v>0</v>
      </c>
      <c r="AH22" s="36">
        <f>VLOOKUP($A22,[24]HISTODEC24!$A$6:$CA$38,62,0)</f>
        <v>0</v>
      </c>
      <c r="AI22" s="36">
        <f>VLOOKUP($A22,[24]HISTODEC24!$A$6:$CA$38,63,0)</f>
        <v>0</v>
      </c>
      <c r="AJ22" s="36">
        <f>VLOOKUP($A22,[24]HISTODEC24!$A$6:$CA$38,64,0)</f>
        <v>0</v>
      </c>
      <c r="AK22" s="36">
        <f>VLOOKUP($A22,[24]HISTODEC24!$A$6:$CA$38,65,0)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MVTNOV24!I23-E23+L23</f>
        <v>911674.32467319479</v>
      </c>
      <c r="G23" s="5">
        <f>IF(MVTNOV24!I23+L23&gt;700000,(MVTNOV24!I23-E23+L23),0)</f>
        <v>911674.32467319479</v>
      </c>
      <c r="H23" s="36">
        <f t="shared" si="0"/>
        <v>0</v>
      </c>
      <c r="I23" s="6">
        <f t="shared" si="2"/>
        <v>911674.32467319479</v>
      </c>
      <c r="J23" s="36">
        <f>VLOOKUP($A23,[24]HISTODEC24!$A$6:$AQ$42,22,0)</f>
        <v>0</v>
      </c>
      <c r="K23" s="36">
        <f>VLOOKUP($A23,[24]HISTODEC24!$A$6:$AU$38,45,0)</f>
        <v>0</v>
      </c>
      <c r="L23" s="36">
        <f t="shared" si="3"/>
        <v>0</v>
      </c>
      <c r="M23" s="36">
        <f t="shared" si="4"/>
        <v>0</v>
      </c>
      <c r="N23" s="36">
        <f t="shared" si="1"/>
        <v>0</v>
      </c>
      <c r="O23" s="36">
        <f t="shared" si="5"/>
        <v>0</v>
      </c>
      <c r="P23" s="36">
        <f>VLOOKUP($A23,[24]HISTODEC24!$A$6:$AU$38,7,0)</f>
        <v>0</v>
      </c>
      <c r="Q23" s="36">
        <f>VLOOKUP($A23,[24]HISTODEC24!$A$6:$AU$38,23,0)</f>
        <v>0</v>
      </c>
      <c r="R23" s="36">
        <f>VLOOKUP($A23,[24]HISTODEC24!$A$6:$AU$38,46,0)</f>
        <v>0</v>
      </c>
      <c r="S23" s="36">
        <f>VLOOKUP($A23,[24]HISTODEC24!$A$6:$AU$38,26,0)</f>
        <v>0</v>
      </c>
      <c r="T23" s="36">
        <f>VLOOKUP($A23,[24]HISTODEC24!$A$6:$BG$38,58,0)</f>
        <v>0</v>
      </c>
      <c r="U23" s="36">
        <f>VLOOKUP($A23,[24]HISTODEC24!$A$6:$AU$38,28,0)</f>
        <v>0</v>
      </c>
      <c r="V23" s="36">
        <f>VLOOKUP($A23,[24]HISTODEC24!$A$6:$AU$38,19,0)</f>
        <v>0</v>
      </c>
      <c r="W23" s="36">
        <f>VLOOKUP($A23,[24]HISTODEC24!$A$6:$AU$38,20,0)</f>
        <v>0</v>
      </c>
      <c r="X23" s="36">
        <f>VLOOKUP($A23,[24]HISTODEC24!$A$6:$AU$38,27,0)</f>
        <v>0</v>
      </c>
      <c r="Y23" s="36">
        <f>VLOOKUP($A23,[24]HISTODEC24!$A$6:$BM$38,33,0)</f>
        <v>0</v>
      </c>
      <c r="Z23" s="36">
        <f>VLOOKUP($A23,[24]HISTODEC24!$A$6:$BM$38,65,0)</f>
        <v>0</v>
      </c>
      <c r="AA23" s="36"/>
      <c r="AB23" s="36">
        <f>VLOOKUP($A23,[24]HISTODEC24!$A$6:$AU$38,43,0)</f>
        <v>0</v>
      </c>
      <c r="AC23" s="36">
        <f>VLOOKUP($A23,[24]HISTODEC24!$A$6:$AU$38,44,0)</f>
        <v>0</v>
      </c>
      <c r="AD23" s="36">
        <f>VLOOKUP($A23,[24]HISTODEC24!$A$6:$AU$38,47,0)</f>
        <v>0</v>
      </c>
      <c r="AE23" s="36">
        <f>VLOOKUP(A23,[24]HISTODEC24!$A$6:$BB$38,54,0)</f>
        <v>0</v>
      </c>
      <c r="AF23" s="36">
        <f>VLOOKUP($A23,[24]HISTODEC24!$A$6:$CA$38,60,0)</f>
        <v>0</v>
      </c>
      <c r="AG23" s="36">
        <f>VLOOKUP($A23,[24]HISTODEC24!$A$6:$CA$38,61,0)</f>
        <v>0</v>
      </c>
      <c r="AH23" s="36">
        <f>VLOOKUP($A23,[24]HISTODEC24!$A$6:$CA$38,62,0)</f>
        <v>0</v>
      </c>
      <c r="AI23" s="36">
        <f>VLOOKUP($A23,[24]HISTODEC24!$A$6:$CA$38,63,0)</f>
        <v>0</v>
      </c>
      <c r="AJ23" s="36">
        <f>VLOOKUP($A23,[24]HISTODEC24!$A$6:$CA$38,64,0)</f>
        <v>0</v>
      </c>
      <c r="AK23" s="36">
        <f>VLOOKUP($A23,[24]HISTODEC24!$A$6:$CA$38,65,0)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MVTNOV24!I24-E24+L24</f>
        <v>1074827.8441992993</v>
      </c>
      <c r="G24" s="5">
        <f>IF(MVTNOV24!I24+L24&gt;700000,(MVTNOV24!I24-E24+L24),0)</f>
        <v>1074827.8441992993</v>
      </c>
      <c r="H24" s="36">
        <f t="shared" si="0"/>
        <v>0</v>
      </c>
      <c r="I24" s="6">
        <f t="shared" si="2"/>
        <v>1074827.8441992993</v>
      </c>
      <c r="J24" s="36">
        <f>VLOOKUP($A24,[24]HISTODEC24!$A$6:$AQ$42,22,0)</f>
        <v>0</v>
      </c>
      <c r="K24" s="36">
        <f>VLOOKUP($A24,[24]HISTODEC24!$A$6:$AU$38,45,0)</f>
        <v>0</v>
      </c>
      <c r="L24" s="36">
        <f t="shared" si="3"/>
        <v>0</v>
      </c>
      <c r="M24" s="36">
        <f t="shared" si="4"/>
        <v>0</v>
      </c>
      <c r="N24" s="36">
        <f t="shared" si="1"/>
        <v>0</v>
      </c>
      <c r="O24" s="36">
        <f t="shared" si="5"/>
        <v>0</v>
      </c>
      <c r="P24" s="36">
        <f>VLOOKUP($A24,[24]HISTODEC24!$A$6:$AU$38,7,0)</f>
        <v>0</v>
      </c>
      <c r="Q24" s="36">
        <f>VLOOKUP($A24,[24]HISTODEC24!$A$6:$AU$38,23,0)</f>
        <v>0</v>
      </c>
      <c r="R24" s="36">
        <f>VLOOKUP($A24,[24]HISTODEC24!$A$6:$AU$38,46,0)</f>
        <v>0</v>
      </c>
      <c r="S24" s="36">
        <f>VLOOKUP($A24,[24]HISTODEC24!$A$6:$AU$38,26,0)</f>
        <v>0</v>
      </c>
      <c r="T24" s="36">
        <f>VLOOKUP($A24,[24]HISTODEC24!$A$6:$BG$38,58,0)</f>
        <v>0</v>
      </c>
      <c r="U24" s="36">
        <f>VLOOKUP($A24,[24]HISTODEC24!$A$6:$AU$38,28,0)</f>
        <v>0</v>
      </c>
      <c r="V24" s="36">
        <f>VLOOKUP($A24,[24]HISTODEC24!$A$6:$AU$38,19,0)</f>
        <v>0</v>
      </c>
      <c r="W24" s="36">
        <f>VLOOKUP($A24,[24]HISTODEC24!$A$6:$AU$38,20,0)</f>
        <v>0</v>
      </c>
      <c r="X24" s="36">
        <f>VLOOKUP($A24,[24]HISTODEC24!$A$6:$AU$38,27,0)</f>
        <v>0</v>
      </c>
      <c r="Y24" s="36">
        <f>VLOOKUP($A24,[24]HISTODEC24!$A$6:$BM$38,33,0)</f>
        <v>0</v>
      </c>
      <c r="Z24" s="36">
        <f>VLOOKUP($A24,[24]HISTODEC24!$A$6:$BM$38,65,0)</f>
        <v>0</v>
      </c>
      <c r="AA24" s="36"/>
      <c r="AB24" s="36">
        <f>VLOOKUP($A24,[24]HISTODEC24!$A$6:$AU$38,43,0)</f>
        <v>0</v>
      </c>
      <c r="AC24" s="36">
        <f>VLOOKUP($A24,[24]HISTODEC24!$A$6:$AU$38,44,0)</f>
        <v>0</v>
      </c>
      <c r="AD24" s="36">
        <f>VLOOKUP($A24,[24]HISTODEC24!$A$6:$AU$38,47,0)</f>
        <v>0</v>
      </c>
      <c r="AE24" s="36">
        <f>VLOOKUP(A24,[24]HISTODEC24!$A$6:$BB$38,54,0)</f>
        <v>0</v>
      </c>
      <c r="AF24" s="36">
        <f>VLOOKUP($A24,[24]HISTODEC24!$A$6:$CA$38,60,0)</f>
        <v>0</v>
      </c>
      <c r="AG24" s="36">
        <f>VLOOKUP($A24,[24]HISTODEC24!$A$6:$CA$38,61,0)</f>
        <v>0</v>
      </c>
      <c r="AH24" s="36">
        <f>VLOOKUP($A24,[24]HISTODEC24!$A$6:$CA$38,62,0)</f>
        <v>0</v>
      </c>
      <c r="AI24" s="36">
        <f>VLOOKUP($A24,[24]HISTODEC24!$A$6:$CA$38,63,0)</f>
        <v>0</v>
      </c>
      <c r="AJ24" s="36">
        <f>VLOOKUP($A24,[24]HISTODEC24!$A$6:$CA$38,64,0)</f>
        <v>0</v>
      </c>
      <c r="AK24" s="36">
        <f>VLOOKUP($A24,[24]HISTODEC24!$A$6:$CA$38,65,0)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MVTNOV24!I25-E25+L25</f>
        <v>896141.79504321574</v>
      </c>
      <c r="G25" s="5">
        <f>IF(MVTNOV24!I25+L25&gt;700000,(MVTNOV24!I25-E25+L25),0)</f>
        <v>896141.79504321574</v>
      </c>
      <c r="H25" s="36">
        <f t="shared" si="0"/>
        <v>0</v>
      </c>
      <c r="I25" s="6">
        <f t="shared" si="2"/>
        <v>896141.79504321574</v>
      </c>
      <c r="J25" s="36">
        <f>VLOOKUP($A25,[24]HISTODEC24!$A$6:$AQ$42,22,0)</f>
        <v>0</v>
      </c>
      <c r="K25" s="36">
        <f>VLOOKUP($A25,[24]HISTODEC24!$A$6:$AU$38,45,0)</f>
        <v>0</v>
      </c>
      <c r="L25" s="36">
        <f t="shared" si="3"/>
        <v>0</v>
      </c>
      <c r="M25" s="36">
        <f t="shared" si="4"/>
        <v>0</v>
      </c>
      <c r="N25" s="36">
        <f t="shared" si="1"/>
        <v>0</v>
      </c>
      <c r="O25" s="36">
        <f t="shared" si="5"/>
        <v>0</v>
      </c>
      <c r="P25" s="36">
        <f>VLOOKUP($A25,[24]HISTODEC24!$A$6:$AU$38,7,0)</f>
        <v>0</v>
      </c>
      <c r="Q25" s="36">
        <f>VLOOKUP($A25,[24]HISTODEC24!$A$6:$AU$38,23,0)</f>
        <v>0</v>
      </c>
      <c r="R25" s="36">
        <f>VLOOKUP($A25,[24]HISTODEC24!$A$6:$AU$38,46,0)</f>
        <v>0</v>
      </c>
      <c r="S25" s="36">
        <f>VLOOKUP($A25,[24]HISTODEC24!$A$6:$AU$38,26,0)</f>
        <v>0</v>
      </c>
      <c r="T25" s="36">
        <f>VLOOKUP($A25,[24]HISTODEC24!$A$6:$BG$38,58,0)</f>
        <v>0</v>
      </c>
      <c r="U25" s="36">
        <f>VLOOKUP($A25,[24]HISTODEC24!$A$6:$AU$38,28,0)</f>
        <v>0</v>
      </c>
      <c r="V25" s="36">
        <f>VLOOKUP($A25,[24]HISTODEC24!$A$6:$AU$38,19,0)</f>
        <v>0</v>
      </c>
      <c r="W25" s="36">
        <f>VLOOKUP($A25,[24]HISTODEC24!$A$6:$AU$38,20,0)</f>
        <v>0</v>
      </c>
      <c r="X25" s="36">
        <f>VLOOKUP($A25,[24]HISTODEC24!$A$6:$AU$38,27,0)</f>
        <v>0</v>
      </c>
      <c r="Y25" s="36">
        <f>VLOOKUP($A25,[24]HISTODEC24!$A$6:$BM$38,33,0)</f>
        <v>0</v>
      </c>
      <c r="Z25" s="36">
        <f>VLOOKUP($A25,[24]HISTODEC24!$A$6:$BM$38,65,0)</f>
        <v>0</v>
      </c>
      <c r="AA25" s="36"/>
      <c r="AB25" s="36">
        <f>VLOOKUP($A25,[24]HISTODEC24!$A$6:$AU$38,43,0)</f>
        <v>0</v>
      </c>
      <c r="AC25" s="36">
        <f>VLOOKUP($A25,[24]HISTODEC24!$A$6:$AU$38,44,0)</f>
        <v>0</v>
      </c>
      <c r="AD25" s="36">
        <f>VLOOKUP($A25,[24]HISTODEC24!$A$6:$AU$38,47,0)</f>
        <v>0</v>
      </c>
      <c r="AE25" s="36">
        <f>VLOOKUP(A25,[24]HISTODEC24!$A$6:$BB$38,54,0)</f>
        <v>0</v>
      </c>
      <c r="AF25" s="36">
        <f>VLOOKUP($A25,[24]HISTODEC24!$A$6:$CA$38,60,0)</f>
        <v>0</v>
      </c>
      <c r="AG25" s="36">
        <f>VLOOKUP($A25,[24]HISTODEC24!$A$6:$CA$38,61,0)</f>
        <v>0</v>
      </c>
      <c r="AH25" s="36">
        <f>VLOOKUP($A25,[24]HISTODEC24!$A$6:$CA$38,62,0)</f>
        <v>0</v>
      </c>
      <c r="AI25" s="36">
        <f>VLOOKUP($A25,[24]HISTODEC24!$A$6:$CA$38,63,0)</f>
        <v>0</v>
      </c>
      <c r="AJ25" s="36">
        <f>VLOOKUP($A25,[24]HISTODEC24!$A$6:$CA$38,64,0)</f>
        <v>0</v>
      </c>
      <c r="AK25" s="36">
        <f>VLOOKUP($A25,[24]HISTODEC24!$A$6:$CA$38,65,0)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MVTNOV24!I26-E26+L26</f>
        <v>826266.46813543816</v>
      </c>
      <c r="G26" s="5">
        <f>IF(MVTNOV24!I26+L26&gt;700000,(MVTNOV24!I26-E26+L26),0)</f>
        <v>826266.46813543816</v>
      </c>
      <c r="H26" s="36">
        <f t="shared" si="0"/>
        <v>0</v>
      </c>
      <c r="I26" s="6">
        <f t="shared" si="2"/>
        <v>826266.46813543816</v>
      </c>
      <c r="J26" s="36">
        <f>VLOOKUP($A26,[24]HISTODEC24!$A$6:$AQ$42,22,0)</f>
        <v>0</v>
      </c>
      <c r="K26" s="36">
        <f>VLOOKUP($A26,[24]HISTODEC24!$A$6:$AU$38,45,0)</f>
        <v>0</v>
      </c>
      <c r="L26" s="36">
        <f t="shared" si="3"/>
        <v>0</v>
      </c>
      <c r="M26" s="36">
        <f t="shared" si="4"/>
        <v>0</v>
      </c>
      <c r="N26" s="36">
        <f t="shared" si="1"/>
        <v>0</v>
      </c>
      <c r="O26" s="36">
        <f t="shared" si="5"/>
        <v>0</v>
      </c>
      <c r="P26" s="36">
        <f>VLOOKUP($A26,[24]HISTODEC24!$A$6:$AU$38,7,0)</f>
        <v>0</v>
      </c>
      <c r="Q26" s="36">
        <f>VLOOKUP($A26,[24]HISTODEC24!$A$6:$AU$38,23,0)</f>
        <v>0</v>
      </c>
      <c r="R26" s="36">
        <f>VLOOKUP($A26,[24]HISTODEC24!$A$6:$AU$38,46,0)</f>
        <v>0</v>
      </c>
      <c r="S26" s="36">
        <f>VLOOKUP($A26,[24]HISTODEC24!$A$6:$AU$38,26,0)</f>
        <v>0</v>
      </c>
      <c r="T26" s="36">
        <f>VLOOKUP($A26,[24]HISTODEC24!$A$6:$BG$38,58,0)</f>
        <v>0</v>
      </c>
      <c r="U26" s="36">
        <f>VLOOKUP($A26,[24]HISTODEC24!$A$6:$AU$38,28,0)</f>
        <v>0</v>
      </c>
      <c r="V26" s="36">
        <f>VLOOKUP($A26,[24]HISTODEC24!$A$6:$AU$38,19,0)</f>
        <v>0</v>
      </c>
      <c r="W26" s="36">
        <f>VLOOKUP($A26,[24]HISTODEC24!$A$6:$AU$38,20,0)</f>
        <v>0</v>
      </c>
      <c r="X26" s="36">
        <f>VLOOKUP($A26,[24]HISTODEC24!$A$6:$AU$38,27,0)</f>
        <v>0</v>
      </c>
      <c r="Y26" s="36">
        <f>VLOOKUP($A26,[24]HISTODEC24!$A$6:$BM$38,33,0)</f>
        <v>0</v>
      </c>
      <c r="Z26" s="36">
        <f>VLOOKUP($A26,[24]HISTODEC24!$A$6:$BM$38,65,0)</f>
        <v>0</v>
      </c>
      <c r="AA26" s="36"/>
      <c r="AB26" s="36">
        <f>VLOOKUP($A26,[24]HISTODEC24!$A$6:$AU$38,43,0)</f>
        <v>0</v>
      </c>
      <c r="AC26" s="36">
        <f>VLOOKUP($A26,[24]HISTODEC24!$A$6:$AU$38,44,0)</f>
        <v>0</v>
      </c>
      <c r="AD26" s="36">
        <f>VLOOKUP($A26,[24]HISTODEC24!$A$6:$AU$38,47,0)</f>
        <v>0</v>
      </c>
      <c r="AE26" s="36">
        <f>VLOOKUP(A26,[24]HISTODEC24!$A$6:$BB$38,54,0)</f>
        <v>0</v>
      </c>
      <c r="AF26" s="36">
        <f>VLOOKUP($A26,[24]HISTODEC24!$A$6:$CA$38,60,0)</f>
        <v>0</v>
      </c>
      <c r="AG26" s="36">
        <f>VLOOKUP($A26,[24]HISTODEC24!$A$6:$CA$38,61,0)</f>
        <v>0</v>
      </c>
      <c r="AH26" s="36">
        <f>VLOOKUP($A26,[24]HISTODEC24!$A$6:$CA$38,62,0)</f>
        <v>0</v>
      </c>
      <c r="AI26" s="36">
        <f>VLOOKUP($A26,[24]HISTODEC24!$A$6:$CA$38,63,0)</f>
        <v>0</v>
      </c>
      <c r="AJ26" s="36">
        <f>VLOOKUP($A26,[24]HISTODEC24!$A$6:$CA$38,64,0)</f>
        <v>0</v>
      </c>
      <c r="AK26" s="36">
        <f>VLOOKUP($A26,[24]HISTODEC24!$A$6:$CA$38,65,0)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MVTNOV24!I27-E27+L27</f>
        <v>824824.17371512204</v>
      </c>
      <c r="G27" s="5">
        <f>IF(MVTNOV24!I27+L27&gt;700000,(MVTNOV24!I27-E27+L27),0)</f>
        <v>824824.17371512204</v>
      </c>
      <c r="H27" s="36">
        <f t="shared" si="0"/>
        <v>0</v>
      </c>
      <c r="I27" s="6">
        <f t="shared" si="2"/>
        <v>824824.17371512204</v>
      </c>
      <c r="J27" s="36">
        <f>VLOOKUP($A27,[24]HISTODEC24!$A$6:$AQ$42,22,0)</f>
        <v>0</v>
      </c>
      <c r="K27" s="36">
        <f>VLOOKUP($A27,[24]HISTODEC24!$A$6:$AU$38,45,0)</f>
        <v>0</v>
      </c>
      <c r="L27" s="36">
        <f t="shared" si="3"/>
        <v>0</v>
      </c>
      <c r="M27" s="36">
        <f t="shared" si="4"/>
        <v>0</v>
      </c>
      <c r="N27" s="36">
        <f t="shared" si="1"/>
        <v>0</v>
      </c>
      <c r="O27" s="36">
        <f t="shared" si="5"/>
        <v>0</v>
      </c>
      <c r="P27" s="36">
        <f>VLOOKUP($A27,[24]HISTODEC24!$A$6:$AU$38,7,0)</f>
        <v>0</v>
      </c>
      <c r="Q27" s="36">
        <f>VLOOKUP($A27,[24]HISTODEC24!$A$6:$AU$38,23,0)</f>
        <v>0</v>
      </c>
      <c r="R27" s="36">
        <f>VLOOKUP($A27,[24]HISTODEC24!$A$6:$AU$38,46,0)</f>
        <v>0</v>
      </c>
      <c r="S27" s="36">
        <f>VLOOKUP($A27,[24]HISTODEC24!$A$6:$AU$38,26,0)</f>
        <v>0</v>
      </c>
      <c r="T27" s="36">
        <f>VLOOKUP($A27,[24]HISTODEC24!$A$6:$BG$38,58,0)</f>
        <v>0</v>
      </c>
      <c r="U27" s="36">
        <f>VLOOKUP($A27,[24]HISTODEC24!$A$6:$AU$38,28,0)</f>
        <v>0</v>
      </c>
      <c r="V27" s="36">
        <f>VLOOKUP($A27,[24]HISTODEC24!$A$6:$AU$38,19,0)</f>
        <v>0</v>
      </c>
      <c r="W27" s="36">
        <f>VLOOKUP($A27,[24]HISTODEC24!$A$6:$AU$38,20,0)</f>
        <v>0</v>
      </c>
      <c r="X27" s="36">
        <f>VLOOKUP($A27,[24]HISTODEC24!$A$6:$AU$38,27,0)</f>
        <v>0</v>
      </c>
      <c r="Y27" s="36">
        <f>VLOOKUP($A27,[24]HISTODEC24!$A$6:$BM$38,33,0)</f>
        <v>0</v>
      </c>
      <c r="Z27" s="36">
        <f>VLOOKUP($A27,[24]HISTODEC24!$A$6:$BM$38,65,0)</f>
        <v>0</v>
      </c>
      <c r="AA27" s="36"/>
      <c r="AB27" s="36">
        <f>VLOOKUP($A27,[24]HISTODEC24!$A$6:$AU$38,43,0)</f>
        <v>0</v>
      </c>
      <c r="AC27" s="36">
        <f>VLOOKUP($A27,[24]HISTODEC24!$A$6:$AU$38,44,0)</f>
        <v>0</v>
      </c>
      <c r="AD27" s="36">
        <f>VLOOKUP($A27,[24]HISTODEC24!$A$6:$AU$38,47,0)</f>
        <v>0</v>
      </c>
      <c r="AE27" s="36">
        <f>VLOOKUP(A27,[24]HISTODEC24!$A$6:$BB$38,54,0)</f>
        <v>0</v>
      </c>
      <c r="AF27" s="36">
        <f>VLOOKUP($A27,[24]HISTODEC24!$A$6:$CA$38,60,0)</f>
        <v>0</v>
      </c>
      <c r="AG27" s="36">
        <f>VLOOKUP($A27,[24]HISTODEC24!$A$6:$CA$38,61,0)</f>
        <v>0</v>
      </c>
      <c r="AH27" s="36">
        <f>VLOOKUP($A27,[24]HISTODEC24!$A$6:$CA$38,62,0)</f>
        <v>0</v>
      </c>
      <c r="AI27" s="36">
        <f>VLOOKUP($A27,[24]HISTODEC24!$A$6:$CA$38,63,0)</f>
        <v>0</v>
      </c>
      <c r="AJ27" s="36">
        <f>VLOOKUP($A27,[24]HISTODEC24!$A$6:$CA$38,64,0)</f>
        <v>0</v>
      </c>
      <c r="AK27" s="36">
        <f>VLOOKUP($A27,[24]HISTODEC24!$A$6:$CA$38,65,0)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MVTNOV24!I28-E28+L28</f>
        <v>726176.12513194664</v>
      </c>
      <c r="G28" s="5">
        <f>IF(MVTNOV24!I28+L28&gt;700000,(MVTNOV24!I28-E28+L28),0)</f>
        <v>726176.12513194664</v>
      </c>
      <c r="H28" s="36">
        <f t="shared" si="0"/>
        <v>0</v>
      </c>
      <c r="I28" s="6">
        <f t="shared" si="2"/>
        <v>726176.12513194664</v>
      </c>
      <c r="J28" s="36">
        <f>VLOOKUP($A28,[24]HISTODEC24!$A$6:$AQ$42,22,0)</f>
        <v>0</v>
      </c>
      <c r="K28" s="36">
        <f>VLOOKUP($A28,[24]HISTODEC24!$A$6:$AU$38,45,0)</f>
        <v>0</v>
      </c>
      <c r="L28" s="36">
        <f t="shared" si="3"/>
        <v>0</v>
      </c>
      <c r="M28" s="36">
        <f t="shared" si="4"/>
        <v>0</v>
      </c>
      <c r="N28" s="36">
        <f t="shared" si="1"/>
        <v>0</v>
      </c>
      <c r="O28" s="36">
        <f t="shared" si="5"/>
        <v>0</v>
      </c>
      <c r="P28" s="36">
        <f>VLOOKUP($A28,[24]HISTODEC24!$A$6:$AU$38,7,0)</f>
        <v>0</v>
      </c>
      <c r="Q28" s="36">
        <f>VLOOKUP($A28,[24]HISTODEC24!$A$6:$AU$38,23,0)</f>
        <v>0</v>
      </c>
      <c r="R28" s="36">
        <f>VLOOKUP($A28,[24]HISTODEC24!$A$6:$AU$38,46,0)</f>
        <v>0</v>
      </c>
      <c r="S28" s="36">
        <f>VLOOKUP($A28,[24]HISTODEC24!$A$6:$AU$38,26,0)</f>
        <v>0</v>
      </c>
      <c r="T28" s="36">
        <f>VLOOKUP($A28,[24]HISTODEC24!$A$6:$BG$38,58,0)</f>
        <v>0</v>
      </c>
      <c r="U28" s="36">
        <f>VLOOKUP($A28,[24]HISTODEC24!$A$6:$AU$38,28,0)</f>
        <v>0</v>
      </c>
      <c r="V28" s="36">
        <f>VLOOKUP($A28,[24]HISTODEC24!$A$6:$AU$38,19,0)</f>
        <v>0</v>
      </c>
      <c r="W28" s="36">
        <f>VLOOKUP($A28,[24]HISTODEC24!$A$6:$AU$38,20,0)</f>
        <v>0</v>
      </c>
      <c r="X28" s="36">
        <f>VLOOKUP($A28,[24]HISTODEC24!$A$6:$AU$38,27,0)</f>
        <v>0</v>
      </c>
      <c r="Y28" s="36">
        <f>VLOOKUP($A28,[24]HISTODEC24!$A$6:$BM$38,33,0)</f>
        <v>0</v>
      </c>
      <c r="Z28" s="36">
        <f>VLOOKUP($A28,[24]HISTODEC24!$A$6:$BM$38,65,0)</f>
        <v>0</v>
      </c>
      <c r="AA28" s="36"/>
      <c r="AB28" s="36">
        <f>VLOOKUP($A28,[24]HISTODEC24!$A$6:$AU$38,43,0)</f>
        <v>0</v>
      </c>
      <c r="AC28" s="36">
        <f>VLOOKUP($A28,[24]HISTODEC24!$A$6:$AU$38,44,0)</f>
        <v>0</v>
      </c>
      <c r="AD28" s="36">
        <f>VLOOKUP($A28,[24]HISTODEC24!$A$6:$AU$38,47,0)</f>
        <v>0</v>
      </c>
      <c r="AE28" s="36">
        <f>VLOOKUP(A28,[24]HISTODEC24!$A$6:$BB$38,54,0)</f>
        <v>0</v>
      </c>
      <c r="AF28" s="36">
        <f>VLOOKUP($A28,[24]HISTODEC24!$A$6:$CA$38,60,0)</f>
        <v>0</v>
      </c>
      <c r="AG28" s="36">
        <f>VLOOKUP($A28,[24]HISTODEC24!$A$6:$CA$38,61,0)</f>
        <v>0</v>
      </c>
      <c r="AH28" s="36">
        <f>VLOOKUP($A28,[24]HISTODEC24!$A$6:$CA$38,62,0)</f>
        <v>0</v>
      </c>
      <c r="AI28" s="36">
        <f>VLOOKUP($A28,[24]HISTODEC24!$A$6:$CA$38,63,0)</f>
        <v>0</v>
      </c>
      <c r="AJ28" s="36">
        <f>VLOOKUP($A28,[24]HISTODEC24!$A$6:$CA$38,64,0)</f>
        <v>0</v>
      </c>
      <c r="AK28" s="36">
        <f>VLOOKUP($A28,[24]HISTODEC24!$A$6:$CA$38,65,0)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MVTNOV24!I29-E29+L29</f>
        <v>851151.34423741512</v>
      </c>
      <c r="G29" s="5">
        <f>IF(MVTNOV24!I29+L29&gt;700000,(MVTNOV24!I29-E29+L29),0)</f>
        <v>851151.34423741512</v>
      </c>
      <c r="H29" s="36">
        <f t="shared" si="0"/>
        <v>0</v>
      </c>
      <c r="I29" s="6">
        <f t="shared" si="2"/>
        <v>851151.34423741512</v>
      </c>
      <c r="J29" s="36">
        <f>VLOOKUP($A29,[24]HISTODEC24!$A$6:$AQ$42,22,0)</f>
        <v>0</v>
      </c>
      <c r="K29" s="36">
        <f>VLOOKUP($A29,[24]HISTODEC24!$A$6:$AU$38,45,0)</f>
        <v>0</v>
      </c>
      <c r="L29" s="36">
        <f t="shared" si="3"/>
        <v>0</v>
      </c>
      <c r="M29" s="36">
        <f t="shared" si="4"/>
        <v>0</v>
      </c>
      <c r="N29" s="36">
        <f t="shared" si="1"/>
        <v>0</v>
      </c>
      <c r="O29" s="36">
        <f t="shared" si="5"/>
        <v>0</v>
      </c>
      <c r="P29" s="36">
        <f>VLOOKUP($A29,[24]HISTODEC24!$A$6:$AU$38,7,0)</f>
        <v>0</v>
      </c>
      <c r="Q29" s="36">
        <f>VLOOKUP($A29,[24]HISTODEC24!$A$6:$AU$38,23,0)</f>
        <v>0</v>
      </c>
      <c r="R29" s="36">
        <f>VLOOKUP($A29,[24]HISTODEC24!$A$6:$AU$38,46,0)</f>
        <v>0</v>
      </c>
      <c r="S29" s="36">
        <f>VLOOKUP($A29,[24]HISTODEC24!$A$6:$AU$38,26,0)</f>
        <v>0</v>
      </c>
      <c r="T29" s="36">
        <f>VLOOKUP($A29,[24]HISTODEC24!$A$6:$BG$38,58,0)</f>
        <v>0</v>
      </c>
      <c r="U29" s="36">
        <f>VLOOKUP($A29,[24]HISTODEC24!$A$6:$AU$38,28,0)</f>
        <v>0</v>
      </c>
      <c r="V29" s="36">
        <f>VLOOKUP($A29,[24]HISTODEC24!$A$6:$AU$38,19,0)</f>
        <v>0</v>
      </c>
      <c r="W29" s="36">
        <f>VLOOKUP($A29,[24]HISTODEC24!$A$6:$AU$38,20,0)</f>
        <v>0</v>
      </c>
      <c r="X29" s="36">
        <f>VLOOKUP($A29,[24]HISTODEC24!$A$6:$AU$38,27,0)</f>
        <v>0</v>
      </c>
      <c r="Y29" s="36">
        <f>VLOOKUP($A29,[24]HISTODEC24!$A$6:$BM$38,33,0)</f>
        <v>0</v>
      </c>
      <c r="Z29" s="36">
        <f>VLOOKUP($A29,[24]HISTODEC24!$A$6:$BM$38,65,0)</f>
        <v>0</v>
      </c>
      <c r="AA29" s="36"/>
      <c r="AB29" s="36">
        <f>VLOOKUP($A29,[24]HISTODEC24!$A$6:$AU$38,43,0)</f>
        <v>0</v>
      </c>
      <c r="AC29" s="36">
        <f>VLOOKUP($A29,[24]HISTODEC24!$A$6:$AU$38,44,0)</f>
        <v>0</v>
      </c>
      <c r="AD29" s="36">
        <f>VLOOKUP($A29,[24]HISTODEC24!$A$6:$AU$38,47,0)</f>
        <v>0</v>
      </c>
      <c r="AE29" s="36">
        <f>VLOOKUP(A29,[24]HISTODEC24!$A$6:$BB$38,54,0)</f>
        <v>0</v>
      </c>
      <c r="AF29" s="36">
        <f>VLOOKUP($A29,[24]HISTODEC24!$A$6:$CA$38,60,0)</f>
        <v>0</v>
      </c>
      <c r="AG29" s="36">
        <f>VLOOKUP($A29,[24]HISTODEC24!$A$6:$CA$38,61,0)</f>
        <v>0</v>
      </c>
      <c r="AH29" s="36">
        <f>VLOOKUP($A29,[24]HISTODEC24!$A$6:$CA$38,62,0)</f>
        <v>0</v>
      </c>
      <c r="AI29" s="36">
        <f>VLOOKUP($A29,[24]HISTODEC24!$A$6:$CA$38,63,0)</f>
        <v>0</v>
      </c>
      <c r="AJ29" s="36">
        <f>VLOOKUP($A29,[24]HISTODEC24!$A$6:$CA$38,64,0)</f>
        <v>0</v>
      </c>
      <c r="AK29" s="36">
        <f>VLOOKUP($A29,[24]HISTODEC24!$A$6:$CA$38,65,0)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MVTNOV24!I30-E30+L30</f>
        <v>755786.81046782702</v>
      </c>
      <c r="G30" s="5">
        <f>IF(MVTNOV24!I30+L30&gt;700000,(MVTNOV24!I30-E30+L30),0)</f>
        <v>755786.81046782702</v>
      </c>
      <c r="H30" s="36">
        <f t="shared" si="0"/>
        <v>0</v>
      </c>
      <c r="I30" s="6">
        <f t="shared" si="2"/>
        <v>755786.81046782702</v>
      </c>
      <c r="J30" s="36">
        <f>VLOOKUP($A30,[24]HISTODEC24!$A$6:$AQ$42,22,0)</f>
        <v>0</v>
      </c>
      <c r="K30" s="36">
        <f>VLOOKUP($A30,[24]HISTODEC24!$A$6:$AU$38,45,0)</f>
        <v>0</v>
      </c>
      <c r="L30" s="36">
        <f t="shared" si="3"/>
        <v>0</v>
      </c>
      <c r="M30" s="36">
        <f t="shared" si="4"/>
        <v>0</v>
      </c>
      <c r="N30" s="36">
        <f t="shared" si="1"/>
        <v>0</v>
      </c>
      <c r="O30" s="36">
        <f t="shared" si="5"/>
        <v>0</v>
      </c>
      <c r="P30" s="36">
        <f>VLOOKUP($A30,[24]HISTODEC24!$A$6:$AU$38,7,0)</f>
        <v>0</v>
      </c>
      <c r="Q30" s="36">
        <f>VLOOKUP($A30,[24]HISTODEC24!$A$6:$AU$38,23,0)</f>
        <v>0</v>
      </c>
      <c r="R30" s="36">
        <f>VLOOKUP($A30,[24]HISTODEC24!$A$6:$AU$38,46,0)</f>
        <v>0</v>
      </c>
      <c r="S30" s="36">
        <f>VLOOKUP($A30,[24]HISTODEC24!$A$6:$AU$38,26,0)</f>
        <v>0</v>
      </c>
      <c r="T30" s="36">
        <f>VLOOKUP($A30,[24]HISTODEC24!$A$6:$BG$38,58,0)</f>
        <v>0</v>
      </c>
      <c r="U30" s="36">
        <f>VLOOKUP($A30,[24]HISTODEC24!$A$6:$AU$38,28,0)</f>
        <v>0</v>
      </c>
      <c r="V30" s="36">
        <f>VLOOKUP($A30,[24]HISTODEC24!$A$6:$AU$38,19,0)</f>
        <v>0</v>
      </c>
      <c r="W30" s="36">
        <f>VLOOKUP($A30,[24]HISTODEC24!$A$6:$AU$38,20,0)</f>
        <v>0</v>
      </c>
      <c r="X30" s="36">
        <f>VLOOKUP($A30,[24]HISTODEC24!$A$6:$AU$38,27,0)</f>
        <v>0</v>
      </c>
      <c r="Y30" s="36">
        <f>VLOOKUP($A30,[24]HISTODEC24!$A$6:$BM$38,33,0)</f>
        <v>0</v>
      </c>
      <c r="Z30" s="36">
        <f>VLOOKUP($A30,[24]HISTODEC24!$A$6:$BM$38,65,0)</f>
        <v>0</v>
      </c>
      <c r="AA30" s="36"/>
      <c r="AB30" s="36">
        <f>VLOOKUP($A30,[24]HISTODEC24!$A$6:$AU$38,43,0)</f>
        <v>0</v>
      </c>
      <c r="AC30" s="36">
        <f>VLOOKUP($A30,[24]HISTODEC24!$A$6:$AU$38,44,0)</f>
        <v>0</v>
      </c>
      <c r="AD30" s="36">
        <f>VLOOKUP($A30,[24]HISTODEC24!$A$6:$AU$38,47,0)</f>
        <v>0</v>
      </c>
      <c r="AE30" s="36">
        <f>VLOOKUP(A30,[24]HISTODEC24!$A$6:$BB$38,54,0)</f>
        <v>0</v>
      </c>
      <c r="AF30" s="36">
        <f>VLOOKUP($A30,[24]HISTODEC24!$A$6:$CA$38,60,0)</f>
        <v>0</v>
      </c>
      <c r="AG30" s="36">
        <f>VLOOKUP($A30,[24]HISTODEC24!$A$6:$CA$38,61,0)</f>
        <v>0</v>
      </c>
      <c r="AH30" s="36">
        <f>VLOOKUP($A30,[24]HISTODEC24!$A$6:$CA$38,62,0)</f>
        <v>0</v>
      </c>
      <c r="AI30" s="36">
        <f>VLOOKUP($A30,[24]HISTODEC24!$A$6:$CA$38,63,0)</f>
        <v>0</v>
      </c>
      <c r="AJ30" s="36">
        <f>VLOOKUP($A30,[24]HISTODEC24!$A$6:$CA$38,64,0)</f>
        <v>0</v>
      </c>
      <c r="AK30" s="36">
        <f>VLOOKUP($A30,[24]HISTODEC24!$A$6:$CA$38,65,0)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MVTNOV24!I31-E31+L31</f>
        <v>915903.03114813485</v>
      </c>
      <c r="G31" s="5">
        <f>IF(MVTNOV24!I31+L31&gt;700000,(MVTNOV24!I31-E31+L31),0)</f>
        <v>915903.03114813485</v>
      </c>
      <c r="H31" s="36">
        <f t="shared" si="0"/>
        <v>0</v>
      </c>
      <c r="I31" s="6">
        <f t="shared" si="2"/>
        <v>915903.03114813485</v>
      </c>
      <c r="J31" s="36">
        <f>VLOOKUP($A31,[24]HISTODEC24!$A$6:$AQ$42,22,0)</f>
        <v>0</v>
      </c>
      <c r="K31" s="36">
        <f>VLOOKUP($A31,[24]HISTODEC24!$A$6:$AU$38,45,0)</f>
        <v>0</v>
      </c>
      <c r="L31" s="36">
        <f t="shared" si="3"/>
        <v>0</v>
      </c>
      <c r="M31" s="36">
        <f t="shared" si="4"/>
        <v>0</v>
      </c>
      <c r="N31" s="36">
        <f t="shared" si="1"/>
        <v>0</v>
      </c>
      <c r="O31" s="36">
        <f t="shared" si="5"/>
        <v>0</v>
      </c>
      <c r="P31" s="36">
        <f>VLOOKUP($A31,[24]HISTODEC24!$A$6:$AU$38,7,0)</f>
        <v>0</v>
      </c>
      <c r="Q31" s="36">
        <f>VLOOKUP($A31,[24]HISTODEC24!$A$6:$AU$38,23,0)</f>
        <v>0</v>
      </c>
      <c r="R31" s="36">
        <f>VLOOKUP($A31,[24]HISTODEC24!$A$6:$AU$38,46,0)</f>
        <v>0</v>
      </c>
      <c r="S31" s="36">
        <f>VLOOKUP($A31,[24]HISTODEC24!$A$6:$AU$38,26,0)</f>
        <v>0</v>
      </c>
      <c r="T31" s="36">
        <f>VLOOKUP($A31,[24]HISTODEC24!$A$6:$BG$38,58,0)</f>
        <v>0</v>
      </c>
      <c r="U31" s="36">
        <f>VLOOKUP($A31,[24]HISTODEC24!$A$6:$AU$38,28,0)</f>
        <v>0</v>
      </c>
      <c r="V31" s="36">
        <f>VLOOKUP($A31,[24]HISTODEC24!$A$6:$AU$38,19,0)</f>
        <v>0</v>
      </c>
      <c r="W31" s="36">
        <f>VLOOKUP($A31,[24]HISTODEC24!$A$6:$AU$38,20,0)</f>
        <v>0</v>
      </c>
      <c r="X31" s="36">
        <f>VLOOKUP($A31,[24]HISTODEC24!$A$6:$AU$38,27,0)</f>
        <v>0</v>
      </c>
      <c r="Y31" s="36">
        <f>VLOOKUP($A31,[24]HISTODEC24!$A$6:$BM$38,33,0)</f>
        <v>0</v>
      </c>
      <c r="Z31" s="36">
        <f>VLOOKUP($A31,[24]HISTODEC24!$A$6:$BM$38,65,0)</f>
        <v>0</v>
      </c>
      <c r="AA31" s="36"/>
      <c r="AB31" s="36">
        <f>VLOOKUP($A31,[24]HISTODEC24!$A$6:$AU$38,43,0)</f>
        <v>0</v>
      </c>
      <c r="AC31" s="36">
        <f>VLOOKUP($A31,[24]HISTODEC24!$A$6:$AU$38,44,0)</f>
        <v>0</v>
      </c>
      <c r="AD31" s="36">
        <f>VLOOKUP($A31,[24]HISTODEC24!$A$6:$AU$38,47,0)</f>
        <v>0</v>
      </c>
      <c r="AE31" s="36">
        <f>VLOOKUP(A31,[24]HISTODEC24!$A$6:$BB$38,54,0)</f>
        <v>0</v>
      </c>
      <c r="AF31" s="36">
        <f>VLOOKUP($A31,[24]HISTODEC24!$A$6:$CA$38,60,0)</f>
        <v>0</v>
      </c>
      <c r="AG31" s="36">
        <f>VLOOKUP($A31,[24]HISTODEC24!$A$6:$CA$38,61,0)</f>
        <v>0</v>
      </c>
      <c r="AH31" s="36">
        <f>VLOOKUP($A31,[24]HISTODEC24!$A$6:$CA$38,62,0)</f>
        <v>0</v>
      </c>
      <c r="AI31" s="36">
        <f>VLOOKUP($A31,[24]HISTODEC24!$A$6:$CA$38,63,0)</f>
        <v>0</v>
      </c>
      <c r="AJ31" s="36">
        <f>VLOOKUP($A31,[24]HISTODEC24!$A$6:$CA$38,64,0)</f>
        <v>0</v>
      </c>
      <c r="AK31" s="36">
        <f>VLOOKUP($A31,[24]HISTODEC24!$A$6:$CA$38,65,0)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MVTNOV24!I32-E32+L32</f>
        <v>805243.98131057119</v>
      </c>
      <c r="G32" s="5">
        <f>IF(MVTNOV24!I32+L32&gt;700000,(MVTNOV24!I32-E32+L32),0)</f>
        <v>805243.98131057119</v>
      </c>
      <c r="H32" s="36">
        <f t="shared" si="0"/>
        <v>0</v>
      </c>
      <c r="I32" s="6">
        <f t="shared" si="2"/>
        <v>805243.98131057119</v>
      </c>
      <c r="J32" s="36">
        <f>VLOOKUP($A32,[24]HISTODEC24!$A$6:$AQ$42,22,0)</f>
        <v>0</v>
      </c>
      <c r="K32" s="36">
        <f>VLOOKUP($A32,[24]HISTODEC24!$A$6:$AU$38,45,0)</f>
        <v>0</v>
      </c>
      <c r="L32" s="36">
        <f t="shared" si="3"/>
        <v>0</v>
      </c>
      <c r="M32" s="36">
        <f t="shared" si="4"/>
        <v>0</v>
      </c>
      <c r="N32" s="36">
        <f t="shared" si="1"/>
        <v>0</v>
      </c>
      <c r="O32" s="36">
        <f t="shared" si="5"/>
        <v>0</v>
      </c>
      <c r="P32" s="36">
        <f>VLOOKUP($A32,[24]HISTODEC24!$A$6:$AU$38,7,0)</f>
        <v>0</v>
      </c>
      <c r="Q32" s="36">
        <f>VLOOKUP($A32,[24]HISTODEC24!$A$6:$AU$38,23,0)</f>
        <v>0</v>
      </c>
      <c r="R32" s="36">
        <f>VLOOKUP($A32,[24]HISTODEC24!$A$6:$AU$38,46,0)</f>
        <v>0</v>
      </c>
      <c r="S32" s="36">
        <f>VLOOKUP($A32,[24]HISTODEC24!$A$6:$AU$38,26,0)</f>
        <v>0</v>
      </c>
      <c r="T32" s="36">
        <f>VLOOKUP($A32,[24]HISTODEC24!$A$6:$BG$38,58,0)</f>
        <v>0</v>
      </c>
      <c r="U32" s="36">
        <f>VLOOKUP($A32,[24]HISTODEC24!$A$6:$AU$38,28,0)</f>
        <v>0</v>
      </c>
      <c r="V32" s="36">
        <f>VLOOKUP($A32,[24]HISTODEC24!$A$6:$AU$38,19,0)</f>
        <v>0</v>
      </c>
      <c r="W32" s="36">
        <f>VLOOKUP($A32,[24]HISTODEC24!$A$6:$AU$38,20,0)</f>
        <v>0</v>
      </c>
      <c r="X32" s="36">
        <f>VLOOKUP($A32,[24]HISTODEC24!$A$6:$AU$38,27,0)</f>
        <v>0</v>
      </c>
      <c r="Y32" s="36">
        <f>VLOOKUP($A32,[24]HISTODEC24!$A$6:$BM$38,33,0)</f>
        <v>0</v>
      </c>
      <c r="Z32" s="36">
        <f>VLOOKUP($A32,[24]HISTODEC24!$A$6:$BM$38,65,0)</f>
        <v>0</v>
      </c>
      <c r="AA32" s="36"/>
      <c r="AB32" s="36">
        <f>VLOOKUP($A32,[24]HISTODEC24!$A$6:$AU$38,43,0)</f>
        <v>0</v>
      </c>
      <c r="AC32" s="36">
        <f>VLOOKUP($A32,[24]HISTODEC24!$A$6:$AU$38,44,0)</f>
        <v>0</v>
      </c>
      <c r="AD32" s="36">
        <f>VLOOKUP($A32,[24]HISTODEC24!$A$6:$AU$38,47,0)</f>
        <v>0</v>
      </c>
      <c r="AE32" s="36">
        <f>VLOOKUP(A32,[24]HISTODEC24!$A$6:$BB$38,54,0)</f>
        <v>0</v>
      </c>
      <c r="AF32" s="36">
        <f>VLOOKUP($A32,[24]HISTODEC24!$A$6:$CA$38,60,0)</f>
        <v>0</v>
      </c>
      <c r="AG32" s="36">
        <f>VLOOKUP($A32,[24]HISTODEC24!$A$6:$CA$38,61,0)</f>
        <v>0</v>
      </c>
      <c r="AH32" s="36">
        <f>VLOOKUP($A32,[24]HISTODEC24!$A$6:$CA$38,62,0)</f>
        <v>0</v>
      </c>
      <c r="AI32" s="36">
        <f>VLOOKUP($A32,[24]HISTODEC24!$A$6:$CA$38,63,0)</f>
        <v>0</v>
      </c>
      <c r="AJ32" s="36">
        <f>VLOOKUP($A32,[24]HISTODEC24!$A$6:$CA$38,64,0)</f>
        <v>0</v>
      </c>
      <c r="AK32" s="36">
        <f>VLOOKUP($A32,[24]HISTODEC24!$A$6:$CA$38,65,0)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MVTNOV24!I33-E33+L33</f>
        <v>805552.64928596013</v>
      </c>
      <c r="G33" s="5">
        <f>IF(MVTNOV24!I33+L33&gt;700000,(MVTNOV24!I33-E33+L33),0)</f>
        <v>805552.64928596013</v>
      </c>
      <c r="H33" s="36">
        <f t="shared" si="0"/>
        <v>0</v>
      </c>
      <c r="I33" s="6">
        <f t="shared" si="2"/>
        <v>805552.64928596013</v>
      </c>
      <c r="J33" s="36">
        <f>VLOOKUP($A33,[24]HISTODEC24!$A$6:$AQ$42,22,0)</f>
        <v>0</v>
      </c>
      <c r="K33" s="36">
        <f>VLOOKUP($A33,[24]HISTODEC24!$A$6:$AU$38,45,0)</f>
        <v>0</v>
      </c>
      <c r="L33" s="36">
        <f t="shared" si="3"/>
        <v>0</v>
      </c>
      <c r="M33" s="36">
        <f t="shared" si="4"/>
        <v>0</v>
      </c>
      <c r="N33" s="36">
        <f t="shared" si="1"/>
        <v>0</v>
      </c>
      <c r="O33" s="36">
        <f t="shared" si="5"/>
        <v>0</v>
      </c>
      <c r="P33" s="36">
        <f>VLOOKUP($A33,[24]HISTODEC24!$A$6:$AU$38,7,0)</f>
        <v>0</v>
      </c>
      <c r="Q33" s="36">
        <f>VLOOKUP($A33,[24]HISTODEC24!$A$6:$AU$38,23,0)</f>
        <v>0</v>
      </c>
      <c r="R33" s="36">
        <f>VLOOKUP($A33,[24]HISTODEC24!$A$6:$AU$38,46,0)</f>
        <v>0</v>
      </c>
      <c r="S33" s="36">
        <f>VLOOKUP($A33,[24]HISTODEC24!$A$6:$AU$38,26,0)</f>
        <v>0</v>
      </c>
      <c r="T33" s="36">
        <f>VLOOKUP($A33,[24]HISTODEC24!$A$6:$BG$38,58,0)</f>
        <v>0</v>
      </c>
      <c r="U33" s="36">
        <f>VLOOKUP($A33,[24]HISTODEC24!$A$6:$AU$38,28,0)</f>
        <v>0</v>
      </c>
      <c r="V33" s="36">
        <f>VLOOKUP($A33,[24]HISTODEC24!$A$6:$AU$38,19,0)</f>
        <v>0</v>
      </c>
      <c r="W33" s="36">
        <f>VLOOKUP($A33,[24]HISTODEC24!$A$6:$AU$38,20,0)</f>
        <v>0</v>
      </c>
      <c r="X33" s="36">
        <f>VLOOKUP($A33,[24]HISTODEC24!$A$6:$AU$38,27,0)</f>
        <v>0</v>
      </c>
      <c r="Y33" s="36">
        <f>VLOOKUP($A33,[24]HISTODEC24!$A$6:$BM$38,33,0)</f>
        <v>0</v>
      </c>
      <c r="Z33" s="36">
        <f>VLOOKUP($A33,[24]HISTODEC24!$A$6:$BM$38,65,0)</f>
        <v>0</v>
      </c>
      <c r="AA33" s="36"/>
      <c r="AB33" s="36">
        <f>VLOOKUP($A33,[24]HISTODEC24!$A$6:$AU$38,43,0)</f>
        <v>0</v>
      </c>
      <c r="AC33" s="36">
        <f>VLOOKUP($A33,[24]HISTODEC24!$A$6:$AU$38,44,0)</f>
        <v>0</v>
      </c>
      <c r="AD33" s="36">
        <f>VLOOKUP($A33,[24]HISTODEC24!$A$6:$AU$38,47,0)</f>
        <v>0</v>
      </c>
      <c r="AE33" s="36">
        <f>VLOOKUP(A33,[24]HISTODEC24!$A$6:$BB$38,54,0)</f>
        <v>0</v>
      </c>
      <c r="AF33" s="36">
        <f>VLOOKUP($A33,[24]HISTODEC24!$A$6:$CA$38,60,0)</f>
        <v>0</v>
      </c>
      <c r="AG33" s="36">
        <f>VLOOKUP($A33,[24]HISTODEC24!$A$6:$CA$38,61,0)</f>
        <v>0</v>
      </c>
      <c r="AH33" s="36">
        <f>VLOOKUP($A33,[24]HISTODEC24!$A$6:$CA$38,62,0)</f>
        <v>0</v>
      </c>
      <c r="AI33" s="36">
        <f>VLOOKUP($A33,[24]HISTODEC24!$A$6:$CA$38,63,0)</f>
        <v>0</v>
      </c>
      <c r="AJ33" s="36">
        <f>VLOOKUP($A33,[24]HISTODEC24!$A$6:$CA$38,64,0)</f>
        <v>0</v>
      </c>
      <c r="AK33" s="36">
        <f>VLOOKUP($A33,[24]HISTODEC24!$A$6:$CA$38,65,0)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MVTNOV24!I34-E34+L34</f>
        <v>382000</v>
      </c>
      <c r="G34" s="5">
        <f>IF(MVTNOV24!I34+L34&gt;700000,(MVTNOV24!I34-E34+L34),0)</f>
        <v>0</v>
      </c>
      <c r="H34" s="36">
        <f t="shared" si="0"/>
        <v>0</v>
      </c>
      <c r="I34" s="6">
        <f t="shared" si="2"/>
        <v>382000</v>
      </c>
      <c r="J34" s="36">
        <f>VLOOKUP($A34,[24]HISTODEC24!$A$6:$AQ$42,22,0)</f>
        <v>0</v>
      </c>
      <c r="K34" s="36">
        <f>VLOOKUP($A34,[24]HISTODEC24!$A$6:$AU$38,45,0)</f>
        <v>0</v>
      </c>
      <c r="L34" s="36">
        <f t="shared" si="3"/>
        <v>0</v>
      </c>
      <c r="M34" s="36">
        <f t="shared" si="4"/>
        <v>0</v>
      </c>
      <c r="N34" s="36">
        <f t="shared" si="1"/>
        <v>0</v>
      </c>
      <c r="O34" s="36">
        <f t="shared" si="5"/>
        <v>0</v>
      </c>
      <c r="P34" s="36">
        <f>VLOOKUP($A34,[24]HISTODEC24!$A$6:$AU$38,7,0)</f>
        <v>0</v>
      </c>
      <c r="Q34" s="36">
        <f>VLOOKUP($A34,[24]HISTODEC24!$A$6:$AU$38,23,0)</f>
        <v>0</v>
      </c>
      <c r="R34" s="36">
        <f>VLOOKUP($A34,[24]HISTODEC24!$A$6:$AU$38,46,0)</f>
        <v>0</v>
      </c>
      <c r="S34" s="36">
        <f>VLOOKUP($A34,[24]HISTODEC24!$A$6:$AU$38,26,0)</f>
        <v>0</v>
      </c>
      <c r="T34" s="36">
        <f>VLOOKUP($A34,[24]HISTODEC24!$A$6:$BG$38,58,0)</f>
        <v>0</v>
      </c>
      <c r="U34" s="36">
        <f>VLOOKUP($A34,[24]HISTODEC24!$A$6:$AU$38,28,0)</f>
        <v>0</v>
      </c>
      <c r="V34" s="36">
        <f>VLOOKUP($A34,[24]HISTODEC24!$A$6:$AU$38,19,0)</f>
        <v>0</v>
      </c>
      <c r="W34" s="36">
        <f>VLOOKUP($A34,[24]HISTODEC24!$A$6:$AU$38,20,0)</f>
        <v>0</v>
      </c>
      <c r="X34" s="36">
        <f>VLOOKUP($A34,[24]HISTODEC24!$A$6:$AU$38,27,0)</f>
        <v>0</v>
      </c>
      <c r="Y34" s="36">
        <f>VLOOKUP($A34,[24]HISTODEC24!$A$6:$BM$38,33,0)</f>
        <v>0</v>
      </c>
      <c r="Z34" s="36">
        <f>VLOOKUP($A34,[24]HISTODEC24!$A$6:$BM$38,65,0)</f>
        <v>0</v>
      </c>
      <c r="AA34" s="36"/>
      <c r="AB34" s="36">
        <f>VLOOKUP($A34,[24]HISTODEC24!$A$6:$AU$38,43,0)</f>
        <v>0</v>
      </c>
      <c r="AC34" s="36">
        <f>VLOOKUP($A34,[24]HISTODEC24!$A$6:$AU$38,44,0)</f>
        <v>0</v>
      </c>
      <c r="AD34" s="36">
        <f>VLOOKUP($A34,[24]HISTODEC24!$A$6:$AU$38,47,0)</f>
        <v>0</v>
      </c>
      <c r="AE34" s="36">
        <f>VLOOKUP(A34,[24]HISTODEC24!$A$6:$BB$38,54,0)</f>
        <v>0</v>
      </c>
      <c r="AF34" s="36">
        <f>VLOOKUP($A34,[24]HISTODEC24!$A$6:$CA$38,60,0)</f>
        <v>0</v>
      </c>
      <c r="AG34" s="36">
        <f>VLOOKUP($A34,[24]HISTODEC24!$A$6:$CA$38,61,0)</f>
        <v>0</v>
      </c>
      <c r="AH34" s="36">
        <f>VLOOKUP($A34,[24]HISTODEC24!$A$6:$CA$38,62,0)</f>
        <v>0</v>
      </c>
      <c r="AI34" s="36">
        <f>VLOOKUP($A34,[24]HISTODEC24!$A$6:$CA$38,63,0)</f>
        <v>0</v>
      </c>
      <c r="AJ34" s="36">
        <f>VLOOKUP($A34,[24]HISTODEC24!$A$6:$CA$38,64,0)</f>
        <v>0</v>
      </c>
      <c r="AK34" s="36">
        <f>VLOOKUP($A34,[24]HISTODEC24!$A$6:$CA$38,65,0)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MVTNOV24!I35-E35+L35</f>
        <v>160000</v>
      </c>
      <c r="G35" s="5">
        <f>IF(MVTNOV24!I35+L35&gt;700000,(MVTNOV24!I35-E35+L35),0)</f>
        <v>0</v>
      </c>
      <c r="H35" s="36">
        <f t="shared" si="0"/>
        <v>0</v>
      </c>
      <c r="I35" s="6">
        <f t="shared" si="2"/>
        <v>160000</v>
      </c>
      <c r="J35" s="36">
        <f>VLOOKUP($A35,[24]HISTODEC24!$A$6:$AQ$42,22,0)</f>
        <v>0</v>
      </c>
      <c r="K35" s="36">
        <f>VLOOKUP($A35,[24]HISTODEC24!$A$6:$AU$38,45,0)</f>
        <v>0</v>
      </c>
      <c r="L35" s="36">
        <f t="shared" si="3"/>
        <v>0</v>
      </c>
      <c r="M35" s="36">
        <f t="shared" si="4"/>
        <v>0</v>
      </c>
      <c r="N35" s="36">
        <f t="shared" si="1"/>
        <v>0</v>
      </c>
      <c r="O35" s="36">
        <f t="shared" si="5"/>
        <v>0</v>
      </c>
      <c r="P35" s="36">
        <f>VLOOKUP($A35,[24]HISTODEC24!$A$6:$AU$38,7,0)</f>
        <v>0</v>
      </c>
      <c r="Q35" s="36">
        <f>VLOOKUP($A35,[24]HISTODEC24!$A$6:$AU$38,23,0)</f>
        <v>0</v>
      </c>
      <c r="R35" s="36">
        <f>VLOOKUP($A35,[24]HISTODEC24!$A$6:$AU$38,46,0)</f>
        <v>0</v>
      </c>
      <c r="S35" s="36">
        <f>VLOOKUP($A35,[24]HISTODEC24!$A$6:$AU$38,26,0)</f>
        <v>0</v>
      </c>
      <c r="T35" s="36">
        <f>VLOOKUP($A35,[24]HISTODEC24!$A$6:$BG$38,58,0)</f>
        <v>0</v>
      </c>
      <c r="U35" s="36">
        <f>VLOOKUP($A35,[24]HISTODEC24!$A$6:$AU$38,28,0)</f>
        <v>0</v>
      </c>
      <c r="V35" s="36">
        <f>VLOOKUP($A35,[24]HISTODEC24!$A$6:$AU$38,19,0)</f>
        <v>0</v>
      </c>
      <c r="W35" s="36">
        <f>VLOOKUP($A35,[24]HISTODEC24!$A$6:$AU$38,20,0)</f>
        <v>0</v>
      </c>
      <c r="X35" s="36">
        <f>VLOOKUP($A35,[24]HISTODEC24!$A$6:$AU$38,27,0)</f>
        <v>0</v>
      </c>
      <c r="Y35" s="36">
        <f>VLOOKUP($A35,[24]HISTODEC24!$A$6:$BM$38,33,0)</f>
        <v>0</v>
      </c>
      <c r="Z35" s="36">
        <f>VLOOKUP($A35,[24]HISTODEC24!$A$6:$BM$38,65,0)</f>
        <v>0</v>
      </c>
      <c r="AA35" s="36"/>
      <c r="AB35" s="36">
        <f>VLOOKUP($A35,[24]HISTODEC24!$A$6:$AU$38,43,0)</f>
        <v>0</v>
      </c>
      <c r="AC35" s="36">
        <f>VLOOKUP($A35,[24]HISTODEC24!$A$6:$AU$38,44,0)</f>
        <v>0</v>
      </c>
      <c r="AD35" s="36">
        <f>VLOOKUP($A35,[24]HISTODEC24!$A$6:$AU$38,47,0)</f>
        <v>0</v>
      </c>
      <c r="AE35" s="36">
        <f>VLOOKUP(A35,[24]HISTODEC24!$A$6:$BB$38,54,0)</f>
        <v>0</v>
      </c>
      <c r="AF35" s="36">
        <f>VLOOKUP($A35,[24]HISTODEC24!$A$6:$CA$38,60,0)</f>
        <v>0</v>
      </c>
      <c r="AG35" s="36">
        <f>VLOOKUP($A35,[24]HISTODEC24!$A$6:$CA$38,61,0)</f>
        <v>0</v>
      </c>
      <c r="AH35" s="36">
        <f>VLOOKUP($A35,[24]HISTODEC24!$A$6:$CA$38,62,0)</f>
        <v>0</v>
      </c>
      <c r="AI35" s="36">
        <f>VLOOKUP($A35,[24]HISTODEC24!$A$6:$CA$38,63,0)</f>
        <v>0</v>
      </c>
      <c r="AJ35" s="36">
        <f>VLOOKUP($A35,[24]HISTODEC24!$A$6:$CA$38,64,0)</f>
        <v>0</v>
      </c>
      <c r="AK35" s="36">
        <f>VLOOKUP($A35,[24]HISTODEC24!$A$6:$CA$38,65,0)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MVTNOV24!I36-E36+L36</f>
        <v>832599.08181867818</v>
      </c>
      <c r="G36" s="5">
        <f>IF(MVTNOV24!I36+L36&gt;700000,(MVTNOV24!I36-E36+L36),0)</f>
        <v>832599.08181867818</v>
      </c>
      <c r="H36" s="36">
        <f t="shared" si="0"/>
        <v>0</v>
      </c>
      <c r="I36" s="6">
        <f t="shared" si="2"/>
        <v>832599.08181867818</v>
      </c>
      <c r="J36" s="36">
        <f>VLOOKUP($A36,[24]HISTODEC24!$A$6:$AQ$42,22,0)</f>
        <v>0</v>
      </c>
      <c r="K36" s="36">
        <f>VLOOKUP($A36,[24]HISTODEC24!$A$6:$AU$38,45,0)</f>
        <v>0</v>
      </c>
      <c r="L36" s="36">
        <f t="shared" si="3"/>
        <v>0</v>
      </c>
      <c r="M36" s="36">
        <f t="shared" si="4"/>
        <v>0</v>
      </c>
      <c r="N36" s="36">
        <f t="shared" si="1"/>
        <v>0</v>
      </c>
      <c r="O36" s="36">
        <f t="shared" si="5"/>
        <v>0</v>
      </c>
      <c r="P36" s="36">
        <f>VLOOKUP($A36,[24]HISTODEC24!$A$6:$AU$38,7,0)</f>
        <v>0</v>
      </c>
      <c r="Q36" s="36">
        <f>VLOOKUP($A36,[24]HISTODEC24!$A$6:$AU$38,23,0)</f>
        <v>0</v>
      </c>
      <c r="R36" s="36">
        <f>VLOOKUP($A36,[24]HISTODEC24!$A$6:$AU$38,46,0)</f>
        <v>0</v>
      </c>
      <c r="S36" s="36">
        <f>VLOOKUP($A36,[24]HISTODEC24!$A$6:$AU$38,26,0)</f>
        <v>0</v>
      </c>
      <c r="T36" s="36">
        <f>VLOOKUP($A36,[24]HISTODEC24!$A$6:$BG$38,58,0)</f>
        <v>0</v>
      </c>
      <c r="U36" s="36">
        <f>VLOOKUP($A36,[24]HISTODEC24!$A$6:$AU$38,28,0)</f>
        <v>0</v>
      </c>
      <c r="V36" s="36">
        <f>VLOOKUP($A36,[24]HISTODEC24!$A$6:$AU$38,19,0)</f>
        <v>0</v>
      </c>
      <c r="W36" s="36">
        <f>VLOOKUP($A36,[24]HISTODEC24!$A$6:$AU$38,20,0)</f>
        <v>0</v>
      </c>
      <c r="X36" s="36">
        <f>VLOOKUP($A36,[24]HISTODEC24!$A$6:$AU$38,27,0)</f>
        <v>0</v>
      </c>
      <c r="Y36" s="36">
        <f>VLOOKUP($A36,[24]HISTODEC24!$A$6:$BM$38,33,0)</f>
        <v>0</v>
      </c>
      <c r="Z36" s="36">
        <f>VLOOKUP($A36,[24]HISTODEC24!$A$6:$BM$38,65,0)</f>
        <v>0</v>
      </c>
      <c r="AA36" s="36"/>
      <c r="AB36" s="36">
        <f>VLOOKUP($A36,[24]HISTODEC24!$A$6:$AU$38,43,0)</f>
        <v>0</v>
      </c>
      <c r="AC36" s="36">
        <f>VLOOKUP($A36,[24]HISTODEC24!$A$6:$AU$38,44,0)</f>
        <v>0</v>
      </c>
      <c r="AD36" s="36">
        <f>VLOOKUP($A36,[24]HISTODEC24!$A$6:$AU$38,47,0)</f>
        <v>0</v>
      </c>
      <c r="AE36" s="36">
        <f>VLOOKUP(A36,[24]HISTODEC24!$A$6:$BB$38,54,0)</f>
        <v>0</v>
      </c>
      <c r="AF36" s="36">
        <f>VLOOKUP($A36,[24]HISTODEC24!$A$6:$CA$38,60,0)</f>
        <v>0</v>
      </c>
      <c r="AG36" s="36">
        <f>VLOOKUP($A36,[24]HISTODEC24!$A$6:$CA$38,61,0)</f>
        <v>0</v>
      </c>
      <c r="AH36" s="36">
        <f>VLOOKUP($A36,[24]HISTODEC24!$A$6:$CA$38,62,0)</f>
        <v>0</v>
      </c>
      <c r="AI36" s="36">
        <f>VLOOKUP($A36,[24]HISTODEC24!$A$6:$CA$38,63,0)</f>
        <v>0</v>
      </c>
      <c r="AJ36" s="36">
        <f>VLOOKUP($A36,[24]HISTODEC24!$A$6:$CA$38,64,0)</f>
        <v>0</v>
      </c>
      <c r="AK36" s="36">
        <f>VLOOKUP($A36,[24]HISTODEC24!$A$6:$CA$38,65,0)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MVTNOV24!I37-E37+L37</f>
        <v>1875400.7147676253</v>
      </c>
      <c r="G37" s="5">
        <f>IF(MVTNOV24!I37+L37&gt;700000,(MVTNOV24!I37-E37+L37),0)</f>
        <v>1875400.7147676253</v>
      </c>
      <c r="H37" s="36">
        <f t="shared" si="0"/>
        <v>0</v>
      </c>
      <c r="I37" s="6">
        <f t="shared" si="2"/>
        <v>1875400.7147676253</v>
      </c>
      <c r="J37" s="36">
        <f>VLOOKUP($A37,[24]HISTODEC24!$A$6:$AQ$42,22,0)</f>
        <v>0</v>
      </c>
      <c r="K37" s="36">
        <f>VLOOKUP($A37,[24]HISTODEC24!$A$6:$AU$38,45,0)</f>
        <v>0</v>
      </c>
      <c r="L37" s="36">
        <f t="shared" si="3"/>
        <v>0</v>
      </c>
      <c r="M37" s="36">
        <f t="shared" si="4"/>
        <v>0</v>
      </c>
      <c r="N37" s="36">
        <f t="shared" si="1"/>
        <v>0</v>
      </c>
      <c r="O37" s="36">
        <f t="shared" si="5"/>
        <v>0</v>
      </c>
      <c r="P37" s="36">
        <f>VLOOKUP($A37,[24]HISTODEC24!$A$6:$AU$38,7,0)</f>
        <v>0</v>
      </c>
      <c r="Q37" s="36">
        <f>VLOOKUP($A37,[24]HISTODEC24!$A$6:$AU$38,23,0)</f>
        <v>0</v>
      </c>
      <c r="R37" s="36">
        <f>VLOOKUP($A37,[24]HISTODEC24!$A$6:$AU$38,46,0)</f>
        <v>0</v>
      </c>
      <c r="S37" s="36">
        <f>VLOOKUP($A37,[24]HISTODEC24!$A$6:$AU$38,26,0)</f>
        <v>0</v>
      </c>
      <c r="T37" s="36">
        <f>VLOOKUP($A37,[24]HISTODEC24!$A$6:$BG$38,58,0)</f>
        <v>0</v>
      </c>
      <c r="U37" s="36">
        <f>VLOOKUP($A37,[24]HISTODEC24!$A$6:$AU$38,28,0)</f>
        <v>0</v>
      </c>
      <c r="V37" s="36">
        <f>VLOOKUP($A37,[24]HISTODEC24!$A$6:$AU$38,19,0)</f>
        <v>0</v>
      </c>
      <c r="W37" s="36">
        <f>VLOOKUP($A37,[24]HISTODEC24!$A$6:$AU$38,20,0)</f>
        <v>0</v>
      </c>
      <c r="X37" s="36">
        <f>VLOOKUP($A37,[24]HISTODEC24!$A$6:$AU$38,27,0)</f>
        <v>0</v>
      </c>
      <c r="Y37" s="36">
        <f>VLOOKUP($A37,[24]HISTODEC24!$A$6:$BM$38,33,0)</f>
        <v>0</v>
      </c>
      <c r="Z37" s="36">
        <f>VLOOKUP($A37,[24]HISTODEC24!$A$6:$BM$38,65,0)</f>
        <v>0</v>
      </c>
      <c r="AA37" s="36"/>
      <c r="AB37" s="36">
        <f>VLOOKUP($A37,[24]HISTODEC24!$A$6:$AU$38,43,0)</f>
        <v>0</v>
      </c>
      <c r="AC37" s="36">
        <f>VLOOKUP($A37,[24]HISTODEC24!$A$6:$AU$38,44,0)</f>
        <v>0</v>
      </c>
      <c r="AD37" s="36">
        <f>VLOOKUP($A37,[24]HISTODEC24!$A$6:$AU$38,47,0)</f>
        <v>0</v>
      </c>
      <c r="AE37" s="36">
        <f>VLOOKUP(A37,[24]HISTODEC24!$A$6:$BB$38,54,0)</f>
        <v>0</v>
      </c>
      <c r="AF37" s="36">
        <f>VLOOKUP($A37,[24]HISTODEC24!$A$6:$CA$38,60,0)</f>
        <v>0</v>
      </c>
      <c r="AG37" s="36">
        <f>VLOOKUP($A37,[24]HISTODEC24!$A$6:$CA$38,61,0)</f>
        <v>0</v>
      </c>
      <c r="AH37" s="36">
        <f>VLOOKUP($A37,[24]HISTODEC24!$A$6:$CA$38,62,0)</f>
        <v>0</v>
      </c>
      <c r="AI37" s="36">
        <f>VLOOKUP($A37,[24]HISTODEC24!$A$6:$CA$38,63,0)</f>
        <v>0</v>
      </c>
      <c r="AJ37" s="36">
        <f>VLOOKUP($A37,[24]HISTODEC24!$A$6:$CA$38,64,0)</f>
        <v>0</v>
      </c>
      <c r="AK37" s="36">
        <f>VLOOKUP($A37,[24]HISTODEC24!$A$6:$CA$38,65,0)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MVTNOV24!I38-E38+L38</f>
        <v>57000</v>
      </c>
      <c r="G38" s="5">
        <f>IF(MVTNOV24!I38+L38&gt;700000,(MVTNOV24!I38-E38+L38),0)</f>
        <v>0</v>
      </c>
      <c r="H38" s="36">
        <f t="shared" si="0"/>
        <v>0</v>
      </c>
      <c r="I38" s="6">
        <f t="shared" si="2"/>
        <v>57000</v>
      </c>
      <c r="J38" s="36">
        <f>VLOOKUP($A38,[24]HISTODEC24!$A$6:$AQ$42,22,0)</f>
        <v>0</v>
      </c>
      <c r="K38" s="36">
        <f>VLOOKUP($A38,[24]HISTODEC24!$A$6:$AU$38,45,0)</f>
        <v>0</v>
      </c>
      <c r="L38" s="36">
        <f t="shared" si="3"/>
        <v>0</v>
      </c>
      <c r="M38" s="36">
        <f t="shared" si="4"/>
        <v>0</v>
      </c>
      <c r="N38" s="36">
        <f t="shared" si="1"/>
        <v>0</v>
      </c>
      <c r="O38" s="36">
        <f t="shared" si="5"/>
        <v>0</v>
      </c>
      <c r="P38" s="36">
        <f>VLOOKUP($A38,[24]HISTODEC24!$A$6:$AU$38,7,0)</f>
        <v>0</v>
      </c>
      <c r="Q38" s="36">
        <f>VLOOKUP($A38,[24]HISTODEC24!$A$6:$AU$38,23,0)</f>
        <v>0</v>
      </c>
      <c r="R38" s="36">
        <f>VLOOKUP($A38,[24]HISTODEC24!$A$6:$AU$38,46,0)</f>
        <v>0</v>
      </c>
      <c r="S38" s="36">
        <f>VLOOKUP($A38,[24]HISTODEC24!$A$6:$AU$38,26,0)</f>
        <v>0</v>
      </c>
      <c r="T38" s="36">
        <f>VLOOKUP($A38,[24]HISTODEC24!$A$6:$BG$38,58,0)</f>
        <v>0</v>
      </c>
      <c r="U38" s="36">
        <f>VLOOKUP($A38,[24]HISTODEC24!$A$6:$AU$38,28,0)</f>
        <v>0</v>
      </c>
      <c r="V38" s="36">
        <f>VLOOKUP($A38,[24]HISTODEC24!$A$6:$AU$38,19,0)</f>
        <v>0</v>
      </c>
      <c r="W38" s="36">
        <f>VLOOKUP($A38,[24]HISTODEC24!$A$6:$AU$38,20,0)</f>
        <v>0</v>
      </c>
      <c r="X38" s="36">
        <f>VLOOKUP($A38,[24]HISTODEC24!$A$6:$AU$38,27,0)</f>
        <v>0</v>
      </c>
      <c r="Y38" s="36">
        <f>VLOOKUP($A38,[24]HISTODEC24!$A$6:$BM$38,33,0)</f>
        <v>0</v>
      </c>
      <c r="Z38" s="36">
        <f>VLOOKUP($A38,[24]HISTODEC24!$A$6:$BM$38,65,0)</f>
        <v>0</v>
      </c>
      <c r="AA38" s="36"/>
      <c r="AB38" s="36">
        <f>VLOOKUP($A38,[24]HISTODEC24!$A$6:$AU$38,43,0)</f>
        <v>0</v>
      </c>
      <c r="AC38" s="36">
        <f>VLOOKUP($A38,[24]HISTODEC24!$A$6:$AU$38,44,0)</f>
        <v>0</v>
      </c>
      <c r="AD38" s="36">
        <f>VLOOKUP($A38,[24]HISTODEC24!$A$6:$AU$38,47,0)</f>
        <v>0</v>
      </c>
      <c r="AE38" s="36">
        <f>VLOOKUP(A38,[24]HISTODEC24!$A$6:$BB$38,54,0)</f>
        <v>0</v>
      </c>
      <c r="AF38" s="36">
        <f>VLOOKUP($A38,[24]HISTODEC24!$A$6:$CA$38,60,0)</f>
        <v>0</v>
      </c>
      <c r="AG38" s="36">
        <f>VLOOKUP($A38,[24]HISTODEC24!$A$6:$CA$38,61,0)</f>
        <v>0</v>
      </c>
      <c r="AH38" s="36">
        <f>VLOOKUP($A38,[24]HISTODEC24!$A$6:$CA$38,62,0)</f>
        <v>0</v>
      </c>
      <c r="AI38" s="36">
        <f>VLOOKUP($A38,[24]HISTODEC24!$A$6:$CA$38,63,0)</f>
        <v>0</v>
      </c>
      <c r="AJ38" s="36">
        <f>VLOOKUP($A38,[24]HISTODEC24!$A$6:$CA$38,64,0)</f>
        <v>0</v>
      </c>
      <c r="AK38" s="36">
        <f>VLOOKUP($A38,[24]HISTODEC24!$A$6:$CA$38,65,0)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MVTNOV24!I39-E39+L39</f>
        <v>2040313.2142100567</v>
      </c>
      <c r="G39" s="5">
        <f>IF(MVTNOV24!I39+L39&gt;700000,(MVTNOV24!I39-E39+L39),0)</f>
        <v>2040313.2142100567</v>
      </c>
      <c r="H39" s="36">
        <f t="shared" si="0"/>
        <v>0</v>
      </c>
      <c r="I39" s="6">
        <f t="shared" si="2"/>
        <v>2040313.2142100567</v>
      </c>
      <c r="J39" s="36">
        <f>VLOOKUP($A39,[24]HISTODEC24!$A$6:$AQ$42,22,0)</f>
        <v>0</v>
      </c>
      <c r="K39" s="36">
        <f>VLOOKUP($A39,[24]HISTODEC24!$A$6:$AU$38,45,0)</f>
        <v>0</v>
      </c>
      <c r="L39" s="36">
        <f t="shared" si="3"/>
        <v>0</v>
      </c>
      <c r="M39" s="36">
        <f t="shared" si="4"/>
        <v>0</v>
      </c>
      <c r="N39" s="36">
        <f t="shared" si="1"/>
        <v>0</v>
      </c>
      <c r="O39" s="36">
        <f t="shared" si="5"/>
        <v>0</v>
      </c>
      <c r="P39" s="36">
        <f>VLOOKUP($A39,[24]HISTODEC24!$A$6:$AU$38,7,0)</f>
        <v>0</v>
      </c>
      <c r="Q39" s="36">
        <f>VLOOKUP($A39,[24]HISTODEC24!$A$6:$AU$38,23,0)</f>
        <v>0</v>
      </c>
      <c r="R39" s="36">
        <f>VLOOKUP($A39,[24]HISTODEC24!$A$6:$AU$38,46,0)</f>
        <v>0</v>
      </c>
      <c r="S39" s="36">
        <f>VLOOKUP($A39,[24]HISTODEC24!$A$6:$AU$38,26,0)</f>
        <v>0</v>
      </c>
      <c r="T39" s="36">
        <f>VLOOKUP($A39,[24]HISTODEC24!$A$6:$BG$38,58,0)</f>
        <v>0</v>
      </c>
      <c r="U39" s="36">
        <f>VLOOKUP($A39,[24]HISTODEC24!$A$6:$AU$38,28,0)</f>
        <v>0</v>
      </c>
      <c r="V39" s="36">
        <f>VLOOKUP($A39,[24]HISTODEC24!$A$6:$AU$38,19,0)</f>
        <v>0</v>
      </c>
      <c r="W39" s="36">
        <f>VLOOKUP($A39,[24]HISTODEC24!$A$6:$AU$38,20,0)</f>
        <v>0</v>
      </c>
      <c r="X39" s="36">
        <f>VLOOKUP($A39,[24]HISTODEC24!$A$6:$AU$38,27,0)</f>
        <v>0</v>
      </c>
      <c r="Y39" s="36">
        <f>VLOOKUP($A39,[24]HISTODEC24!$A$6:$BM$38,33,0)</f>
        <v>0</v>
      </c>
      <c r="Z39" s="36">
        <f>VLOOKUP($A39,[24]HISTODEC24!$A$6:$BM$38,65,0)</f>
        <v>0</v>
      </c>
      <c r="AA39" s="36"/>
      <c r="AB39" s="36">
        <f>VLOOKUP($A39,[24]HISTODEC24!$A$6:$AU$38,43,0)</f>
        <v>0</v>
      </c>
      <c r="AC39" s="36">
        <f>VLOOKUP($A39,[24]HISTODEC24!$A$6:$AU$38,44,0)</f>
        <v>0</v>
      </c>
      <c r="AD39" s="36">
        <f>VLOOKUP($A39,[24]HISTODEC24!$A$6:$AU$38,47,0)</f>
        <v>0</v>
      </c>
      <c r="AE39" s="36">
        <f>VLOOKUP(A39,[24]HISTODEC24!$A$6:$BB$38,54,0)</f>
        <v>0</v>
      </c>
      <c r="AF39" s="36">
        <f>VLOOKUP($A39,[24]HISTODEC24!$A$6:$CA$38,60,0)</f>
        <v>0</v>
      </c>
      <c r="AG39" s="36">
        <f>VLOOKUP($A39,[24]HISTODEC24!$A$6:$CA$38,61,0)</f>
        <v>0</v>
      </c>
      <c r="AH39" s="36">
        <f>VLOOKUP($A39,[24]HISTODEC24!$A$6:$CA$38,62,0)</f>
        <v>0</v>
      </c>
      <c r="AI39" s="36">
        <f>VLOOKUP($A39,[24]HISTODEC24!$A$6:$CA$38,63,0)</f>
        <v>0</v>
      </c>
      <c r="AJ39" s="36">
        <f>VLOOKUP($A39,[24]HISTODEC24!$A$6:$CA$38,64,0)</f>
        <v>0</v>
      </c>
      <c r="AK39" s="36">
        <f>VLOOKUP($A39,[24]HISTODEC24!$A$6:$CA$38,65,0)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28564156.655274987</v>
      </c>
      <c r="G41" s="9">
        <f t="shared" si="10"/>
        <v>27231939.524547949</v>
      </c>
      <c r="H41" s="36">
        <f t="shared" si="10"/>
        <v>0</v>
      </c>
      <c r="I41" s="9">
        <f t="shared" si="10"/>
        <v>28564156.655274987</v>
      </c>
      <c r="J41" s="9">
        <f t="shared" si="10"/>
        <v>0</v>
      </c>
      <c r="K41" s="9">
        <f t="shared" si="10"/>
        <v>0</v>
      </c>
      <c r="L41" s="9">
        <f t="shared" si="10"/>
        <v>0</v>
      </c>
      <c r="M41" s="9">
        <f t="shared" si="10"/>
        <v>0</v>
      </c>
      <c r="N41" s="9">
        <f t="shared" si="10"/>
        <v>0</v>
      </c>
      <c r="O41" s="9">
        <f t="shared" si="10"/>
        <v>0</v>
      </c>
      <c r="P41" s="9">
        <f t="shared" si="10"/>
        <v>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T21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6.28515625" customWidth="1"/>
    <col min="58" max="58" width="15" bestFit="1" customWidth="1"/>
    <col min="63" max="63" width="14.42578125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VLOOKUP(A6,[18]HISTOBQUEAOUT23!$A$6:$G$44,3,0)</f>
        <v>175000</v>
      </c>
      <c r="E6" s="9">
        <f>VLOOKUP(A6,[18]HISTOBQUEAOUT23!$A$6:$G$39,4,0)</f>
        <v>0</v>
      </c>
      <c r="F6" s="9">
        <f>VLOOKUP(A6,[18]HISTOBQUEAOUT23!$A$6:$G$39,5,0)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VLOOKUP($A6,[13]TONTAOUT23!$A$6:$P$20,10,0)</f>
        <v>0</v>
      </c>
      <c r="R6" s="2">
        <f>VLOOKUP($A6,[19]TONTAOUT23!$A$6:$P$21,10,0)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760000</v>
      </c>
      <c r="BA6" s="58"/>
      <c r="BB6" s="58"/>
      <c r="BC6" s="15"/>
      <c r="BD6" s="57">
        <f>IF(AZ6=0,(AZ6-BA6-BC6),(AZ6-BA6-BB6-BC6))+F6</f>
        <v>760000</v>
      </c>
      <c r="BE6" s="82">
        <v>106000</v>
      </c>
      <c r="BF6" s="29">
        <f t="shared" ref="BF6:BF36" si="6">Z6*1/100*BG6</f>
        <v>0</v>
      </c>
      <c r="BG6" s="29">
        <v>4</v>
      </c>
      <c r="BH6" s="15">
        <f>BP16</f>
        <v>45000</v>
      </c>
      <c r="BI6" s="15">
        <f>BP28</f>
        <v>155000</v>
      </c>
      <c r="BJ6" s="15">
        <f>BP33</f>
        <v>560000</v>
      </c>
      <c r="BK6" s="15"/>
      <c r="BL6" s="15"/>
      <c r="BM6" s="15">
        <f>BP22</f>
        <v>0</v>
      </c>
      <c r="BN6" t="s">
        <v>189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VLOOKUP(A7,[18]HISTOBQUEAOUT23!$A$6:$G$44,3,0)</f>
        <v>40000</v>
      </c>
      <c r="E7" s="9">
        <f>VLOOKUP(A7,[18]HISTOBQUEAOUT23!$A$6:$G$39,4,0)</f>
        <v>0</v>
      </c>
      <c r="F7" s="9">
        <f>VLOOKUP(A7,[18]HISTOBQUEAOUT23!$A$6:$G$39,5,0)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VLOOKUP($A7,[20]TONTAOUT23!$A$6:$P$35,12,0)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4</v>
      </c>
      <c r="BH7" s="15"/>
      <c r="BI7" s="15"/>
      <c r="BJ7" s="15"/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VLOOKUP(A8,[18]HISTOBQUEAOUT23!$A$6:$G$44,3,0)</f>
        <v>115000</v>
      </c>
      <c r="E8" s="9">
        <f>VLOOKUP(A8,[18]HISTOBQUEAOUT23!$A$6:$G$39,4,0)</f>
        <v>0</v>
      </c>
      <c r="F8" s="9">
        <f>VLOOKUP(A8,[18]HISTOBQUEAOUT23!$A$6:$G$39,5,0)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VLOOKUP($A8,[20]TONTAOUT23!$A$6:$P$35,12,0)</f>
        <v>0</v>
      </c>
      <c r="Q8" s="2">
        <f>VLOOKUP($A8,[13]TONTAOUT23!$A$6:$P$20,10,0)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4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33000</v>
      </c>
    </row>
    <row r="9" spans="1:68" s="72" customFormat="1" ht="18.75" x14ac:dyDescent="0.3">
      <c r="A9" s="73" t="s">
        <v>13</v>
      </c>
      <c r="B9" s="73" t="str">
        <f>VLOOKUP(A9,[17]LISTADHERENT!A$5:H$39,3,0)</f>
        <v xml:space="preserve">DJOMO JEAN PAUL </v>
      </c>
      <c r="C9" s="14">
        <f t="shared" si="0"/>
        <v>0</v>
      </c>
      <c r="D9" s="14">
        <f>VLOOKUP(A9,[18]HISTOBQUEAOUT23!$A$6:$G$44,3,0)</f>
        <v>140000</v>
      </c>
      <c r="E9" s="14">
        <f>VLOOKUP(A9,[18]HISTOBQUEAOUT23!$A$6:$G$39,4,0)</f>
        <v>202000</v>
      </c>
      <c r="F9" s="14">
        <f>VLOOKUP(A9,[18]HISTOBQUEAOUT23!$A$6:$G$39,5,0)</f>
        <v>0</v>
      </c>
      <c r="G9" s="14">
        <f>IF(H9="ESPECES",3000,0)</f>
        <v>0</v>
      </c>
      <c r="H9" s="74" t="str">
        <f t="shared" si="1"/>
        <v>BANQUE</v>
      </c>
      <c r="I9" s="74"/>
      <c r="J9" s="75">
        <v>1</v>
      </c>
      <c r="K9" s="75">
        <f t="shared" si="14"/>
        <v>40000</v>
      </c>
      <c r="L9" s="70"/>
      <c r="M9" s="75">
        <f t="shared" si="2"/>
        <v>0</v>
      </c>
      <c r="N9" s="70">
        <v>1</v>
      </c>
      <c r="O9" s="75">
        <f t="shared" si="3"/>
        <v>100000</v>
      </c>
      <c r="P9" s="76">
        <f>VLOOKUP($A9,[20]TONTAOUT23!$A$6:$P$35,12,0)</f>
        <v>0</v>
      </c>
      <c r="Q9" s="76"/>
      <c r="R9" s="76">
        <f>VLOOKUP($A9,[19]TONTAOUT23!$A$6:$P$21,10,0)</f>
        <v>202000</v>
      </c>
      <c r="S9" s="77"/>
      <c r="T9" s="78"/>
      <c r="U9" s="79">
        <f t="shared" si="15"/>
        <v>342000</v>
      </c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>
        <v>300000</v>
      </c>
      <c r="AL9" s="78"/>
      <c r="AM9" s="78"/>
      <c r="AN9" s="78">
        <v>3000</v>
      </c>
      <c r="AO9" s="78"/>
      <c r="AP9" s="78" t="s">
        <v>8</v>
      </c>
      <c r="AQ9" s="8">
        <f t="shared" si="4"/>
        <v>0</v>
      </c>
      <c r="AR9" s="8">
        <f t="shared" si="5"/>
        <v>0</v>
      </c>
      <c r="AS9" s="75">
        <f t="shared" si="8"/>
        <v>15000</v>
      </c>
      <c r="AT9" s="78"/>
      <c r="AV9" s="80"/>
      <c r="AW9" s="80">
        <f t="shared" si="9"/>
        <v>0</v>
      </c>
      <c r="AX9" s="80">
        <f t="shared" si="10"/>
        <v>0</v>
      </c>
      <c r="AY9" s="80">
        <f t="shared" si="11"/>
        <v>300000</v>
      </c>
      <c r="AZ9" s="71">
        <f t="shared" si="12"/>
        <v>300000</v>
      </c>
      <c r="BA9" s="58">
        <v>300000</v>
      </c>
      <c r="BB9" s="58"/>
      <c r="BC9" s="80"/>
      <c r="BD9" s="71">
        <f t="shared" si="13"/>
        <v>0</v>
      </c>
      <c r="BE9" s="83"/>
      <c r="BF9" s="81">
        <f t="shared" si="6"/>
        <v>0</v>
      </c>
      <c r="BG9" s="29">
        <v>4</v>
      </c>
      <c r="BH9" s="80"/>
      <c r="BI9" s="80"/>
      <c r="BJ9" s="80"/>
      <c r="BK9" s="80"/>
      <c r="BL9" s="76"/>
      <c r="BN9" s="72" t="s">
        <v>188</v>
      </c>
      <c r="BO9" s="72" t="s">
        <v>114</v>
      </c>
      <c r="BP9" s="70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VLOOKUP(A10,[18]HISTOBQUEAOUT23!$A$6:$G$44,3,0)</f>
        <v>0</v>
      </c>
      <c r="E10" s="9">
        <f>VLOOKUP(A10,[18]HISTOBQUEAOUT23!$A$6:$G$39,4,0)</f>
        <v>43000</v>
      </c>
      <c r="F10" s="9">
        <f>VLOOKUP(A10,[18]HISTOBQUEAOUT23!$A$6:$G$39,5,0)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VLOOKUP($A10,[20]TONTAOUT23!$A$6:$P$35,12,0)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4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VLOOKUP(A11,[18]HISTOBQUEAOUT23!$A$6:$G$44,3,0)</f>
        <v>115000</v>
      </c>
      <c r="E11" s="9">
        <f>VLOOKUP(A11,[18]HISTOBQUEAOUT23!$A$6:$G$39,4,0)</f>
        <v>0</v>
      </c>
      <c r="F11" s="9">
        <f>VLOOKUP(A11,[18]HISTOBQUEAOUT23!$A$6:$G$39,5,0)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VLOOKUP($A11,[20]TONTAOUT23!$A$6:$P$35,12,0)</f>
        <v>0</v>
      </c>
      <c r="Q11" s="2">
        <f>VLOOKUP($A11,[13]TONTAOUT23!$A$6:$P$20,10,0)</f>
        <v>0</v>
      </c>
      <c r="R11" s="2"/>
      <c r="S11" s="20"/>
      <c r="T11" s="12"/>
      <c r="U11" s="17">
        <f t="shared" si="15"/>
        <v>115000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61500</v>
      </c>
      <c r="AJ11" s="12">
        <f>75000+92000</f>
        <v>167000</v>
      </c>
      <c r="AK11" s="12"/>
      <c r="AL11" s="12">
        <v>1000</v>
      </c>
      <c r="AM11" s="12">
        <v>2000</v>
      </c>
      <c r="AN11" s="12">
        <v>1000</v>
      </c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61500</v>
      </c>
      <c r="AX11" s="15">
        <f t="shared" si="10"/>
        <v>167000</v>
      </c>
      <c r="AY11" s="15">
        <f t="shared" si="11"/>
        <v>0</v>
      </c>
      <c r="AZ11" s="16">
        <f t="shared" si="12"/>
        <v>228500</v>
      </c>
      <c r="BA11" s="58"/>
      <c r="BB11" s="58"/>
      <c r="BC11" s="15"/>
      <c r="BD11" s="57">
        <f t="shared" si="13"/>
        <v>228500</v>
      </c>
      <c r="BE11" s="82">
        <f>61500+167000</f>
        <v>228500</v>
      </c>
      <c r="BF11" s="29">
        <f t="shared" si="6"/>
        <v>0</v>
      </c>
      <c r="BG11" s="29">
        <v>4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VLOOKUP(A12,[18]HISTOBQUEAOUT23!$A$6:$G$44,3,0)</f>
        <v>320000</v>
      </c>
      <c r="E12" s="9">
        <f>VLOOKUP(A12,[18]HISTOBQUEAOUT23!$A$6:$G$39,4,0)</f>
        <v>0</v>
      </c>
      <c r="F12" s="9">
        <f>VLOOKUP(A12,[18]HISTOBQUEAOUT23!$A$6:$G$39,5,0)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VLOOKUP($A12,[20]TONTAOUT23!$A$6:$P$35,12,0)</f>
        <v>0</v>
      </c>
      <c r="Q12" s="2">
        <f>VLOOKUP($A12,[13]TONTAOUT23!$A$6:$P$20,10,0)</f>
        <v>0</v>
      </c>
      <c r="R12" s="2">
        <f>VLOOKUP($A12,[19]TONTAOUT23!$A$6:$P$21,10,0)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 t="s">
        <v>8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1190000</v>
      </c>
      <c r="AZ12" s="16">
        <f t="shared" si="12"/>
        <v>1190000</v>
      </c>
      <c r="BA12" s="58"/>
      <c r="BB12" s="58"/>
      <c r="BC12" s="15"/>
      <c r="BD12" s="57">
        <f t="shared" si="13"/>
        <v>1190000</v>
      </c>
      <c r="BE12" s="82">
        <v>1190000</v>
      </c>
      <c r="BF12" s="29">
        <f t="shared" si="6"/>
        <v>0</v>
      </c>
      <c r="BG12" s="29">
        <v>4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VLOOKUP(A13,[18]HISTOBQUEAOUT23!$A$6:$G$44,3,0)</f>
        <v>40000</v>
      </c>
      <c r="E13" s="9">
        <f>VLOOKUP(A13,[18]HISTOBQUEAOUT23!$A$6:$G$39,4,0)</f>
        <v>0</v>
      </c>
      <c r="F13" s="9">
        <f>VLOOKUP(A13,[18]HISTOBQUEAOUT23!$A$6:$G$39,5,0)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VLOOKUP($A13,[20]TONTAOUT23!$A$6:$P$35,12,0)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4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12000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VLOOKUP(A14,[18]HISTOBQUEAOUT23!$A$6:$G$44,3,0)</f>
        <v>40000</v>
      </c>
      <c r="E14" s="9">
        <f>VLOOKUP(A14,[18]HISTOBQUEAOUT23!$A$6:$G$39,4,0)</f>
        <v>0</v>
      </c>
      <c r="F14" s="9">
        <f>VLOOKUP(A14,[18]HISTOBQUEAOUT23!$A$6:$G$39,5,0)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VLOOKUP($A14,[20]TONTAOUT23!$A$6:$P$35,12,0)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4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VLOOKUP(A15,[18]HISTOBQUEAOUT23!$A$6:$G$44,3,0)</f>
        <v>115000</v>
      </c>
      <c r="E15" s="9">
        <f>VLOOKUP(A15,[18]HISTOBQUEAOUT23!$A$6:$G$39,4,0)</f>
        <v>0</v>
      </c>
      <c r="F15" s="9">
        <f>VLOOKUP(A15,[18]HISTOBQUEAOUT23!$A$6:$G$39,5,0)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VLOOKUP($A15,[20]TONTAOUT23!$A$6:$P$35,12,0)</f>
        <v>0</v>
      </c>
      <c r="Q15" s="2">
        <f>VLOOKUP($A15,[13]TONTAOUT23!$A$6:$P$20,10,0)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4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VLOOKUP(A16,[18]HISTOBQUEAOUT23!$A$6:$G$44,3,0)</f>
        <v>250000</v>
      </c>
      <c r="E16" s="9">
        <f>VLOOKUP(A16,[18]HISTOBQUEAOUT23!$A$6:$G$39,4,0)</f>
        <v>0</v>
      </c>
      <c r="F16" s="9">
        <f>VLOOKUP(A16,[18]HISTOBQUEAOUT23!$A$6:$G$39,5,0)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VLOOKUP($A16,[20]TONTAOUT23!$A$6:$P$35,12,0)</f>
        <v>0</v>
      </c>
      <c r="Q16" s="2">
        <f>VLOOKUP($A16,[13]TONTAOUT23!$A$6:$P$20,10,0)</f>
        <v>0</v>
      </c>
      <c r="R16" s="2">
        <f>VLOOKUP($A16,[19]TONTAOUT23!$A$6:$P$21,10,0)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4</v>
      </c>
      <c r="BH16" s="15"/>
      <c r="BI16" s="15"/>
      <c r="BJ16" s="15"/>
      <c r="BK16" s="15"/>
      <c r="BL16" s="61"/>
      <c r="BN16" s="62" t="s">
        <v>142</v>
      </c>
      <c r="BP16" s="62">
        <f>SUM(BP6:BP15)</f>
        <v>45000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VLOOKUP(A17,[18]HISTOBQUEAOUT23!$A$6:$G$44,3,0)</f>
        <v>241000</v>
      </c>
      <c r="E17" s="9">
        <f>VLOOKUP(A17,[18]HISTOBQUEAOUT23!$A$6:$G$39,4,0)</f>
        <v>0</v>
      </c>
      <c r="F17" s="9">
        <f>VLOOKUP(A17,[18]HISTOBQUEAOUT23!$A$6:$G$39,5,0)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VLOOKUP($A17,[20]TONTAOUT23!$A$6:$P$35,12,0)</f>
        <v>0</v>
      </c>
      <c r="Q17" s="2"/>
      <c r="R17" s="2">
        <f>VLOOKUP($A17,[19]TONTAOUT23!$A$6:$P$21,10,0)</f>
        <v>101000</v>
      </c>
      <c r="S17" s="20"/>
      <c r="T17" s="12"/>
      <c r="U17" s="17">
        <f t="shared" si="15"/>
        <v>241000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4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VLOOKUP(A18,[18]HISTOBQUEAOUT23!$A$6:$G$44,3,0)</f>
        <v>215000</v>
      </c>
      <c r="E18" s="9">
        <f>VLOOKUP(A18,[18]HISTOBQUEAOUT23!$A$6:$G$39,4,0)</f>
        <v>0</v>
      </c>
      <c r="F18" s="9">
        <f>VLOOKUP(A18,[18]HISTOBQUEAOUT23!$A$6:$G$39,5,0)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VLOOKUP($A18,[20]TONTAOUT23!$A$6:$P$35,12,0)</f>
        <v>0</v>
      </c>
      <c r="Q18" s="2">
        <f>VLOOKUP($A18,[13]TONTAOUT23!$A$6:$P$20,10,0)</f>
        <v>0</v>
      </c>
      <c r="R18" s="2">
        <f>VLOOKUP($A18,[19]TONTAOUT23!$A$6:$P$21,10,0)</f>
        <v>0</v>
      </c>
      <c r="S18" s="20"/>
      <c r="T18" s="12"/>
      <c r="U18" s="17">
        <f t="shared" si="15"/>
        <v>215000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6"/>
        <v>0</v>
      </c>
      <c r="BG18" s="29">
        <v>4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VLOOKUP(A19,[18]HISTOBQUEAOUT23!$A$6:$G$44,3,0)</f>
        <v>340000</v>
      </c>
      <c r="E19" s="9">
        <f>VLOOKUP(A19,[18]HISTOBQUEAOUT23!$A$6:$G$39,4,0)</f>
        <v>0</v>
      </c>
      <c r="F19" s="9">
        <f>VLOOKUP(A19,[18]HISTOBQUEAOUT23!$A$6:$G$39,5,0)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VLOOKUP($A19,[20]TONTAOUT23!$A$6:$P$35,12,0)</f>
        <v>0</v>
      </c>
      <c r="Q19" s="2"/>
      <c r="R19" s="2"/>
      <c r="S19" s="20">
        <v>300000</v>
      </c>
      <c r="T19" s="12" t="s">
        <v>8</v>
      </c>
      <c r="U19" s="17">
        <f t="shared" si="15"/>
        <v>340000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4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VLOOKUP(A20,[18]HISTOBQUEAOUT23!$A$6:$G$44,3,0)</f>
        <v>586500</v>
      </c>
      <c r="E20" s="9">
        <f>VLOOKUP(A20,[18]HISTOBQUEAOUT23!$A$6:$G$39,4,0)</f>
        <v>0</v>
      </c>
      <c r="F20" s="9">
        <f>VLOOKUP(A20,[18]HISTOBQUEAOUT23!$A$6:$G$39,5,0)</f>
        <v>0</v>
      </c>
      <c r="G20" s="5">
        <f t="shared" si="7"/>
        <v>0</v>
      </c>
      <c r="H20" s="10" t="str">
        <f t="shared" si="1"/>
        <v>BANQUE</v>
      </c>
      <c r="I20" s="10">
        <v>4000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VLOOKUP($A20,[20]TONTAOUT23!$A$6:$P$35,12,0)</f>
        <v>0</v>
      </c>
      <c r="Q20" s="2">
        <f>VLOOKUP($A20,[13]TONTAOUT23!$A$6:$P$20,10,0)</f>
        <v>76000</v>
      </c>
      <c r="R20" s="2">
        <f>VLOOKUP($A20,[19]TONTAOUT23!$A$6:$P$21,10,0)</f>
        <v>291500</v>
      </c>
      <c r="S20" s="20"/>
      <c r="T20" s="12"/>
      <c r="U20" s="17">
        <f t="shared" si="15"/>
        <v>586500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60000</v>
      </c>
      <c r="AJ20" s="12">
        <v>150000</v>
      </c>
      <c r="AK20" s="12">
        <v>100000</v>
      </c>
      <c r="AL20" s="12">
        <v>1000</v>
      </c>
      <c r="AM20" s="12">
        <v>2000</v>
      </c>
      <c r="AN20" s="12">
        <v>1000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19000</v>
      </c>
      <c r="AT20" s="12"/>
      <c r="AV20" s="15"/>
      <c r="AW20" s="15">
        <f t="shared" si="9"/>
        <v>60000</v>
      </c>
      <c r="AX20" s="15">
        <f t="shared" si="10"/>
        <v>150000</v>
      </c>
      <c r="AY20" s="15">
        <f t="shared" si="11"/>
        <v>100000</v>
      </c>
      <c r="AZ20" s="16">
        <f t="shared" si="12"/>
        <v>310000</v>
      </c>
      <c r="BA20" s="58"/>
      <c r="BB20" s="58"/>
      <c r="BC20" s="15"/>
      <c r="BD20" s="57">
        <f t="shared" si="13"/>
        <v>310000</v>
      </c>
      <c r="BE20" s="82">
        <f>60000+150000+100000</f>
        <v>310000</v>
      </c>
      <c r="BF20" s="29">
        <f t="shared" si="6"/>
        <v>0</v>
      </c>
      <c r="BG20" s="29">
        <v>4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VLOOKUP(A21,[18]HISTOBQUEAOUT23!$A$6:$G$44,3,0)</f>
        <v>40000</v>
      </c>
      <c r="E21" s="9">
        <f>VLOOKUP(A21,[18]HISTOBQUEAOUT23!$A$6:$G$39,4,0)</f>
        <v>0</v>
      </c>
      <c r="F21" s="9">
        <f>VLOOKUP(A21,[18]HISTOBQUEAOUT23!$A$6:$G$39,5,0)</f>
        <v>70000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VLOOKUP($A21,[20]TONTAOUT23!$A$6:$P$35,12,0)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>
        <v>2500</v>
      </c>
      <c r="AD21" s="12"/>
      <c r="AE21" s="12"/>
      <c r="AF21" s="12" t="s">
        <v>8</v>
      </c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297500</v>
      </c>
      <c r="AX21" s="15">
        <f t="shared" si="10"/>
        <v>0</v>
      </c>
      <c r="AY21" s="15">
        <f t="shared" si="11"/>
        <v>0</v>
      </c>
      <c r="AZ21" s="16">
        <f t="shared" si="12"/>
        <v>227500</v>
      </c>
      <c r="BA21" s="58"/>
      <c r="BB21" s="58">
        <v>70000</v>
      </c>
      <c r="BC21" s="15"/>
      <c r="BD21" s="57">
        <f t="shared" si="13"/>
        <v>227500</v>
      </c>
      <c r="BE21" s="82">
        <v>227500</v>
      </c>
      <c r="BF21" s="29">
        <f t="shared" si="6"/>
        <v>0</v>
      </c>
      <c r="BG21" s="29">
        <v>4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VLOOKUP(A22,[18]HISTOBQUEAOUT23!$A$6:$G$44,3,0)</f>
        <v>115000</v>
      </c>
      <c r="E22" s="9">
        <f>VLOOKUP(A22,[18]HISTOBQUEAOUT23!$A$6:$G$39,4,0)</f>
        <v>0</v>
      </c>
      <c r="F22" s="9">
        <f>VLOOKUP(A22,[18]HISTOBQUEAOUT23!$A$6:$G$39,5,0)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VLOOKUP($A22,[20]TONTAOUT23!$A$6:$P$35,12,0)</f>
        <v>0</v>
      </c>
      <c r="Q22" s="2">
        <f>VLOOKUP($A22,[13]TONTAOUT23!$A$6:$P$20,10,0)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4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69">
        <f t="shared" si="0"/>
        <v>-576000</v>
      </c>
      <c r="D23" s="9">
        <f>VLOOKUP(A23,[18]HISTOBQUEAOUT23!$A$6:$G$44,3,0)</f>
        <v>270000</v>
      </c>
      <c r="E23" s="9">
        <f>VLOOKUP(A23,[18]HISTOBQUEAOUT23!$A$6:$G$39,4,0)</f>
        <v>0</v>
      </c>
      <c r="F23" s="9">
        <f>VLOOKUP(A23,[18]HISTOBQUEAOUT23!$A$6:$G$39,5,0)</f>
        <v>0</v>
      </c>
      <c r="G23" s="5">
        <f t="shared" si="7"/>
        <v>0</v>
      </c>
      <c r="H23" s="10" t="str">
        <f t="shared" si="1"/>
        <v>BANQUE</v>
      </c>
      <c r="I23" s="10">
        <v>6000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VLOOKUP($A23,[20]TONTAOUT23!$A$6:$P$35,12,0)</f>
        <v>0</v>
      </c>
      <c r="Q23" s="2"/>
      <c r="R23" s="2">
        <f>VLOOKUP($A23,[19]TONTAOUT23!$A$6:$P$21,10,0)</f>
        <v>0</v>
      </c>
      <c r="S23" s="20">
        <v>600000</v>
      </c>
      <c r="T23" s="12" t="s">
        <v>8</v>
      </c>
      <c r="U23" s="17">
        <f t="shared" si="15"/>
        <v>846000</v>
      </c>
      <c r="V23" s="12"/>
      <c r="W23" s="12"/>
      <c r="X23" s="12"/>
      <c r="Y23" s="12"/>
      <c r="Z23" s="12">
        <v>600000</v>
      </c>
      <c r="AA23" s="12" t="s">
        <v>8</v>
      </c>
      <c r="AB23" s="12"/>
      <c r="AC23" s="12"/>
      <c r="AD23" s="12"/>
      <c r="AE23" s="12">
        <v>10000</v>
      </c>
      <c r="AF23" s="12" t="s">
        <v>8</v>
      </c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21000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1190000</v>
      </c>
      <c r="AZ23" s="16">
        <f>SUM(AV23:AY23)-BF23+Z23-F23+BH23+BI23+BJ23+BK23+BL23+BM23-576000</f>
        <v>1190000</v>
      </c>
      <c r="BA23" s="58"/>
      <c r="BB23" s="58"/>
      <c r="BC23" s="15"/>
      <c r="BD23" s="71">
        <f t="shared" si="13"/>
        <v>1190000</v>
      </c>
      <c r="BE23" s="82">
        <f>1190000+100000</f>
        <v>1290000</v>
      </c>
      <c r="BF23" s="29">
        <f t="shared" si="6"/>
        <v>24000</v>
      </c>
      <c r="BG23" s="29">
        <v>4</v>
      </c>
      <c r="BH23" s="15"/>
      <c r="BI23" s="15"/>
      <c r="BJ23" s="15"/>
      <c r="BK23" s="15"/>
      <c r="BL23" s="61"/>
      <c r="BP23" s="6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69">
        <f t="shared" si="0"/>
        <v>-230000</v>
      </c>
      <c r="D24" s="9">
        <f>VLOOKUP(A24,[18]HISTOBQUEAOUT23!$A$6:$G$44,3,0)</f>
        <v>320000</v>
      </c>
      <c r="E24" s="9">
        <f>VLOOKUP(A24,[18]HISTOBQUEAOUT23!$A$6:$G$39,4,0)</f>
        <v>0</v>
      </c>
      <c r="F24" s="9">
        <f>VLOOKUP(A24,[18]HISTOBQUEAOUT23!$A$6:$G$39,5,0)</f>
        <v>0</v>
      </c>
      <c r="G24" s="5">
        <f t="shared" si="7"/>
        <v>0</v>
      </c>
      <c r="H24" s="10" t="str">
        <f t="shared" si="1"/>
        <v>BANQUE</v>
      </c>
      <c r="I24" s="10">
        <v>4000</v>
      </c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VLOOKUP($A24,[20]TONTAOUT23!$A$6:$P$35,12,0)</f>
        <v>61000</v>
      </c>
      <c r="Q24" s="2">
        <f>VLOOKUP($A24,[13]TONTAOUT23!$A$6:$P$20,10,0)</f>
        <v>169000</v>
      </c>
      <c r="R24" s="2">
        <f>VLOOKUP($A24,[19]TONTAOUT23!$A$6:$P$21,10,0)</f>
        <v>101000</v>
      </c>
      <c r="S24" s="20"/>
      <c r="T24" s="12"/>
      <c r="U24" s="17">
        <f t="shared" si="15"/>
        <v>550000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>
        <v>167000</v>
      </c>
      <c r="AK24" s="12"/>
      <c r="AL24" s="12"/>
      <c r="AM24" s="12">
        <v>4000</v>
      </c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19000</v>
      </c>
      <c r="AT24" s="12"/>
      <c r="AV24" s="15"/>
      <c r="AW24" s="15">
        <f t="shared" si="9"/>
        <v>0</v>
      </c>
      <c r="AX24" s="15">
        <f>IF(AD24=0,AJ24,(1*75000*12)+(AJ24)-AD24)</f>
        <v>167000</v>
      </c>
      <c r="AY24" s="15">
        <f>IF(AE24=0,AK24,(1*100000*12)+(AK24)-AE24)</f>
        <v>0</v>
      </c>
      <c r="AZ24" s="16">
        <f t="shared" si="12"/>
        <v>167000</v>
      </c>
      <c r="BA24" s="58"/>
      <c r="BB24" s="58"/>
      <c r="BC24" s="15"/>
      <c r="BD24" s="71">
        <f>IF(AZ24=0,(AZ24-BA24-BC24),(AZ24-BA24-BB24-BC24))+F24-167000</f>
        <v>0</v>
      </c>
      <c r="BE24" s="82"/>
      <c r="BF24" s="29">
        <f t="shared" si="6"/>
        <v>0</v>
      </c>
      <c r="BG24" s="29">
        <v>4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VLOOKUP(A25,[18]HISTOBQUEAOUT23!$A$6:$G$44,3,0)</f>
        <v>400000</v>
      </c>
      <c r="E25" s="9">
        <f>VLOOKUP(A25,[18]HISTOBQUEAOUT23!$A$6:$G$39,4,0)</f>
        <v>0</v>
      </c>
      <c r="F25" s="9">
        <f>VLOOKUP(A25,[18]HISTOBQUEAOUT23!$A$6:$G$39,5,0)</f>
        <v>0</v>
      </c>
      <c r="G25" s="5">
        <f t="shared" si="7"/>
        <v>0</v>
      </c>
      <c r="H25" s="10" t="str">
        <f t="shared" si="1"/>
        <v>BANQUE</v>
      </c>
      <c r="I25" s="10">
        <v>9000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VLOOKUP($A25,[20]TONTAOUT23!$A$6:$P$35,12,0)</f>
        <v>0</v>
      </c>
      <c r="Q25" s="2">
        <f>VLOOKUP($A25,[13]TONTAOUT23!$A$6:$P$20,10,0)</f>
        <v>0</v>
      </c>
      <c r="R25" s="2">
        <f>VLOOKUP($A25,[19]TONTAOUT23!$A$6:$P$21,10,0)</f>
        <v>101000</v>
      </c>
      <c r="S25" s="20"/>
      <c r="T25" s="12"/>
      <c r="U25" s="17">
        <f t="shared" si="15"/>
        <v>400000</v>
      </c>
      <c r="V25" s="12"/>
      <c r="W25" s="12"/>
      <c r="X25" s="12"/>
      <c r="Y25" s="12"/>
      <c r="Z25" s="12"/>
      <c r="AA25" s="12"/>
      <c r="AB25" s="12"/>
      <c r="AC25" s="12"/>
      <c r="AD25" s="12">
        <v>7500</v>
      </c>
      <c r="AE25" s="12"/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24000</v>
      </c>
      <c r="AT25" s="12"/>
      <c r="AV25" s="15"/>
      <c r="AW25" s="15">
        <f t="shared" si="9"/>
        <v>0</v>
      </c>
      <c r="AX25" s="15">
        <f t="shared" si="10"/>
        <v>892500</v>
      </c>
      <c r="AY25" s="15">
        <f t="shared" si="11"/>
        <v>0</v>
      </c>
      <c r="AZ25" s="16">
        <f t="shared" si="12"/>
        <v>892500</v>
      </c>
      <c r="BA25" s="58"/>
      <c r="BB25" s="58"/>
      <c r="BC25" s="15"/>
      <c r="BD25" s="57">
        <f t="shared" si="13"/>
        <v>892500</v>
      </c>
      <c r="BE25" s="82">
        <v>892500</v>
      </c>
      <c r="BF25" s="29">
        <f t="shared" si="6"/>
        <v>0</v>
      </c>
      <c r="BG25" s="29">
        <v>4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69">
        <f t="shared" si="0"/>
        <v>-1000000</v>
      </c>
      <c r="D26" s="9">
        <f>VLOOKUP(A26,[18]HISTOBQUEAOUT23!$A$6:$G$44,3,0)-76000</f>
        <v>40000</v>
      </c>
      <c r="E26" s="9">
        <f>VLOOKUP(A26,[18]HISTOBQUEAOUT23!$A$6:$G$39,4,0)</f>
        <v>0</v>
      </c>
      <c r="F26" s="9">
        <f>VLOOKUP(A26,[18]HISTOBQUEAOUT23!$A$6:$G$39,5,0)</f>
        <v>0</v>
      </c>
      <c r="G26" s="5">
        <f t="shared" si="7"/>
        <v>0</v>
      </c>
      <c r="H26" s="10" t="str">
        <f t="shared" si="1"/>
        <v>BANQUE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VLOOKUP($A26,[20]TONTAOUT23!$A$6:$P$35,12,0)</f>
        <v>0</v>
      </c>
      <c r="Q26" s="2"/>
      <c r="R26" s="2"/>
      <c r="S26" s="20">
        <v>1000000</v>
      </c>
      <c r="T26" s="12" t="s">
        <v>8</v>
      </c>
      <c r="U26" s="17">
        <f t="shared" si="15"/>
        <v>1040000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>SUM(AV26:AY26)-BF26+Z26-F26+BH26+BI26+BJ26+BK26+BL26+BM26-960000</f>
        <v>60000</v>
      </c>
      <c r="BA26" s="58">
        <v>48000</v>
      </c>
      <c r="BB26" s="58"/>
      <c r="BC26" s="15"/>
      <c r="BD26" s="57">
        <f t="shared" si="13"/>
        <v>12000</v>
      </c>
      <c r="BE26" s="82">
        <v>12000</v>
      </c>
      <c r="BF26" s="29">
        <f t="shared" si="6"/>
        <v>40000</v>
      </c>
      <c r="BG26" s="29">
        <v>4</v>
      </c>
      <c r="BH26" s="15"/>
      <c r="BI26" s="15"/>
      <c r="BJ26" s="15"/>
      <c r="BK26" s="15"/>
      <c r="BL26" s="61"/>
      <c r="BN26" t="s">
        <v>191</v>
      </c>
      <c r="BO26" t="s">
        <v>143</v>
      </c>
      <c r="BP26" s="62">
        <v>155000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VLOOKUP(A27,[18]HISTOBQUEAOUT23!$A$6:$G$44,3,0)</f>
        <v>50000</v>
      </c>
      <c r="E27" s="9">
        <f>VLOOKUP(A27,[18]HISTOBQUEAOUT23!$A$6:$G$39,4,0)</f>
        <v>0</v>
      </c>
      <c r="F27" s="9">
        <f>VLOOKUP(A27,[18]HISTOBQUEAOUT23!$A$6:$G$39,5,0)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VLOOKUP($A27,[20]TONTAOUT23!$A$6:$P$35,12,0)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4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VLOOKUP(A28,[18]HISTOBQUEAOUT23!$A$6:$G$44,3,0)</f>
        <v>115000</v>
      </c>
      <c r="E28" s="9">
        <f>VLOOKUP(A28,[18]HISTOBQUEAOUT23!$A$6:$G$39,4,0)</f>
        <v>0</v>
      </c>
      <c r="F28" s="9">
        <f>VLOOKUP(A28,[18]HISTOBQUEAOUT23!$A$6:$G$39,5,0)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VLOOKUP($A28,[20]TONTAOUT23!$A$6:$P$35,12,0)</f>
        <v>0</v>
      </c>
      <c r="Q28" s="2">
        <f>VLOOKUP($A28,[13]TONTAOUT23!$A$6:$P$20,10,0)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4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155000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VLOOKUP(A29,[18]HISTOBQUEAOUT23!$A$6:$G$44,3,0)</f>
        <v>40000</v>
      </c>
      <c r="E29" s="9">
        <f>VLOOKUP(A29,[18]HISTOBQUEAOUT23!$A$6:$G$39,4,0)</f>
        <v>0</v>
      </c>
      <c r="F29" s="9">
        <f>VLOOKUP(A29,[18]HISTOBQUEAOUT23!$A$6:$G$39,5,0)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VLOOKUP($A29,[20]TONTAOUT23!$A$6:$P$35,12,0)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4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VLOOKUP(A30,[18]HISTOBQUEAOUT23!$A$6:$G$44,3,0)</f>
        <v>115000</v>
      </c>
      <c r="E30" s="9">
        <f>VLOOKUP(A30,[18]HISTOBQUEAOUT23!$A$6:$G$39,4,0)</f>
        <v>0</v>
      </c>
      <c r="F30" s="9">
        <f>VLOOKUP(A30,[18]HISTOBQUEAOUT23!$A$6:$G$39,5,0)</f>
        <v>70000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VLOOKUP($A30,[20]TONTAOUT23!$A$6:$P$35,12,0)</f>
        <v>0</v>
      </c>
      <c r="Q30" s="2">
        <f>VLOOKUP($A30,[13]TONTAOUT23!$A$6:$P$20,10,0)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>
        <v>3000</v>
      </c>
      <c r="AD30" s="12">
        <v>7500</v>
      </c>
      <c r="AE30" s="12"/>
      <c r="AF30" s="12" t="s">
        <v>8</v>
      </c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297000</v>
      </c>
      <c r="AX30" s="15">
        <f t="shared" si="10"/>
        <v>892500</v>
      </c>
      <c r="AY30" s="15">
        <f t="shared" si="11"/>
        <v>0</v>
      </c>
      <c r="AZ30" s="16">
        <f t="shared" si="12"/>
        <v>1119500</v>
      </c>
      <c r="BA30" s="58"/>
      <c r="BB30" s="58">
        <v>70000</v>
      </c>
      <c r="BC30" s="15"/>
      <c r="BD30" s="57">
        <f t="shared" si="13"/>
        <v>1119500</v>
      </c>
      <c r="BE30" s="82">
        <f>227000+892500</f>
        <v>1119500</v>
      </c>
      <c r="BF30" s="29">
        <f t="shared" si="6"/>
        <v>0</v>
      </c>
      <c r="BG30" s="29">
        <v>4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560000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VLOOKUP(A31,[18]HISTOBQUEAOUT23!$A$6:$G$44,3,0)</f>
        <v>140000</v>
      </c>
      <c r="E31" s="9">
        <f>VLOOKUP(A31,[18]HISTOBQUEAOUT23!$A$6:$G$39,4,0)</f>
        <v>0</v>
      </c>
      <c r="F31" s="9">
        <f>VLOOKUP(A31,[18]HISTOBQUEAOUT23!$A$6:$G$39,5,0)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VLOOKUP($A31,[20]TONTAOUT23!$A$6:$P$35,12,0)</f>
        <v>0</v>
      </c>
      <c r="Q31" s="2"/>
      <c r="R31" s="2">
        <f>VLOOKUP($A31,[19]TONTAOUT23!$A$6:$P$21,10,0)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4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s="72" customFormat="1" ht="18.75" x14ac:dyDescent="0.3">
      <c r="A32" s="73" t="s">
        <v>38</v>
      </c>
      <c r="B32" s="73" t="str">
        <f>VLOOKUP(A32,[17]LISTADHERENT!A$5:H$39,3,0)</f>
        <v>TCHOUAMOU MATHIEU</v>
      </c>
      <c r="C32" s="14">
        <f t="shared" si="0"/>
        <v>0</v>
      </c>
      <c r="D32" s="14">
        <f>VLOOKUP(A32,[18]HISTOBQUEAOUT23!$A$6:$G$44,3,0)+76000</f>
        <v>441000</v>
      </c>
      <c r="E32" s="14">
        <f>VLOOKUP(A32,[18]HISTOBQUEAOUT23!$A$6:$G$39,4,0)</f>
        <v>0</v>
      </c>
      <c r="F32" s="14">
        <f>VLOOKUP(A32,[18]HISTOBQUEAOUT23!$A$6:$G$39,5,0)</f>
        <v>0</v>
      </c>
      <c r="G32" s="14">
        <f t="shared" si="7"/>
        <v>0</v>
      </c>
      <c r="H32" s="74" t="str">
        <f t="shared" si="1"/>
        <v>BANQUE</v>
      </c>
      <c r="I32" s="74"/>
      <c r="J32" s="75">
        <v>1</v>
      </c>
      <c r="K32" s="75">
        <f t="shared" si="14"/>
        <v>40000</v>
      </c>
      <c r="L32" s="70">
        <v>1</v>
      </c>
      <c r="M32" s="75">
        <f t="shared" si="2"/>
        <v>75000</v>
      </c>
      <c r="N32" s="70"/>
      <c r="O32" s="75">
        <f t="shared" si="3"/>
        <v>0</v>
      </c>
      <c r="P32" s="76">
        <f>VLOOKUP($A32,[20]TONTAOUT23!$A$6:$P$35,12,0)</f>
        <v>0</v>
      </c>
      <c r="Q32" s="76">
        <f>VLOOKUP($A32,[13]TONTAOUT23!$A$6:$P$20,10,0)</f>
        <v>76000</v>
      </c>
      <c r="R32" s="76"/>
      <c r="S32" s="77">
        <v>250000</v>
      </c>
      <c r="T32" s="78" t="s">
        <v>8</v>
      </c>
      <c r="U32" s="79">
        <f t="shared" si="15"/>
        <v>441000</v>
      </c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>
        <v>75000</v>
      </c>
      <c r="AK32" s="78"/>
      <c r="AL32" s="78"/>
      <c r="AM32" s="78">
        <v>1000</v>
      </c>
      <c r="AN32" s="78"/>
      <c r="AO32" s="78"/>
      <c r="AP32" s="78" t="s">
        <v>8</v>
      </c>
      <c r="AQ32" s="8">
        <f t="shared" si="4"/>
        <v>0</v>
      </c>
      <c r="AR32" s="8">
        <f t="shared" si="5"/>
        <v>0</v>
      </c>
      <c r="AS32" s="75">
        <f t="shared" si="8"/>
        <v>15000</v>
      </c>
      <c r="AT32" s="78"/>
      <c r="AV32" s="80"/>
      <c r="AW32" s="80">
        <f t="shared" si="9"/>
        <v>0</v>
      </c>
      <c r="AX32" s="80">
        <f t="shared" si="10"/>
        <v>75000</v>
      </c>
      <c r="AY32" s="80">
        <f t="shared" si="11"/>
        <v>0</v>
      </c>
      <c r="AZ32" s="71">
        <f t="shared" si="12"/>
        <v>175000</v>
      </c>
      <c r="BA32" s="58"/>
      <c r="BB32" s="58"/>
      <c r="BC32" s="80"/>
      <c r="BD32" s="71">
        <f t="shared" si="13"/>
        <v>175000</v>
      </c>
      <c r="BE32" s="83">
        <v>75000</v>
      </c>
      <c r="BF32" s="81">
        <f t="shared" si="6"/>
        <v>0</v>
      </c>
      <c r="BG32" s="29">
        <v>4</v>
      </c>
      <c r="BH32" s="80"/>
      <c r="BI32" s="80"/>
      <c r="BJ32" s="80"/>
      <c r="BK32" s="80">
        <v>100000</v>
      </c>
      <c r="BL32" s="76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VLOOKUP(A33,[18]HISTOBQUEAOUT23!$A$6:$G$44,3,0)+40000</f>
        <v>40000</v>
      </c>
      <c r="E33" s="9">
        <f>VLOOKUP(A33,[18]HISTOBQUEAOUT23!$A$6:$G$39,4,0)</f>
        <v>0</v>
      </c>
      <c r="F33" s="9">
        <f>VLOOKUP(A33,[18]HISTOBQUEAOUT23!$A$6:$G$39,5,0)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VLOOKUP($A33,[20]TONTAOUT23!$A$6:$P$35,12,0)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4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560000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VLOOKUP(A34,[18]HISTOBQUEAOUT23!$A$6:$G$44,3,0)</f>
        <v>100000</v>
      </c>
      <c r="E34" s="9">
        <f>VLOOKUP(A34,[18]HISTOBQUEAOUT23!$A$6:$G$39,4,0)</f>
        <v>0</v>
      </c>
      <c r="F34" s="9">
        <f>VLOOKUP(A34,[18]HISTOBQUEAOUT23!$A$6:$G$39,5,0)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VLOOKUP($A34,[20]TONTAOUT23!$A$6:$P$35,12,0)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4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VLOOKUP(A35,[18]HISTOBQUEAOUT23!$A$6:$G$44,3,0)</f>
        <v>40000</v>
      </c>
      <c r="E35" s="9">
        <f>VLOOKUP(A35,[18]HISTOBQUEAOUT23!$A$6:$G$39,4,0)</f>
        <v>0</v>
      </c>
      <c r="F35" s="9">
        <f>VLOOKUP(A35,[18]HISTOBQUEAOUT23!$A$6:$G$39,5,0)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VLOOKUP($A35,[20]TONTAOUT23!$A$6:$P$35,12,0)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4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VLOOKUP(A36,[18]HISTOBQUEAOUT23!$A$6:$G$44,3,0)</f>
        <v>290000</v>
      </c>
      <c r="E36" s="9">
        <f>VLOOKUP(A36,[18]HISTOBQUEAOUT23!$A$6:$G$39,4,0)</f>
        <v>0</v>
      </c>
      <c r="F36" s="9">
        <f>VLOOKUP(A36,[18]HISTOBQUEAOUT23!$A$6:$G$39,5,0)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VLOOKUP($A36,[20]TONTAOUT23!$A$6:$P$35,12,0)</f>
        <v>0</v>
      </c>
      <c r="Q36" s="2">
        <f>VLOOKUP($A36,[13]TONTAOUT23!$A$6:$P$20,10,0)</f>
        <v>0</v>
      </c>
      <c r="R36" s="2">
        <f>VLOOKUP($A36,[19]TONTAOUT23!$A$6:$P$21,10,0)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4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-1806000</v>
      </c>
      <c r="D38" s="5">
        <f t="shared" si="16"/>
        <v>5288500</v>
      </c>
      <c r="E38" s="5">
        <f t="shared" si="16"/>
        <v>245000</v>
      </c>
      <c r="F38" s="5">
        <f t="shared" si="16"/>
        <v>140000</v>
      </c>
      <c r="G38" s="5">
        <f t="shared" si="16"/>
        <v>3000</v>
      </c>
      <c r="H38" s="5">
        <f t="shared" si="16"/>
        <v>0</v>
      </c>
      <c r="I38" s="5">
        <f t="shared" si="16"/>
        <v>133000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61000</v>
      </c>
      <c r="Q38" s="5">
        <f t="shared" si="16"/>
        <v>321000</v>
      </c>
      <c r="R38" s="5">
        <f t="shared" si="16"/>
        <v>796500</v>
      </c>
      <c r="S38" s="5">
        <f t="shared" si="16"/>
        <v>2150000</v>
      </c>
      <c r="T38" s="5"/>
      <c r="U38" s="5">
        <f t="shared" ref="U38:AA38" si="17">SUM(U6:U37)</f>
        <v>7339500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1600000</v>
      </c>
      <c r="AA38" s="5">
        <f t="shared" si="17"/>
        <v>0</v>
      </c>
      <c r="AB38" s="5"/>
      <c r="AC38" s="5">
        <f>SUM(AC6:AC37)</f>
        <v>5500</v>
      </c>
      <c r="AD38" s="5">
        <f>SUM(AD6:AD37)</f>
        <v>15000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181500</v>
      </c>
      <c r="AJ38" s="5">
        <f t="shared" si="18"/>
        <v>559000</v>
      </c>
      <c r="AK38" s="5">
        <f t="shared" si="18"/>
        <v>400000</v>
      </c>
      <c r="AL38" s="5">
        <f t="shared" si="18"/>
        <v>3000</v>
      </c>
      <c r="AM38" s="5">
        <f t="shared" si="18"/>
        <v>9000</v>
      </c>
      <c r="AN38" s="5">
        <f t="shared" si="18"/>
        <v>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583000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776000</v>
      </c>
      <c r="AX38" s="5">
        <f t="shared" si="18"/>
        <v>2344000</v>
      </c>
      <c r="AY38" s="5">
        <f t="shared" si="18"/>
        <v>2780000</v>
      </c>
      <c r="AZ38" s="5">
        <f t="shared" si="18"/>
        <v>6620000</v>
      </c>
      <c r="BA38" s="5">
        <f t="shared" si="18"/>
        <v>348000</v>
      </c>
      <c r="BB38" s="5">
        <f t="shared" si="18"/>
        <v>140000</v>
      </c>
      <c r="BC38" s="5">
        <f t="shared" si="18"/>
        <v>0</v>
      </c>
      <c r="BD38" s="5">
        <f t="shared" si="18"/>
        <v>6105000</v>
      </c>
      <c r="BE38" s="5">
        <f t="shared" si="18"/>
        <v>5451000</v>
      </c>
      <c r="BF38" s="5">
        <f>SUM(BF6:BF37)</f>
        <v>64000</v>
      </c>
      <c r="BH38" s="5">
        <f t="shared" ref="BH38:BL38" si="19">SUM(BH6:BH37)</f>
        <v>45000</v>
      </c>
      <c r="BI38" s="5">
        <f t="shared" si="19"/>
        <v>155000</v>
      </c>
      <c r="BJ38" s="5">
        <f t="shared" si="19"/>
        <v>560000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 t="s">
        <v>180</v>
      </c>
      <c r="BA40" s="14">
        <v>248000</v>
      </c>
      <c r="BD40" s="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860000</v>
      </c>
    </row>
    <row r="42" spans="1:68" ht="18.75" x14ac:dyDescent="0.3">
      <c r="B42" s="1" t="s">
        <v>78</v>
      </c>
      <c r="AW42" s="15"/>
      <c r="AX42" s="15"/>
      <c r="AY42" s="15"/>
      <c r="AZ42" s="16"/>
      <c r="BA42" s="70">
        <f>BA40-BA38</f>
        <v>-100000</v>
      </c>
    </row>
    <row r="43" spans="1:68" ht="18.75" x14ac:dyDescent="0.3">
      <c r="B43" s="1" t="s">
        <v>79</v>
      </c>
      <c r="C43" s="14">
        <f>AZ38</f>
        <v>6620000</v>
      </c>
      <c r="D43" s="9">
        <f>SUMIFS(D8:D38,H8:H38,"BANQUE")</f>
        <v>5073500</v>
      </c>
      <c r="F43" s="9">
        <f>E38</f>
        <v>245000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12480000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/>
  <dcterms:created xsi:type="dcterms:W3CDTF">2020-03-01T01:00:00Z</dcterms:created>
</cp:coreProperties>
</file>