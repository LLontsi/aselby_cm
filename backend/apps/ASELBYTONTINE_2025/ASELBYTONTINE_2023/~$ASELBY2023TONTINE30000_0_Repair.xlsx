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</workbook>
</file>

<file path=xl/calcChain.xml><?xml version="1.0" encoding="utf-8"?>
<calcChain xmlns="http://schemas.openxmlformats.org/spreadsheetml/2006/main">
  <c r="D35" i="9" l="1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B35" i="9" s="1"/>
  <c r="F334" i="12" l="1"/>
  <c r="F333" i="12"/>
  <c r="F332" i="12"/>
  <c r="G332" i="12" s="1"/>
  <c r="G327" i="12"/>
  <c r="G328" i="12"/>
  <c r="G329" i="12"/>
  <c r="G330" i="12"/>
  <c r="G331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F325" i="12"/>
  <c r="G325" i="12" s="1"/>
  <c r="G326" i="12"/>
  <c r="G324" i="12"/>
  <c r="F295" i="12" l="1"/>
  <c r="G295" i="12" s="1"/>
  <c r="C461" i="14"/>
  <c r="F294" i="12"/>
  <c r="G293" i="12"/>
  <c r="G294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F292" i="12"/>
  <c r="G292" i="12" s="1"/>
  <c r="H176" i="9"/>
  <c r="H166" i="8"/>
  <c r="H166" i="3"/>
  <c r="Q34" i="13" l="1"/>
  <c r="Q35" i="13"/>
  <c r="Q36" i="13"/>
  <c r="Q37" i="13"/>
  <c r="Q38" i="13"/>
  <c r="Q39" i="13"/>
  <c r="Q32" i="13"/>
  <c r="Q33" i="13"/>
  <c r="C402" i="14" l="1"/>
  <c r="AF35" i="10"/>
  <c r="F262" i="12"/>
  <c r="F265" i="12"/>
  <c r="G265" i="12" s="1"/>
  <c r="F264" i="12"/>
  <c r="F263" i="12"/>
  <c r="G263" i="12" s="1"/>
  <c r="F261" i="12"/>
  <c r="G261" i="12" s="1"/>
  <c r="AF34" i="10"/>
  <c r="C404" i="14"/>
  <c r="G262" i="12"/>
  <c r="G264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60" i="12"/>
  <c r="G159" i="8"/>
  <c r="G160" i="8"/>
  <c r="G156" i="8"/>
  <c r="H151" i="8"/>
  <c r="H151" i="3"/>
  <c r="H161" i="9"/>
  <c r="J394" i="14"/>
  <c r="H394" i="14"/>
  <c r="J384" i="14"/>
  <c r="H384" i="14"/>
  <c r="I32" i="10"/>
  <c r="I33" i="10"/>
  <c r="I34" i="10"/>
  <c r="I35" i="10"/>
  <c r="I36" i="10"/>
  <c r="I37" i="10"/>
  <c r="I38" i="10"/>
  <c r="F234" i="12" l="1"/>
  <c r="G234" i="12" s="1"/>
  <c r="F235" i="12"/>
  <c r="F231" i="12"/>
  <c r="G231" i="12" s="1"/>
  <c r="F230" i="12"/>
  <c r="G230" i="12" s="1"/>
  <c r="F233" i="12"/>
  <c r="F232" i="12"/>
  <c r="G232" i="12" s="1"/>
  <c r="F229" i="12"/>
  <c r="G229" i="12" s="1"/>
  <c r="G233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28" i="12"/>
  <c r="F228" i="12"/>
  <c r="H146" i="9"/>
  <c r="H136" i="8" l="1"/>
  <c r="H136" i="3"/>
  <c r="F199" i="12" l="1"/>
  <c r="G199" i="12" s="1"/>
  <c r="F209" i="12"/>
  <c r="F204" i="12"/>
  <c r="G204" i="12" s="1"/>
  <c r="F200" i="12"/>
  <c r="G200" i="12" s="1"/>
  <c r="F198" i="12"/>
  <c r="F197" i="12"/>
  <c r="F196" i="12"/>
  <c r="G196" i="12" s="1"/>
  <c r="G197" i="12"/>
  <c r="G198" i="12"/>
  <c r="G201" i="12"/>
  <c r="G202" i="12"/>
  <c r="G203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H117" i="9"/>
  <c r="H100" i="9"/>
  <c r="H131" i="9"/>
  <c r="C313" i="14"/>
  <c r="G152" i="12"/>
  <c r="F176" i="12" l="1"/>
  <c r="G176" i="12" s="1"/>
  <c r="F187" i="12"/>
  <c r="F181" i="12"/>
  <c r="G181" i="12" s="1"/>
  <c r="F180" i="12"/>
  <c r="G180" i="12" s="1"/>
  <c r="F175" i="12"/>
  <c r="G175" i="12" s="1"/>
  <c r="F174" i="12"/>
  <c r="F170" i="12"/>
  <c r="G170" i="12" s="1"/>
  <c r="F169" i="12"/>
  <c r="G169" i="12" s="1"/>
  <c r="G165" i="12"/>
  <c r="G166" i="12"/>
  <c r="G167" i="12"/>
  <c r="G168" i="12"/>
  <c r="G171" i="12"/>
  <c r="G172" i="12"/>
  <c r="G173" i="12"/>
  <c r="G174" i="12"/>
  <c r="G177" i="12"/>
  <c r="G178" i="12"/>
  <c r="G179" i="12"/>
  <c r="G182" i="12"/>
  <c r="G183" i="12"/>
  <c r="G184" i="12"/>
  <c r="G185" i="12"/>
  <c r="G186" i="12"/>
  <c r="G187" i="12"/>
  <c r="G188" i="12"/>
  <c r="F164" i="12"/>
  <c r="G164" i="12" s="1"/>
  <c r="M120" i="9"/>
  <c r="M121" i="9"/>
  <c r="M110" i="8"/>
  <c r="C31" i="11" l="1"/>
  <c r="AQ35" i="11"/>
  <c r="C34" i="11"/>
  <c r="C33" i="11"/>
  <c r="C32" i="11"/>
  <c r="E14" i="15" l="1"/>
  <c r="E13" i="15"/>
  <c r="E9" i="15"/>
  <c r="E8" i="15"/>
  <c r="E5" i="15"/>
  <c r="E3" i="15"/>
  <c r="F10" i="15"/>
  <c r="F12" i="15"/>
  <c r="F15" i="15"/>
  <c r="F16" i="15"/>
  <c r="F17" i="15"/>
  <c r="C18" i="15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E18" i="15" l="1"/>
  <c r="D43" i="13" l="1"/>
  <c r="E43" i="13"/>
  <c r="F43" i="13"/>
  <c r="G43" i="13"/>
  <c r="H43" i="13"/>
  <c r="I43" i="13"/>
  <c r="J43" i="13"/>
  <c r="K43" i="13"/>
  <c r="L43" i="13"/>
  <c r="M43" i="13"/>
  <c r="N43" i="13"/>
  <c r="O43" i="13"/>
  <c r="P43" i="13"/>
  <c r="C43" i="13"/>
  <c r="AS38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33" i="11"/>
  <c r="AP34" i="11"/>
  <c r="AP35" i="11"/>
  <c r="AS35" i="11" s="1"/>
  <c r="AP36" i="11"/>
  <c r="AS36" i="11" s="1"/>
  <c r="AP37" i="11"/>
  <c r="AP38" i="11"/>
  <c r="AP39" i="11"/>
  <c r="AS39" i="11" s="1"/>
  <c r="AP40" i="11"/>
  <c r="AP5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4" i="11"/>
  <c r="AR25" i="11"/>
  <c r="AR26" i="11"/>
  <c r="AR27" i="11"/>
  <c r="AR28" i="11"/>
  <c r="AR29" i="11"/>
  <c r="AR30" i="11"/>
  <c r="AR31" i="11"/>
  <c r="AR32" i="11"/>
  <c r="AR33" i="11"/>
  <c r="AR34" i="11"/>
  <c r="AR35" i="11"/>
  <c r="AR36" i="11"/>
  <c r="AR37" i="11"/>
  <c r="AR38" i="11"/>
  <c r="AR39" i="11"/>
  <c r="AR40" i="11"/>
  <c r="AR23" i="11"/>
  <c r="F145" i="12" l="1"/>
  <c r="G145" i="12" s="1"/>
  <c r="G146" i="12"/>
  <c r="F144" i="12"/>
  <c r="G144" i="12" s="1"/>
  <c r="F147" i="12"/>
  <c r="F149" i="12"/>
  <c r="G149" i="12" s="1"/>
  <c r="F141" i="12"/>
  <c r="F140" i="12"/>
  <c r="G140" i="12" s="1"/>
  <c r="F137" i="12"/>
  <c r="G137" i="12" s="1"/>
  <c r="G136" i="12"/>
  <c r="G141" i="12"/>
  <c r="G142" i="12"/>
  <c r="G143" i="12"/>
  <c r="G138" i="12"/>
  <c r="G150" i="12"/>
  <c r="G139" i="12"/>
  <c r="G147" i="12"/>
  <c r="G133" i="12"/>
  <c r="G148" i="12"/>
  <c r="G134" i="12"/>
  <c r="G135" i="12"/>
  <c r="G151" i="12"/>
  <c r="G153" i="12"/>
  <c r="G154" i="12"/>
  <c r="G155" i="12"/>
  <c r="G156" i="12"/>
  <c r="G157" i="12"/>
  <c r="G158" i="12"/>
  <c r="AR32" i="10" l="1"/>
  <c r="AS32" i="10"/>
  <c r="AT32" i="10"/>
  <c r="AR33" i="10"/>
  <c r="AS33" i="10"/>
  <c r="AT33" i="10"/>
  <c r="AR34" i="10"/>
  <c r="AS34" i="10"/>
  <c r="AT34" i="10"/>
  <c r="AR35" i="10"/>
  <c r="AS35" i="10"/>
  <c r="AT35" i="10"/>
  <c r="AR36" i="10"/>
  <c r="AS36" i="10"/>
  <c r="AT36" i="10"/>
  <c r="AR37" i="10"/>
  <c r="AS37" i="10"/>
  <c r="AT37" i="10"/>
  <c r="AR38" i="10"/>
  <c r="AS38" i="10"/>
  <c r="AT38" i="10"/>
  <c r="U37" i="10"/>
  <c r="V37" i="10" s="1"/>
  <c r="U38" i="10"/>
  <c r="V38" i="10" s="1"/>
  <c r="X38" i="10" s="1"/>
  <c r="BA39" i="10"/>
  <c r="N39" i="10"/>
  <c r="Q39" i="10"/>
  <c r="T39" i="10"/>
  <c r="W39" i="10"/>
  <c r="Z39" i="10"/>
  <c r="AC39" i="10"/>
  <c r="AF39" i="10"/>
  <c r="AI39" i="10"/>
  <c r="AL39" i="10"/>
  <c r="AO39" i="10"/>
  <c r="AW39" i="10"/>
  <c r="AX39" i="10"/>
  <c r="AY39" i="10"/>
  <c r="AZ39" i="10"/>
  <c r="K39" i="10"/>
  <c r="H39" i="10"/>
  <c r="Q3" i="10"/>
  <c r="N3" i="10"/>
  <c r="K3" i="10"/>
  <c r="F54" i="12"/>
  <c r="Y37" i="10" l="1"/>
  <c r="X37" i="10"/>
  <c r="Y38" i="10"/>
  <c r="AA38" i="10" s="1"/>
  <c r="AB38" i="10" s="1"/>
  <c r="AD38" i="10" s="1"/>
  <c r="AE38" i="10" s="1"/>
  <c r="AG38" i="10" s="1"/>
  <c r="AH38" i="10" s="1"/>
  <c r="G117" i="12"/>
  <c r="F117" i="12"/>
  <c r="F116" i="12"/>
  <c r="F115" i="12"/>
  <c r="F114" i="12"/>
  <c r="F111" i="12"/>
  <c r="G111" i="12" s="1"/>
  <c r="F103" i="12"/>
  <c r="G103" i="12" s="1"/>
  <c r="F102" i="12"/>
  <c r="G102" i="12"/>
  <c r="G104" i="12"/>
  <c r="G105" i="12"/>
  <c r="G106" i="12"/>
  <c r="G107" i="12"/>
  <c r="G108" i="12"/>
  <c r="G109" i="12"/>
  <c r="G110" i="12"/>
  <c r="G112" i="12"/>
  <c r="G113" i="12"/>
  <c r="G114" i="12"/>
  <c r="G115" i="12"/>
  <c r="G116" i="12"/>
  <c r="G118" i="12"/>
  <c r="G119" i="12"/>
  <c r="G120" i="12"/>
  <c r="G121" i="12"/>
  <c r="G122" i="12"/>
  <c r="G123" i="12"/>
  <c r="G124" i="12"/>
  <c r="G125" i="12"/>
  <c r="G126" i="12"/>
  <c r="F101" i="12"/>
  <c r="G101" i="12" s="1"/>
  <c r="AB37" i="10" l="1"/>
  <c r="AD37" i="10" s="1"/>
  <c r="AE37" i="10" s="1"/>
  <c r="AA37" i="10"/>
  <c r="AJ38" i="10"/>
  <c r="AK38" i="10" s="1"/>
  <c r="G83" i="12"/>
  <c r="G84" i="12"/>
  <c r="F73" i="12"/>
  <c r="G73" i="12" s="1"/>
  <c r="F70" i="12"/>
  <c r="G70" i="12" s="1"/>
  <c r="F76" i="12"/>
  <c r="F75" i="12"/>
  <c r="G75" i="12" s="1"/>
  <c r="F74" i="12"/>
  <c r="G74" i="12" s="1"/>
  <c r="F71" i="12"/>
  <c r="G71" i="12" s="1"/>
  <c r="G72" i="12"/>
  <c r="G76" i="12"/>
  <c r="G77" i="12"/>
  <c r="G78" i="12"/>
  <c r="G79" i="12"/>
  <c r="G80" i="12"/>
  <c r="G81" i="12"/>
  <c r="G82" i="12"/>
  <c r="G69" i="12"/>
  <c r="M73" i="9"/>
  <c r="H69" i="9"/>
  <c r="AG37" i="10" l="1"/>
  <c r="AH37" i="10" s="1"/>
  <c r="AM38" i="10"/>
  <c r="AN38" i="10" s="1"/>
  <c r="L70" i="14"/>
  <c r="AJ37" i="10" l="1"/>
  <c r="AK37" i="10" s="1"/>
  <c r="AM37" i="10" s="1"/>
  <c r="AN37" i="10" s="1"/>
  <c r="AP38" i="10"/>
  <c r="AV38" i="10" s="1"/>
  <c r="BB38" i="10" s="1"/>
  <c r="BD38" i="10" s="1"/>
  <c r="BF38" i="10" s="1"/>
  <c r="T94" i="14"/>
  <c r="AQ38" i="10" l="1"/>
  <c r="AP37" i="10"/>
  <c r="AQ37" i="10" s="1"/>
  <c r="AU38" i="10"/>
  <c r="F42" i="12"/>
  <c r="G42" i="12" s="1"/>
  <c r="F40" i="12"/>
  <c r="G40" i="12" s="1"/>
  <c r="F43" i="12"/>
  <c r="G43" i="12" s="1"/>
  <c r="F41" i="12"/>
  <c r="F47" i="12"/>
  <c r="G47" i="12" s="1"/>
  <c r="G38" i="12"/>
  <c r="G39" i="12"/>
  <c r="G41" i="12"/>
  <c r="G44" i="12"/>
  <c r="G45" i="12"/>
  <c r="G46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37" i="12"/>
  <c r="H53" i="9"/>
  <c r="H43" i="8"/>
  <c r="H43" i="3"/>
  <c r="J43" i="10"/>
  <c r="J37" i="10"/>
  <c r="J38" i="10"/>
  <c r="AU37" i="10" l="1"/>
  <c r="AV37" i="10"/>
  <c r="BB37" i="10" s="1"/>
  <c r="BD37" i="10" s="1"/>
  <c r="BF37" i="10" s="1"/>
  <c r="J32" i="12"/>
  <c r="C39" i="10" l="1"/>
  <c r="E14" i="12" l="1"/>
  <c r="G14" i="12" s="1"/>
  <c r="G6" i="12"/>
  <c r="G7" i="12"/>
  <c r="G8" i="12"/>
  <c r="G9" i="12"/>
  <c r="G10" i="12"/>
  <c r="G11" i="12"/>
  <c r="G12" i="12"/>
  <c r="G13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5" i="12"/>
  <c r="J36" i="10" l="1"/>
  <c r="J32" i="10"/>
  <c r="L32" i="10" s="1"/>
  <c r="J33" i="10"/>
  <c r="J34" i="10"/>
  <c r="J35" i="10"/>
  <c r="M36" i="10" l="1"/>
  <c r="M35" i="10"/>
  <c r="M33" i="10"/>
  <c r="M34" i="10"/>
  <c r="M32" i="10"/>
  <c r="O32" i="10" s="1"/>
  <c r="A522" i="14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9" i="14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O34" i="10" l="1"/>
  <c r="P34" i="10" s="1"/>
  <c r="O35" i="10"/>
  <c r="P35" i="10" s="1"/>
  <c r="P32" i="10"/>
  <c r="R32" i="10" s="1"/>
  <c r="O33" i="10"/>
  <c r="P33" i="10"/>
  <c r="O36" i="10"/>
  <c r="P36" i="10" s="1"/>
  <c r="E573" i="14"/>
  <c r="R35" i="10" l="1"/>
  <c r="S35" i="10" s="1"/>
  <c r="U35" i="10" s="1"/>
  <c r="V35" i="10" s="1"/>
  <c r="Y35" i="10" s="1"/>
  <c r="S32" i="10"/>
  <c r="U32" i="10" s="1"/>
  <c r="R34" i="10"/>
  <c r="S34" i="10" s="1"/>
  <c r="U34" i="10" s="1"/>
  <c r="V34" i="10" s="1"/>
  <c r="Y34" i="10" s="1"/>
  <c r="R36" i="10"/>
  <c r="S36" i="10" s="1"/>
  <c r="U36" i="10" s="1"/>
  <c r="V36" i="10" s="1"/>
  <c r="Y36" i="10" s="1"/>
  <c r="R33" i="10"/>
  <c r="S33" i="10" s="1"/>
  <c r="U33" i="10" s="1"/>
  <c r="V33" i="10" s="1"/>
  <c r="Y33" i="10" s="1"/>
  <c r="C569" i="14"/>
  <c r="D569" i="14"/>
  <c r="E569" i="14"/>
  <c r="F569" i="14"/>
  <c r="G569" i="14"/>
  <c r="H569" i="14"/>
  <c r="I569" i="14"/>
  <c r="J569" i="14"/>
  <c r="K569" i="14"/>
  <c r="L569" i="14"/>
  <c r="M569" i="14"/>
  <c r="N569" i="14"/>
  <c r="O569" i="14"/>
  <c r="P569" i="14"/>
  <c r="Q569" i="14"/>
  <c r="R569" i="14"/>
  <c r="C570" i="14"/>
  <c r="D570" i="14"/>
  <c r="E570" i="14"/>
  <c r="F570" i="14"/>
  <c r="G570" i="14"/>
  <c r="H570" i="14"/>
  <c r="I570" i="14"/>
  <c r="J570" i="14"/>
  <c r="K570" i="14"/>
  <c r="L570" i="14"/>
  <c r="M570" i="14"/>
  <c r="N570" i="14"/>
  <c r="O570" i="14"/>
  <c r="P570" i="14"/>
  <c r="Q570" i="14"/>
  <c r="R570" i="14"/>
  <c r="C571" i="14"/>
  <c r="D571" i="14"/>
  <c r="E571" i="14"/>
  <c r="F571" i="14"/>
  <c r="G571" i="14"/>
  <c r="H571" i="14"/>
  <c r="I571" i="14"/>
  <c r="J571" i="14"/>
  <c r="K571" i="14"/>
  <c r="L571" i="14"/>
  <c r="M571" i="14"/>
  <c r="N571" i="14"/>
  <c r="O571" i="14"/>
  <c r="P571" i="14"/>
  <c r="Q571" i="14"/>
  <c r="R571" i="14"/>
  <c r="C572" i="14"/>
  <c r="D572" i="14"/>
  <c r="E572" i="14"/>
  <c r="F572" i="14"/>
  <c r="G572" i="14"/>
  <c r="H572" i="14"/>
  <c r="I572" i="14"/>
  <c r="J572" i="14"/>
  <c r="K572" i="14"/>
  <c r="L572" i="14"/>
  <c r="M572" i="14"/>
  <c r="N572" i="14"/>
  <c r="O572" i="14"/>
  <c r="P572" i="14"/>
  <c r="Q572" i="14"/>
  <c r="R572" i="14"/>
  <c r="C573" i="14"/>
  <c r="D573" i="14"/>
  <c r="F573" i="14"/>
  <c r="G573" i="14"/>
  <c r="H573" i="14"/>
  <c r="I573" i="14"/>
  <c r="J573" i="14"/>
  <c r="K573" i="14"/>
  <c r="L573" i="14"/>
  <c r="M573" i="14"/>
  <c r="N573" i="14"/>
  <c r="O573" i="14"/>
  <c r="P573" i="14"/>
  <c r="Q573" i="14"/>
  <c r="R573" i="14"/>
  <c r="C574" i="14"/>
  <c r="D574" i="14"/>
  <c r="E574" i="14"/>
  <c r="F574" i="14"/>
  <c r="G574" i="14"/>
  <c r="H574" i="14"/>
  <c r="I574" i="14"/>
  <c r="J574" i="14"/>
  <c r="K574" i="14"/>
  <c r="L574" i="14"/>
  <c r="M574" i="14"/>
  <c r="N574" i="14"/>
  <c r="O574" i="14"/>
  <c r="P574" i="14"/>
  <c r="Q574" i="14"/>
  <c r="R574" i="14"/>
  <c r="C575" i="14"/>
  <c r="D575" i="14"/>
  <c r="E575" i="14"/>
  <c r="F575" i="14"/>
  <c r="G575" i="14"/>
  <c r="H575" i="14"/>
  <c r="I575" i="14"/>
  <c r="J575" i="14"/>
  <c r="K575" i="14"/>
  <c r="L575" i="14"/>
  <c r="M575" i="14"/>
  <c r="N575" i="14"/>
  <c r="O575" i="14"/>
  <c r="P575" i="14"/>
  <c r="Q575" i="14"/>
  <c r="R575" i="14"/>
  <c r="C576" i="14"/>
  <c r="D576" i="14"/>
  <c r="E576" i="14"/>
  <c r="F576" i="14"/>
  <c r="G576" i="14"/>
  <c r="H576" i="14"/>
  <c r="I576" i="14"/>
  <c r="J576" i="14"/>
  <c r="K576" i="14"/>
  <c r="L576" i="14"/>
  <c r="M576" i="14"/>
  <c r="N576" i="14"/>
  <c r="O576" i="14"/>
  <c r="P576" i="14"/>
  <c r="Q576" i="14"/>
  <c r="R576" i="14"/>
  <c r="C577" i="14"/>
  <c r="D577" i="14"/>
  <c r="E577" i="14"/>
  <c r="F577" i="14"/>
  <c r="G577" i="14"/>
  <c r="H577" i="14"/>
  <c r="I577" i="14"/>
  <c r="J577" i="14"/>
  <c r="K577" i="14"/>
  <c r="L577" i="14"/>
  <c r="M577" i="14"/>
  <c r="N577" i="14"/>
  <c r="O577" i="14"/>
  <c r="P577" i="14"/>
  <c r="Q577" i="14"/>
  <c r="R577" i="14"/>
  <c r="C578" i="14"/>
  <c r="D578" i="14"/>
  <c r="E578" i="14"/>
  <c r="F578" i="14"/>
  <c r="G578" i="14"/>
  <c r="H578" i="14"/>
  <c r="I578" i="14"/>
  <c r="J578" i="14"/>
  <c r="K578" i="14"/>
  <c r="L578" i="14"/>
  <c r="M578" i="14"/>
  <c r="N578" i="14"/>
  <c r="O578" i="14"/>
  <c r="P578" i="14"/>
  <c r="Q578" i="14"/>
  <c r="R578" i="14"/>
  <c r="C579" i="14"/>
  <c r="D579" i="14"/>
  <c r="E579" i="14"/>
  <c r="F579" i="14"/>
  <c r="G579" i="14"/>
  <c r="H579" i="14"/>
  <c r="I579" i="14"/>
  <c r="J579" i="14"/>
  <c r="K579" i="14"/>
  <c r="L579" i="14"/>
  <c r="M579" i="14"/>
  <c r="N579" i="14"/>
  <c r="O579" i="14"/>
  <c r="P579" i="14"/>
  <c r="Q579" i="14"/>
  <c r="R579" i="14"/>
  <c r="C580" i="14"/>
  <c r="D580" i="14"/>
  <c r="E580" i="14"/>
  <c r="F580" i="14"/>
  <c r="G580" i="14"/>
  <c r="H580" i="14"/>
  <c r="I580" i="14"/>
  <c r="J580" i="14"/>
  <c r="K580" i="14"/>
  <c r="L580" i="14"/>
  <c r="M580" i="14"/>
  <c r="N580" i="14"/>
  <c r="O580" i="14"/>
  <c r="P580" i="14"/>
  <c r="Q580" i="14"/>
  <c r="R580" i="14"/>
  <c r="C581" i="14"/>
  <c r="D581" i="14"/>
  <c r="E581" i="14"/>
  <c r="F581" i="14"/>
  <c r="G581" i="14"/>
  <c r="H581" i="14"/>
  <c r="I581" i="14"/>
  <c r="J581" i="14"/>
  <c r="K581" i="14"/>
  <c r="L581" i="14"/>
  <c r="M581" i="14"/>
  <c r="N581" i="14"/>
  <c r="O581" i="14"/>
  <c r="P581" i="14"/>
  <c r="Q581" i="14"/>
  <c r="R581" i="14"/>
  <c r="C582" i="14"/>
  <c r="D582" i="14"/>
  <c r="E582" i="14"/>
  <c r="F582" i="14"/>
  <c r="G582" i="14"/>
  <c r="H582" i="14"/>
  <c r="I582" i="14"/>
  <c r="J582" i="14"/>
  <c r="K582" i="14"/>
  <c r="L582" i="14"/>
  <c r="M582" i="14"/>
  <c r="N582" i="14"/>
  <c r="O582" i="14"/>
  <c r="P582" i="14"/>
  <c r="Q582" i="14"/>
  <c r="R582" i="14"/>
  <c r="C583" i="14"/>
  <c r="D583" i="14"/>
  <c r="E583" i="14"/>
  <c r="F583" i="14"/>
  <c r="G583" i="14"/>
  <c r="H583" i="14"/>
  <c r="I583" i="14"/>
  <c r="J583" i="14"/>
  <c r="K583" i="14"/>
  <c r="L583" i="14"/>
  <c r="M583" i="14"/>
  <c r="N583" i="14"/>
  <c r="O583" i="14"/>
  <c r="P583" i="14"/>
  <c r="Q583" i="14"/>
  <c r="R583" i="14"/>
  <c r="C584" i="14"/>
  <c r="D584" i="14"/>
  <c r="E584" i="14"/>
  <c r="F584" i="14"/>
  <c r="G584" i="14"/>
  <c r="H584" i="14"/>
  <c r="I584" i="14"/>
  <c r="J584" i="14"/>
  <c r="K584" i="14"/>
  <c r="L584" i="14"/>
  <c r="M584" i="14"/>
  <c r="N584" i="14"/>
  <c r="O584" i="14"/>
  <c r="P584" i="14"/>
  <c r="Q584" i="14"/>
  <c r="R584" i="14"/>
  <c r="C585" i="14"/>
  <c r="D585" i="14"/>
  <c r="E585" i="14"/>
  <c r="F585" i="14"/>
  <c r="G585" i="14"/>
  <c r="H585" i="14"/>
  <c r="I585" i="14"/>
  <c r="J585" i="14"/>
  <c r="K585" i="14"/>
  <c r="L585" i="14"/>
  <c r="M585" i="14"/>
  <c r="N585" i="14"/>
  <c r="O585" i="14"/>
  <c r="P585" i="14"/>
  <c r="Q585" i="14"/>
  <c r="R585" i="14"/>
  <c r="C586" i="14"/>
  <c r="D586" i="14"/>
  <c r="E586" i="14"/>
  <c r="F586" i="14"/>
  <c r="G586" i="14"/>
  <c r="H586" i="14"/>
  <c r="I586" i="14"/>
  <c r="J586" i="14"/>
  <c r="K586" i="14"/>
  <c r="L586" i="14"/>
  <c r="M586" i="14"/>
  <c r="N586" i="14"/>
  <c r="O586" i="14"/>
  <c r="P586" i="14"/>
  <c r="Q586" i="14"/>
  <c r="R586" i="14"/>
  <c r="C587" i="14"/>
  <c r="D587" i="14"/>
  <c r="E587" i="14"/>
  <c r="F587" i="14"/>
  <c r="G587" i="14"/>
  <c r="H587" i="14"/>
  <c r="I587" i="14"/>
  <c r="J587" i="14"/>
  <c r="K587" i="14"/>
  <c r="L587" i="14"/>
  <c r="M587" i="14"/>
  <c r="N587" i="14"/>
  <c r="O587" i="14"/>
  <c r="P587" i="14"/>
  <c r="Q587" i="14"/>
  <c r="R587" i="14"/>
  <c r="C588" i="14"/>
  <c r="D588" i="14"/>
  <c r="E588" i="14"/>
  <c r="F588" i="14"/>
  <c r="G588" i="14"/>
  <c r="H588" i="14"/>
  <c r="I588" i="14"/>
  <c r="J588" i="14"/>
  <c r="K588" i="14"/>
  <c r="L588" i="14"/>
  <c r="M588" i="14"/>
  <c r="N588" i="14"/>
  <c r="O588" i="14"/>
  <c r="P588" i="14"/>
  <c r="Q588" i="14"/>
  <c r="R588" i="14"/>
  <c r="C589" i="14"/>
  <c r="D589" i="14"/>
  <c r="E589" i="14"/>
  <c r="F589" i="14"/>
  <c r="G589" i="14"/>
  <c r="H589" i="14"/>
  <c r="I589" i="14"/>
  <c r="J589" i="14"/>
  <c r="K589" i="14"/>
  <c r="L589" i="14"/>
  <c r="M589" i="14"/>
  <c r="N589" i="14"/>
  <c r="O589" i="14"/>
  <c r="P589" i="14"/>
  <c r="Q589" i="14"/>
  <c r="R589" i="14"/>
  <c r="C590" i="14"/>
  <c r="D590" i="14"/>
  <c r="E590" i="14"/>
  <c r="F590" i="14"/>
  <c r="G590" i="14"/>
  <c r="H590" i="14"/>
  <c r="I590" i="14"/>
  <c r="J590" i="14"/>
  <c r="K590" i="14"/>
  <c r="L590" i="14"/>
  <c r="M590" i="14"/>
  <c r="N590" i="14"/>
  <c r="O590" i="14"/>
  <c r="P590" i="14"/>
  <c r="Q590" i="14"/>
  <c r="R590" i="14"/>
  <c r="C591" i="14"/>
  <c r="D591" i="14"/>
  <c r="E591" i="14"/>
  <c r="F591" i="14"/>
  <c r="G591" i="14"/>
  <c r="H591" i="14"/>
  <c r="I591" i="14"/>
  <c r="J591" i="14"/>
  <c r="K591" i="14"/>
  <c r="L591" i="14"/>
  <c r="M591" i="14"/>
  <c r="N591" i="14"/>
  <c r="O591" i="14"/>
  <c r="P591" i="14"/>
  <c r="Q591" i="14"/>
  <c r="R591" i="14"/>
  <c r="C592" i="14"/>
  <c r="D592" i="14"/>
  <c r="E592" i="14"/>
  <c r="F592" i="14"/>
  <c r="G592" i="14"/>
  <c r="H592" i="14"/>
  <c r="I592" i="14"/>
  <c r="J592" i="14"/>
  <c r="K592" i="14"/>
  <c r="L592" i="14"/>
  <c r="M592" i="14"/>
  <c r="N592" i="14"/>
  <c r="O592" i="14"/>
  <c r="P592" i="14"/>
  <c r="Q592" i="14"/>
  <c r="R592" i="14"/>
  <c r="C593" i="14"/>
  <c r="D593" i="14"/>
  <c r="E593" i="14"/>
  <c r="F593" i="14"/>
  <c r="G593" i="14"/>
  <c r="H593" i="14"/>
  <c r="I593" i="14"/>
  <c r="J593" i="14"/>
  <c r="K593" i="14"/>
  <c r="L593" i="14"/>
  <c r="M593" i="14"/>
  <c r="N593" i="14"/>
  <c r="O593" i="14"/>
  <c r="P593" i="14"/>
  <c r="Q593" i="14"/>
  <c r="R593" i="14"/>
  <c r="C594" i="14"/>
  <c r="D594" i="14"/>
  <c r="E594" i="14"/>
  <c r="F594" i="14"/>
  <c r="G594" i="14"/>
  <c r="H594" i="14"/>
  <c r="I594" i="14"/>
  <c r="J594" i="14"/>
  <c r="K594" i="14"/>
  <c r="L594" i="14"/>
  <c r="M594" i="14"/>
  <c r="N594" i="14"/>
  <c r="O594" i="14"/>
  <c r="P594" i="14"/>
  <c r="Q594" i="14"/>
  <c r="R594" i="14"/>
  <c r="C595" i="14"/>
  <c r="D595" i="14"/>
  <c r="E595" i="14"/>
  <c r="F595" i="14"/>
  <c r="G595" i="14"/>
  <c r="H595" i="14"/>
  <c r="I595" i="14"/>
  <c r="J595" i="14"/>
  <c r="K595" i="14"/>
  <c r="L595" i="14"/>
  <c r="M595" i="14"/>
  <c r="N595" i="14"/>
  <c r="O595" i="14"/>
  <c r="P595" i="14"/>
  <c r="Q595" i="14"/>
  <c r="R595" i="14"/>
  <c r="C596" i="14"/>
  <c r="D596" i="14"/>
  <c r="E596" i="14"/>
  <c r="F596" i="14"/>
  <c r="G596" i="14"/>
  <c r="H596" i="14"/>
  <c r="I596" i="14"/>
  <c r="J596" i="14"/>
  <c r="K596" i="14"/>
  <c r="L596" i="14"/>
  <c r="M596" i="14"/>
  <c r="N596" i="14"/>
  <c r="O596" i="14"/>
  <c r="P596" i="14"/>
  <c r="Q596" i="14"/>
  <c r="R596" i="14"/>
  <c r="C597" i="14"/>
  <c r="D597" i="14"/>
  <c r="E597" i="14"/>
  <c r="F597" i="14"/>
  <c r="G597" i="14"/>
  <c r="H597" i="14"/>
  <c r="I597" i="14"/>
  <c r="J597" i="14"/>
  <c r="K597" i="14"/>
  <c r="L597" i="14"/>
  <c r="M597" i="14"/>
  <c r="N597" i="14"/>
  <c r="O597" i="14"/>
  <c r="P597" i="14"/>
  <c r="Q597" i="14"/>
  <c r="R597" i="14"/>
  <c r="C598" i="14"/>
  <c r="D598" i="14"/>
  <c r="E598" i="14"/>
  <c r="F598" i="14"/>
  <c r="G598" i="14"/>
  <c r="H598" i="14"/>
  <c r="I598" i="14"/>
  <c r="J598" i="14"/>
  <c r="K598" i="14"/>
  <c r="L598" i="14"/>
  <c r="M598" i="14"/>
  <c r="N598" i="14"/>
  <c r="O598" i="14"/>
  <c r="P598" i="14"/>
  <c r="Q598" i="14"/>
  <c r="R598" i="14"/>
  <c r="C599" i="14"/>
  <c r="D599" i="14"/>
  <c r="E599" i="14"/>
  <c r="F599" i="14"/>
  <c r="G599" i="14"/>
  <c r="H599" i="14"/>
  <c r="I599" i="14"/>
  <c r="J599" i="14"/>
  <c r="K599" i="14"/>
  <c r="L599" i="14"/>
  <c r="M599" i="14"/>
  <c r="N599" i="14"/>
  <c r="O599" i="14"/>
  <c r="P599" i="14"/>
  <c r="Q599" i="14"/>
  <c r="R599" i="14"/>
  <c r="C600" i="14"/>
  <c r="D600" i="14"/>
  <c r="E600" i="14"/>
  <c r="F600" i="14"/>
  <c r="G600" i="14"/>
  <c r="H600" i="14"/>
  <c r="I600" i="14"/>
  <c r="J600" i="14"/>
  <c r="K600" i="14"/>
  <c r="L600" i="14"/>
  <c r="M600" i="14"/>
  <c r="N600" i="14"/>
  <c r="O600" i="14"/>
  <c r="P600" i="14"/>
  <c r="Q600" i="14"/>
  <c r="R600" i="14"/>
  <c r="C601" i="14"/>
  <c r="D601" i="14"/>
  <c r="E601" i="14"/>
  <c r="F601" i="14"/>
  <c r="G601" i="14"/>
  <c r="H601" i="14"/>
  <c r="I601" i="14"/>
  <c r="J601" i="14"/>
  <c r="K601" i="14"/>
  <c r="L601" i="14"/>
  <c r="M601" i="14"/>
  <c r="N601" i="14"/>
  <c r="O601" i="14"/>
  <c r="P601" i="14"/>
  <c r="Q601" i="14"/>
  <c r="R601" i="14"/>
  <c r="C602" i="14"/>
  <c r="D602" i="14"/>
  <c r="E602" i="14"/>
  <c r="F602" i="14"/>
  <c r="G602" i="14"/>
  <c r="H602" i="14"/>
  <c r="I602" i="14"/>
  <c r="J602" i="14"/>
  <c r="K602" i="14"/>
  <c r="L602" i="14"/>
  <c r="M602" i="14"/>
  <c r="N602" i="14"/>
  <c r="O602" i="14"/>
  <c r="P602" i="14"/>
  <c r="Q602" i="14"/>
  <c r="R602" i="14"/>
  <c r="C603" i="14"/>
  <c r="D603" i="14"/>
  <c r="E603" i="14"/>
  <c r="F603" i="14"/>
  <c r="G603" i="14"/>
  <c r="H603" i="14"/>
  <c r="I603" i="14"/>
  <c r="J603" i="14"/>
  <c r="K603" i="14"/>
  <c r="L603" i="14"/>
  <c r="M603" i="14"/>
  <c r="N603" i="14"/>
  <c r="O603" i="14"/>
  <c r="P603" i="14"/>
  <c r="Q603" i="14"/>
  <c r="R603" i="14"/>
  <c r="C604" i="14"/>
  <c r="D604" i="14"/>
  <c r="E604" i="14"/>
  <c r="F604" i="14"/>
  <c r="G604" i="14"/>
  <c r="H604" i="14"/>
  <c r="I604" i="14"/>
  <c r="J604" i="14"/>
  <c r="K604" i="14"/>
  <c r="L604" i="14"/>
  <c r="M604" i="14"/>
  <c r="N604" i="14"/>
  <c r="O604" i="14"/>
  <c r="P604" i="14"/>
  <c r="Q604" i="14"/>
  <c r="R604" i="14"/>
  <c r="C606" i="14"/>
  <c r="D606" i="14"/>
  <c r="E606" i="14"/>
  <c r="F606" i="14"/>
  <c r="G606" i="14"/>
  <c r="H606" i="14"/>
  <c r="I606" i="14"/>
  <c r="J606" i="14"/>
  <c r="K606" i="14"/>
  <c r="L606" i="14"/>
  <c r="M606" i="14"/>
  <c r="N606" i="14"/>
  <c r="O606" i="14"/>
  <c r="P606" i="14"/>
  <c r="Q606" i="14"/>
  <c r="R606" i="14"/>
  <c r="C607" i="14"/>
  <c r="D607" i="14"/>
  <c r="E607" i="14"/>
  <c r="F607" i="14"/>
  <c r="G607" i="14"/>
  <c r="H607" i="14"/>
  <c r="I607" i="14"/>
  <c r="J607" i="14"/>
  <c r="K607" i="14"/>
  <c r="L607" i="14"/>
  <c r="M607" i="14"/>
  <c r="N607" i="14"/>
  <c r="O607" i="14"/>
  <c r="P607" i="14"/>
  <c r="Q607" i="14"/>
  <c r="R607" i="14"/>
  <c r="C608" i="14"/>
  <c r="D608" i="14"/>
  <c r="E608" i="14"/>
  <c r="F608" i="14"/>
  <c r="G608" i="14"/>
  <c r="H608" i="14"/>
  <c r="I608" i="14"/>
  <c r="J608" i="14"/>
  <c r="K608" i="14"/>
  <c r="L608" i="14"/>
  <c r="M608" i="14"/>
  <c r="N608" i="14"/>
  <c r="O608" i="14"/>
  <c r="P608" i="14"/>
  <c r="Q608" i="14"/>
  <c r="R608" i="14"/>
  <c r="C609" i="14"/>
  <c r="D609" i="14"/>
  <c r="E609" i="14"/>
  <c r="F609" i="14"/>
  <c r="G609" i="14"/>
  <c r="H609" i="14"/>
  <c r="I609" i="14"/>
  <c r="J609" i="14"/>
  <c r="K609" i="14"/>
  <c r="L609" i="14"/>
  <c r="M609" i="14"/>
  <c r="N609" i="14"/>
  <c r="O609" i="14"/>
  <c r="P609" i="14"/>
  <c r="Q609" i="14"/>
  <c r="R609" i="14"/>
  <c r="D568" i="14"/>
  <c r="E568" i="14"/>
  <c r="F568" i="14"/>
  <c r="G568" i="14"/>
  <c r="H568" i="14"/>
  <c r="I568" i="14"/>
  <c r="J568" i="14"/>
  <c r="K568" i="14"/>
  <c r="L568" i="14"/>
  <c r="M568" i="14"/>
  <c r="N568" i="14"/>
  <c r="O568" i="14"/>
  <c r="P568" i="14"/>
  <c r="Q568" i="14"/>
  <c r="R568" i="14"/>
  <c r="C568" i="14"/>
  <c r="S521" i="14"/>
  <c r="U521" i="14" s="1"/>
  <c r="S522" i="14"/>
  <c r="U522" i="14" s="1"/>
  <c r="S523" i="14"/>
  <c r="U523" i="14" s="1"/>
  <c r="S524" i="14"/>
  <c r="U524" i="14" s="1"/>
  <c r="S525" i="14"/>
  <c r="U525" i="14" s="1"/>
  <c r="S526" i="14"/>
  <c r="U526" i="14" s="1"/>
  <c r="S527" i="14"/>
  <c r="U527" i="14" s="1"/>
  <c r="S528" i="14"/>
  <c r="U528" i="14" s="1"/>
  <c r="S529" i="14"/>
  <c r="U529" i="14" s="1"/>
  <c r="S530" i="14"/>
  <c r="U530" i="14" s="1"/>
  <c r="S531" i="14"/>
  <c r="U531" i="14" s="1"/>
  <c r="S532" i="14"/>
  <c r="U532" i="14" s="1"/>
  <c r="S533" i="14"/>
  <c r="U533" i="14" s="1"/>
  <c r="S534" i="14"/>
  <c r="U534" i="14" s="1"/>
  <c r="S535" i="14"/>
  <c r="U535" i="14" s="1"/>
  <c r="S536" i="14"/>
  <c r="U536" i="14" s="1"/>
  <c r="S537" i="14"/>
  <c r="U537" i="14" s="1"/>
  <c r="S538" i="14"/>
  <c r="U538" i="14" s="1"/>
  <c r="S539" i="14"/>
  <c r="U539" i="14" s="1"/>
  <c r="S540" i="14"/>
  <c r="U540" i="14" s="1"/>
  <c r="S541" i="14"/>
  <c r="U541" i="14" s="1"/>
  <c r="S542" i="14"/>
  <c r="U542" i="14" s="1"/>
  <c r="S543" i="14"/>
  <c r="U543" i="14" s="1"/>
  <c r="S544" i="14"/>
  <c r="U544" i="14" s="1"/>
  <c r="S545" i="14"/>
  <c r="U545" i="14" s="1"/>
  <c r="S546" i="14"/>
  <c r="U546" i="14" s="1"/>
  <c r="S547" i="14"/>
  <c r="U547" i="14" s="1"/>
  <c r="S548" i="14"/>
  <c r="U548" i="14" s="1"/>
  <c r="S549" i="14"/>
  <c r="U549" i="14" s="1"/>
  <c r="S550" i="14"/>
  <c r="U550" i="14" s="1"/>
  <c r="S551" i="14"/>
  <c r="U551" i="14" s="1"/>
  <c r="S552" i="14"/>
  <c r="U552" i="14" s="1"/>
  <c r="S553" i="14"/>
  <c r="U553" i="14" s="1"/>
  <c r="S554" i="14"/>
  <c r="U554" i="14" s="1"/>
  <c r="S555" i="14"/>
  <c r="U555" i="14" s="1"/>
  <c r="S556" i="14"/>
  <c r="U556" i="14" s="1"/>
  <c r="S557" i="14"/>
  <c r="U557" i="14" s="1"/>
  <c r="S558" i="14"/>
  <c r="U558" i="14" s="1"/>
  <c r="S559" i="14"/>
  <c r="U559" i="14" s="1"/>
  <c r="S560" i="14"/>
  <c r="U560" i="14" s="1"/>
  <c r="S561" i="14"/>
  <c r="U561" i="14" s="1"/>
  <c r="S562" i="14"/>
  <c r="U562" i="14" s="1"/>
  <c r="C563" i="14"/>
  <c r="D563" i="14"/>
  <c r="E563" i="14"/>
  <c r="F563" i="14"/>
  <c r="G563" i="14"/>
  <c r="H563" i="14"/>
  <c r="I563" i="14"/>
  <c r="J563" i="14"/>
  <c r="K563" i="14"/>
  <c r="L563" i="14"/>
  <c r="M563" i="14"/>
  <c r="N563" i="14"/>
  <c r="O563" i="14"/>
  <c r="P563" i="14"/>
  <c r="Q563" i="14"/>
  <c r="R563" i="14"/>
  <c r="T563" i="14"/>
  <c r="T610" i="14"/>
  <c r="S427" i="14"/>
  <c r="U427" i="14" s="1"/>
  <c r="A428" i="14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S428" i="14"/>
  <c r="U428" i="14"/>
  <c r="S429" i="14"/>
  <c r="U429" i="14" s="1"/>
  <c r="S430" i="14"/>
  <c r="U430" i="14" s="1"/>
  <c r="S431" i="14"/>
  <c r="U431" i="14" s="1"/>
  <c r="S432" i="14"/>
  <c r="U432" i="14" s="1"/>
  <c r="S433" i="14"/>
  <c r="U433" i="14" s="1"/>
  <c r="S434" i="14"/>
  <c r="U434" i="14" s="1"/>
  <c r="S435" i="14"/>
  <c r="U435" i="14" s="1"/>
  <c r="S436" i="14"/>
  <c r="U436" i="14" s="1"/>
  <c r="S437" i="14"/>
  <c r="U437" i="14" s="1"/>
  <c r="S438" i="14"/>
  <c r="U438" i="14" s="1"/>
  <c r="S439" i="14"/>
  <c r="U439" i="14" s="1"/>
  <c r="S440" i="14"/>
  <c r="U440" i="14" s="1"/>
  <c r="S441" i="14"/>
  <c r="U441" i="14" s="1"/>
  <c r="S442" i="14"/>
  <c r="U442" i="14" s="1"/>
  <c r="S443" i="14"/>
  <c r="U443" i="14" s="1"/>
  <c r="S444" i="14"/>
  <c r="U444" i="14" s="1"/>
  <c r="S445" i="14"/>
  <c r="U445" i="14" s="1"/>
  <c r="S446" i="14"/>
  <c r="U446" i="14" s="1"/>
  <c r="S447" i="14"/>
  <c r="U447" i="14" s="1"/>
  <c r="S448" i="14"/>
  <c r="U448" i="14" s="1"/>
  <c r="S449" i="14"/>
  <c r="U449" i="14" s="1"/>
  <c r="S450" i="14"/>
  <c r="U450" i="14" s="1"/>
  <c r="S451" i="14"/>
  <c r="U451" i="14" s="1"/>
  <c r="S452" i="14"/>
  <c r="U452" i="14" s="1"/>
  <c r="S453" i="14"/>
  <c r="U453" i="14" s="1"/>
  <c r="S454" i="14"/>
  <c r="U454" i="14" s="1"/>
  <c r="S455" i="14"/>
  <c r="U455" i="14" s="1"/>
  <c r="S456" i="14"/>
  <c r="U456" i="14" s="1"/>
  <c r="S457" i="14"/>
  <c r="U457" i="14" s="1"/>
  <c r="S458" i="14"/>
  <c r="U458" i="14" s="1"/>
  <c r="S459" i="14"/>
  <c r="U459" i="14" s="1"/>
  <c r="S460" i="14"/>
  <c r="U460" i="14"/>
  <c r="S461" i="14"/>
  <c r="U461" i="14" s="1"/>
  <c r="S462" i="14"/>
  <c r="U462" i="14" s="1"/>
  <c r="S463" i="14"/>
  <c r="U463" i="14" s="1"/>
  <c r="S464" i="14"/>
  <c r="U464" i="14" s="1"/>
  <c r="S465" i="14"/>
  <c r="U465" i="14" s="1"/>
  <c r="S466" i="14"/>
  <c r="U466" i="14" s="1"/>
  <c r="S467" i="14"/>
  <c r="U467" i="14" s="1"/>
  <c r="S468" i="14"/>
  <c r="U468" i="14" s="1"/>
  <c r="C469" i="14"/>
  <c r="D469" i="14"/>
  <c r="E469" i="14"/>
  <c r="F469" i="14"/>
  <c r="G469" i="14"/>
  <c r="H469" i="14"/>
  <c r="I469" i="14"/>
  <c r="J469" i="14"/>
  <c r="K469" i="14"/>
  <c r="L469" i="14"/>
  <c r="M469" i="14"/>
  <c r="N469" i="14"/>
  <c r="O469" i="14"/>
  <c r="P469" i="14"/>
  <c r="Q469" i="14"/>
  <c r="R469" i="14"/>
  <c r="T469" i="14"/>
  <c r="S474" i="14"/>
  <c r="U474" i="14" s="1"/>
  <c r="A475" i="14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S475" i="14"/>
  <c r="U475" i="14" s="1"/>
  <c r="S476" i="14"/>
  <c r="U476" i="14" s="1"/>
  <c r="S477" i="14"/>
  <c r="U477" i="14" s="1"/>
  <c r="S478" i="14"/>
  <c r="U478" i="14" s="1"/>
  <c r="S479" i="14"/>
  <c r="U479" i="14" s="1"/>
  <c r="S480" i="14"/>
  <c r="U480" i="14" s="1"/>
  <c r="S481" i="14"/>
  <c r="U481" i="14" s="1"/>
  <c r="S482" i="14"/>
  <c r="U482" i="14" s="1"/>
  <c r="S483" i="14"/>
  <c r="U483" i="14" s="1"/>
  <c r="S484" i="14"/>
  <c r="U484" i="14" s="1"/>
  <c r="S485" i="14"/>
  <c r="U485" i="14" s="1"/>
  <c r="S486" i="14"/>
  <c r="U486" i="14" s="1"/>
  <c r="S487" i="14"/>
  <c r="U487" i="14" s="1"/>
  <c r="S488" i="14"/>
  <c r="U488" i="14" s="1"/>
  <c r="S489" i="14"/>
  <c r="U489" i="14" s="1"/>
  <c r="S490" i="14"/>
  <c r="U490" i="14" s="1"/>
  <c r="S491" i="14"/>
  <c r="U491" i="14" s="1"/>
  <c r="S492" i="14"/>
  <c r="U492" i="14" s="1"/>
  <c r="S493" i="14"/>
  <c r="U493" i="14" s="1"/>
  <c r="S494" i="14"/>
  <c r="U494" i="14" s="1"/>
  <c r="S495" i="14"/>
  <c r="U495" i="14" s="1"/>
  <c r="S496" i="14"/>
  <c r="U496" i="14" s="1"/>
  <c r="S497" i="14"/>
  <c r="U497" i="14" s="1"/>
  <c r="S498" i="14"/>
  <c r="U498" i="14" s="1"/>
  <c r="S499" i="14"/>
  <c r="U499" i="14" s="1"/>
  <c r="S500" i="14"/>
  <c r="U500" i="14" s="1"/>
  <c r="S501" i="14"/>
  <c r="U501" i="14" s="1"/>
  <c r="S502" i="14"/>
  <c r="U502" i="14" s="1"/>
  <c r="S503" i="14"/>
  <c r="U503" i="14" s="1"/>
  <c r="S504" i="14"/>
  <c r="U504" i="14" s="1"/>
  <c r="S505" i="14"/>
  <c r="U505" i="14" s="1"/>
  <c r="S506" i="14"/>
  <c r="U506" i="14" s="1"/>
  <c r="S507" i="14"/>
  <c r="U507" i="14" s="1"/>
  <c r="S508" i="14"/>
  <c r="U508" i="14" s="1"/>
  <c r="S509" i="14"/>
  <c r="U509" i="14" s="1"/>
  <c r="S510" i="14"/>
  <c r="U510" i="14" s="1"/>
  <c r="S511" i="14"/>
  <c r="U511" i="14" s="1"/>
  <c r="S512" i="14"/>
  <c r="U512" i="14" s="1"/>
  <c r="S513" i="14"/>
  <c r="U513" i="14" s="1"/>
  <c r="S514" i="14"/>
  <c r="U514" i="14" s="1"/>
  <c r="A515" i="14"/>
  <c r="S515" i="14"/>
  <c r="U515" i="14" s="1"/>
  <c r="C516" i="14"/>
  <c r="D516" i="14"/>
  <c r="E516" i="14"/>
  <c r="F516" i="14"/>
  <c r="G516" i="14"/>
  <c r="H516" i="14"/>
  <c r="I516" i="14"/>
  <c r="J516" i="14"/>
  <c r="K516" i="14"/>
  <c r="L516" i="14"/>
  <c r="M516" i="14"/>
  <c r="N516" i="14"/>
  <c r="O516" i="14"/>
  <c r="P516" i="14"/>
  <c r="Q516" i="14"/>
  <c r="R516" i="14"/>
  <c r="T516" i="14"/>
  <c r="S380" i="14"/>
  <c r="U380" i="14" s="1"/>
  <c r="A381" i="14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S381" i="14"/>
  <c r="U381" i="14" s="1"/>
  <c r="S382" i="14"/>
  <c r="U382" i="14" s="1"/>
  <c r="S383" i="14"/>
  <c r="U383" i="14" s="1"/>
  <c r="S384" i="14"/>
  <c r="U384" i="14" s="1"/>
  <c r="S385" i="14"/>
  <c r="U385" i="14" s="1"/>
  <c r="S386" i="14"/>
  <c r="U386" i="14" s="1"/>
  <c r="S387" i="14"/>
  <c r="U387" i="14" s="1"/>
  <c r="S388" i="14"/>
  <c r="U388" i="14" s="1"/>
  <c r="S389" i="14"/>
  <c r="U389" i="14" s="1"/>
  <c r="S390" i="14"/>
  <c r="U390" i="14" s="1"/>
  <c r="S391" i="14"/>
  <c r="U391" i="14" s="1"/>
  <c r="S392" i="14"/>
  <c r="U392" i="14" s="1"/>
  <c r="S393" i="14"/>
  <c r="U393" i="14" s="1"/>
  <c r="S394" i="14"/>
  <c r="U394" i="14" s="1"/>
  <c r="S395" i="14"/>
  <c r="U395" i="14" s="1"/>
  <c r="S396" i="14"/>
  <c r="U396" i="14" s="1"/>
  <c r="S397" i="14"/>
  <c r="U397" i="14" s="1"/>
  <c r="S398" i="14"/>
  <c r="U398" i="14" s="1"/>
  <c r="S399" i="14"/>
  <c r="U399" i="14" s="1"/>
  <c r="S400" i="14"/>
  <c r="U400" i="14" s="1"/>
  <c r="S401" i="14"/>
  <c r="U401" i="14" s="1"/>
  <c r="S402" i="14"/>
  <c r="U402" i="14" s="1"/>
  <c r="S403" i="14"/>
  <c r="U403" i="14" s="1"/>
  <c r="S404" i="14"/>
  <c r="U404" i="14" s="1"/>
  <c r="S405" i="14"/>
  <c r="U405" i="14" s="1"/>
  <c r="S406" i="14"/>
  <c r="U406" i="14" s="1"/>
  <c r="S407" i="14"/>
  <c r="U407" i="14" s="1"/>
  <c r="S408" i="14"/>
  <c r="U408" i="14" s="1"/>
  <c r="S409" i="14"/>
  <c r="U409" i="14"/>
  <c r="S410" i="14"/>
  <c r="U410" i="14" s="1"/>
  <c r="S411" i="14"/>
  <c r="U411" i="14" s="1"/>
  <c r="S412" i="14"/>
  <c r="U412" i="14" s="1"/>
  <c r="S413" i="14"/>
  <c r="U413" i="14" s="1"/>
  <c r="S414" i="14"/>
  <c r="U414" i="14" s="1"/>
  <c r="S415" i="14"/>
  <c r="U415" i="14" s="1"/>
  <c r="S416" i="14"/>
  <c r="U416" i="14" s="1"/>
  <c r="S417" i="14"/>
  <c r="U417" i="14" s="1"/>
  <c r="S418" i="14"/>
  <c r="U418" i="14" s="1"/>
  <c r="S419" i="14"/>
  <c r="U419" i="14" s="1"/>
  <c r="S420" i="14"/>
  <c r="U420" i="14" s="1"/>
  <c r="S421" i="14"/>
  <c r="U421" i="14" s="1"/>
  <c r="C422" i="14"/>
  <c r="D422" i="14"/>
  <c r="E422" i="14"/>
  <c r="F422" i="14"/>
  <c r="G422" i="14"/>
  <c r="H422" i="14"/>
  <c r="I422" i="14"/>
  <c r="J422" i="14"/>
  <c r="K422" i="14"/>
  <c r="L422" i="14"/>
  <c r="M422" i="14"/>
  <c r="N422" i="14"/>
  <c r="O422" i="14"/>
  <c r="P422" i="14"/>
  <c r="Q422" i="14"/>
  <c r="R422" i="14"/>
  <c r="T422" i="14"/>
  <c r="S333" i="14"/>
  <c r="U333" i="14" s="1"/>
  <c r="A334" i="14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S334" i="14"/>
  <c r="U334" i="14" s="1"/>
  <c r="S335" i="14"/>
  <c r="U335" i="14" s="1"/>
  <c r="S336" i="14"/>
  <c r="U336" i="14" s="1"/>
  <c r="S337" i="14"/>
  <c r="U337" i="14" s="1"/>
  <c r="S338" i="14"/>
  <c r="U338" i="14" s="1"/>
  <c r="S339" i="14"/>
  <c r="U339" i="14" s="1"/>
  <c r="S340" i="14"/>
  <c r="U340" i="14" s="1"/>
  <c r="S341" i="14"/>
  <c r="U341" i="14" s="1"/>
  <c r="S342" i="14"/>
  <c r="U342" i="14" s="1"/>
  <c r="S343" i="14"/>
  <c r="U343" i="14" s="1"/>
  <c r="S344" i="14"/>
  <c r="U344" i="14" s="1"/>
  <c r="S345" i="14"/>
  <c r="U345" i="14" s="1"/>
  <c r="S346" i="14"/>
  <c r="U346" i="14" s="1"/>
  <c r="S347" i="14"/>
  <c r="U347" i="14" s="1"/>
  <c r="S348" i="14"/>
  <c r="U348" i="14" s="1"/>
  <c r="S349" i="14"/>
  <c r="U349" i="14" s="1"/>
  <c r="S350" i="14"/>
  <c r="U350" i="14" s="1"/>
  <c r="S351" i="14"/>
  <c r="U351" i="14" s="1"/>
  <c r="S352" i="14"/>
  <c r="U352" i="14" s="1"/>
  <c r="S353" i="14"/>
  <c r="U353" i="14" s="1"/>
  <c r="S354" i="14"/>
  <c r="U354" i="14" s="1"/>
  <c r="S355" i="14"/>
  <c r="U355" i="14" s="1"/>
  <c r="S356" i="14"/>
  <c r="U356" i="14" s="1"/>
  <c r="S357" i="14"/>
  <c r="U357" i="14" s="1"/>
  <c r="S358" i="14"/>
  <c r="U358" i="14" s="1"/>
  <c r="S359" i="14"/>
  <c r="U359" i="14" s="1"/>
  <c r="S360" i="14"/>
  <c r="U360" i="14" s="1"/>
  <c r="S361" i="14"/>
  <c r="U361" i="14" s="1"/>
  <c r="S362" i="14"/>
  <c r="U362" i="14" s="1"/>
  <c r="S363" i="14"/>
  <c r="U363" i="14" s="1"/>
  <c r="S364" i="14"/>
  <c r="U364" i="14" s="1"/>
  <c r="S365" i="14"/>
  <c r="U365" i="14" s="1"/>
  <c r="S366" i="14"/>
  <c r="U366" i="14" s="1"/>
  <c r="S367" i="14"/>
  <c r="U367" i="14" s="1"/>
  <c r="S368" i="14"/>
  <c r="U368" i="14" s="1"/>
  <c r="S369" i="14"/>
  <c r="U369" i="14" s="1"/>
  <c r="S370" i="14"/>
  <c r="U370" i="14" s="1"/>
  <c r="S371" i="14"/>
  <c r="U371" i="14" s="1"/>
  <c r="S372" i="14"/>
  <c r="U372" i="14" s="1"/>
  <c r="S373" i="14"/>
  <c r="U373" i="14" s="1"/>
  <c r="S374" i="14"/>
  <c r="U374" i="14" s="1"/>
  <c r="C375" i="14"/>
  <c r="D375" i="14"/>
  <c r="E375" i="14"/>
  <c r="F375" i="14"/>
  <c r="G375" i="14"/>
  <c r="H375" i="14"/>
  <c r="I375" i="14"/>
  <c r="J375" i="14"/>
  <c r="K375" i="14"/>
  <c r="L375" i="14"/>
  <c r="M375" i="14"/>
  <c r="N375" i="14"/>
  <c r="O375" i="14"/>
  <c r="P375" i="14"/>
  <c r="Q375" i="14"/>
  <c r="R375" i="14"/>
  <c r="T375" i="14"/>
  <c r="S287" i="14"/>
  <c r="U287" i="14" s="1"/>
  <c r="A288" i="14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S288" i="14"/>
  <c r="U288" i="14" s="1"/>
  <c r="S289" i="14"/>
  <c r="U289" i="14" s="1"/>
  <c r="S290" i="14"/>
  <c r="U290" i="14" s="1"/>
  <c r="S291" i="14"/>
  <c r="U291" i="14" s="1"/>
  <c r="S292" i="14"/>
  <c r="U292" i="14" s="1"/>
  <c r="S293" i="14"/>
  <c r="U293" i="14" s="1"/>
  <c r="S294" i="14"/>
  <c r="U294" i="14" s="1"/>
  <c r="S295" i="14"/>
  <c r="U295" i="14" s="1"/>
  <c r="S296" i="14"/>
  <c r="U296" i="14" s="1"/>
  <c r="S297" i="14"/>
  <c r="U297" i="14" s="1"/>
  <c r="S298" i="14"/>
  <c r="U298" i="14" s="1"/>
  <c r="S299" i="14"/>
  <c r="U299" i="14" s="1"/>
  <c r="S300" i="14"/>
  <c r="U300" i="14" s="1"/>
  <c r="S301" i="14"/>
  <c r="U301" i="14" s="1"/>
  <c r="S302" i="14"/>
  <c r="U302" i="14" s="1"/>
  <c r="S303" i="14"/>
  <c r="U303" i="14" s="1"/>
  <c r="S304" i="14"/>
  <c r="U304" i="14" s="1"/>
  <c r="S305" i="14"/>
  <c r="U305" i="14" s="1"/>
  <c r="S306" i="14"/>
  <c r="U306" i="14" s="1"/>
  <c r="S307" i="14"/>
  <c r="U307" i="14" s="1"/>
  <c r="S308" i="14"/>
  <c r="U308" i="14" s="1"/>
  <c r="S309" i="14"/>
  <c r="U309" i="14" s="1"/>
  <c r="S310" i="14"/>
  <c r="U310" i="14" s="1"/>
  <c r="S311" i="14"/>
  <c r="U311" i="14" s="1"/>
  <c r="S312" i="14"/>
  <c r="U312" i="14" s="1"/>
  <c r="S313" i="14"/>
  <c r="U313" i="14" s="1"/>
  <c r="S314" i="14"/>
  <c r="U314" i="14" s="1"/>
  <c r="S315" i="14"/>
  <c r="U315" i="14" s="1"/>
  <c r="S316" i="14"/>
  <c r="U316" i="14" s="1"/>
  <c r="S317" i="14"/>
  <c r="U317" i="14" s="1"/>
  <c r="S318" i="14"/>
  <c r="U318" i="14" s="1"/>
  <c r="S319" i="14"/>
  <c r="U319" i="14" s="1"/>
  <c r="S320" i="14"/>
  <c r="U320" i="14" s="1"/>
  <c r="S321" i="14"/>
  <c r="U321" i="14" s="1"/>
  <c r="S322" i="14"/>
  <c r="U322" i="14" s="1"/>
  <c r="S323" i="14"/>
  <c r="U323" i="14" s="1"/>
  <c r="S324" i="14"/>
  <c r="U324" i="14" s="1"/>
  <c r="S325" i="14"/>
  <c r="U325" i="14" s="1"/>
  <c r="S326" i="14"/>
  <c r="U326" i="14" s="1"/>
  <c r="S327" i="14"/>
  <c r="U327" i="14" s="1"/>
  <c r="C328" i="14"/>
  <c r="D328" i="14"/>
  <c r="E328" i="14"/>
  <c r="F328" i="14"/>
  <c r="G328" i="14"/>
  <c r="H328" i="14"/>
  <c r="I328" i="14"/>
  <c r="J328" i="14"/>
  <c r="K328" i="14"/>
  <c r="L328" i="14"/>
  <c r="M328" i="14"/>
  <c r="N328" i="14"/>
  <c r="O328" i="14"/>
  <c r="P328" i="14"/>
  <c r="Q328" i="14"/>
  <c r="R328" i="14"/>
  <c r="T328" i="14"/>
  <c r="S240" i="14"/>
  <c r="U240" i="14" s="1"/>
  <c r="A241" i="14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S241" i="14"/>
  <c r="U241" i="14" s="1"/>
  <c r="S242" i="14"/>
  <c r="U242" i="14" s="1"/>
  <c r="S243" i="14"/>
  <c r="U243" i="14" s="1"/>
  <c r="S244" i="14"/>
  <c r="U244" i="14" s="1"/>
  <c r="S245" i="14"/>
  <c r="U245" i="14" s="1"/>
  <c r="S246" i="14"/>
  <c r="U246" i="14" s="1"/>
  <c r="S247" i="14"/>
  <c r="U247" i="14" s="1"/>
  <c r="S248" i="14"/>
  <c r="U248" i="14" s="1"/>
  <c r="S249" i="14"/>
  <c r="U249" i="14" s="1"/>
  <c r="S250" i="14"/>
  <c r="U250" i="14" s="1"/>
  <c r="S251" i="14"/>
  <c r="U251" i="14" s="1"/>
  <c r="S252" i="14"/>
  <c r="U252" i="14" s="1"/>
  <c r="S253" i="14"/>
  <c r="U253" i="14" s="1"/>
  <c r="S254" i="14"/>
  <c r="U254" i="14" s="1"/>
  <c r="S255" i="14"/>
  <c r="U255" i="14" s="1"/>
  <c r="S256" i="14"/>
  <c r="U256" i="14" s="1"/>
  <c r="S257" i="14"/>
  <c r="U257" i="14" s="1"/>
  <c r="S258" i="14"/>
  <c r="U258" i="14" s="1"/>
  <c r="S259" i="14"/>
  <c r="U259" i="14" s="1"/>
  <c r="S260" i="14"/>
  <c r="U260" i="14" s="1"/>
  <c r="S261" i="14"/>
  <c r="U261" i="14" s="1"/>
  <c r="S262" i="14"/>
  <c r="U262" i="14" s="1"/>
  <c r="S263" i="14"/>
  <c r="U263" i="14" s="1"/>
  <c r="S264" i="14"/>
  <c r="U264" i="14" s="1"/>
  <c r="S265" i="14"/>
  <c r="U265" i="14" s="1"/>
  <c r="S266" i="14"/>
  <c r="U266" i="14" s="1"/>
  <c r="S267" i="14"/>
  <c r="U267" i="14" s="1"/>
  <c r="S268" i="14"/>
  <c r="U268" i="14" s="1"/>
  <c r="S269" i="14"/>
  <c r="U269" i="14" s="1"/>
  <c r="S270" i="14"/>
  <c r="U270" i="14" s="1"/>
  <c r="S271" i="14"/>
  <c r="U271" i="14" s="1"/>
  <c r="S272" i="14"/>
  <c r="U272" i="14" s="1"/>
  <c r="S273" i="14"/>
  <c r="U273" i="14" s="1"/>
  <c r="S274" i="14"/>
  <c r="U274" i="14" s="1"/>
  <c r="S275" i="14"/>
  <c r="U275" i="14" s="1"/>
  <c r="S276" i="14"/>
  <c r="U276" i="14" s="1"/>
  <c r="S277" i="14"/>
  <c r="U277" i="14" s="1"/>
  <c r="S278" i="14"/>
  <c r="U278" i="14" s="1"/>
  <c r="S279" i="14"/>
  <c r="U279" i="14" s="1"/>
  <c r="S280" i="14"/>
  <c r="U280" i="14" s="1"/>
  <c r="S281" i="14"/>
  <c r="U281" i="14" s="1"/>
  <c r="C282" i="14"/>
  <c r="D282" i="14"/>
  <c r="E282" i="14"/>
  <c r="F282" i="14"/>
  <c r="G282" i="14"/>
  <c r="H282" i="14"/>
  <c r="I282" i="14"/>
  <c r="J282" i="14"/>
  <c r="K282" i="14"/>
  <c r="L282" i="14"/>
  <c r="M282" i="14"/>
  <c r="N282" i="14"/>
  <c r="O282" i="14"/>
  <c r="P282" i="14"/>
  <c r="Q282" i="14"/>
  <c r="R282" i="14"/>
  <c r="T282" i="14"/>
  <c r="S193" i="14"/>
  <c r="U193" i="14" s="1"/>
  <c r="A194" i="14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S194" i="14"/>
  <c r="U194" i="14" s="1"/>
  <c r="S195" i="14"/>
  <c r="U195" i="14" s="1"/>
  <c r="S196" i="14"/>
  <c r="U196" i="14" s="1"/>
  <c r="S197" i="14"/>
  <c r="U197" i="14" s="1"/>
  <c r="S198" i="14"/>
  <c r="U198" i="14" s="1"/>
  <c r="S199" i="14"/>
  <c r="U199" i="14" s="1"/>
  <c r="S200" i="14"/>
  <c r="U200" i="14"/>
  <c r="S201" i="14"/>
  <c r="U201" i="14" s="1"/>
  <c r="S202" i="14"/>
  <c r="U202" i="14" s="1"/>
  <c r="S203" i="14"/>
  <c r="U203" i="14" s="1"/>
  <c r="S204" i="14"/>
  <c r="U204" i="14" s="1"/>
  <c r="S205" i="14"/>
  <c r="U205" i="14" s="1"/>
  <c r="S206" i="14"/>
  <c r="U206" i="14" s="1"/>
  <c r="S207" i="14"/>
  <c r="U207" i="14" s="1"/>
  <c r="S208" i="14"/>
  <c r="U208" i="14" s="1"/>
  <c r="S209" i="14"/>
  <c r="U209" i="14" s="1"/>
  <c r="S210" i="14"/>
  <c r="U210" i="14" s="1"/>
  <c r="S211" i="14"/>
  <c r="U211" i="14" s="1"/>
  <c r="S212" i="14"/>
  <c r="U212" i="14" s="1"/>
  <c r="S213" i="14"/>
  <c r="U213" i="14" s="1"/>
  <c r="S214" i="14"/>
  <c r="U214" i="14" s="1"/>
  <c r="S215" i="14"/>
  <c r="U215" i="14" s="1"/>
  <c r="S216" i="14"/>
  <c r="U216" i="14" s="1"/>
  <c r="S217" i="14"/>
  <c r="U217" i="14" s="1"/>
  <c r="S218" i="14"/>
  <c r="U218" i="14" s="1"/>
  <c r="S219" i="14"/>
  <c r="U219" i="14" s="1"/>
  <c r="S220" i="14"/>
  <c r="U220" i="14" s="1"/>
  <c r="S221" i="14"/>
  <c r="U221" i="14" s="1"/>
  <c r="S222" i="14"/>
  <c r="U222" i="14" s="1"/>
  <c r="S223" i="14"/>
  <c r="U223" i="14" s="1"/>
  <c r="S224" i="14"/>
  <c r="U224" i="14" s="1"/>
  <c r="S225" i="14"/>
  <c r="U225" i="14" s="1"/>
  <c r="S226" i="14"/>
  <c r="U226" i="14" s="1"/>
  <c r="S227" i="14"/>
  <c r="U227" i="14" s="1"/>
  <c r="S228" i="14"/>
  <c r="U228" i="14" s="1"/>
  <c r="S229" i="14"/>
  <c r="U229" i="14" s="1"/>
  <c r="S230" i="14"/>
  <c r="U230" i="14" s="1"/>
  <c r="S231" i="14"/>
  <c r="U231" i="14" s="1"/>
  <c r="S232" i="14"/>
  <c r="U232" i="14" s="1"/>
  <c r="S233" i="14"/>
  <c r="U233" i="14" s="1"/>
  <c r="S234" i="14"/>
  <c r="U234" i="14" s="1"/>
  <c r="C235" i="14"/>
  <c r="D235" i="14"/>
  <c r="E235" i="14"/>
  <c r="F235" i="14"/>
  <c r="G235" i="14"/>
  <c r="H235" i="14"/>
  <c r="I235" i="14"/>
  <c r="J235" i="14"/>
  <c r="K235" i="14"/>
  <c r="L235" i="14"/>
  <c r="M235" i="14"/>
  <c r="N235" i="14"/>
  <c r="O235" i="14"/>
  <c r="P235" i="14"/>
  <c r="Q235" i="14"/>
  <c r="R235" i="14"/>
  <c r="T235" i="14"/>
  <c r="S146" i="14"/>
  <c r="U146" i="14" s="1"/>
  <c r="A147" i="14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S147" i="14"/>
  <c r="U147" i="14" s="1"/>
  <c r="S148" i="14"/>
  <c r="U148" i="14" s="1"/>
  <c r="S149" i="14"/>
  <c r="U149" i="14" s="1"/>
  <c r="S150" i="14"/>
  <c r="U150" i="14" s="1"/>
  <c r="S151" i="14"/>
  <c r="U151" i="14" s="1"/>
  <c r="S152" i="14"/>
  <c r="U152" i="14" s="1"/>
  <c r="S153" i="14"/>
  <c r="U153" i="14" s="1"/>
  <c r="S154" i="14"/>
  <c r="U154" i="14" s="1"/>
  <c r="S155" i="14"/>
  <c r="U155" i="14" s="1"/>
  <c r="S156" i="14"/>
  <c r="U156" i="14" s="1"/>
  <c r="S157" i="14"/>
  <c r="U157" i="14" s="1"/>
  <c r="S158" i="14"/>
  <c r="U158" i="14" s="1"/>
  <c r="S159" i="14"/>
  <c r="U159" i="14" s="1"/>
  <c r="S160" i="14"/>
  <c r="U160" i="14" s="1"/>
  <c r="S161" i="14"/>
  <c r="U161" i="14" s="1"/>
  <c r="S162" i="14"/>
  <c r="U162" i="14" s="1"/>
  <c r="S163" i="14"/>
  <c r="U163" i="14" s="1"/>
  <c r="S164" i="14"/>
  <c r="U164" i="14" s="1"/>
  <c r="S165" i="14"/>
  <c r="U165" i="14" s="1"/>
  <c r="S166" i="14"/>
  <c r="U166" i="14" s="1"/>
  <c r="S167" i="14"/>
  <c r="U167" i="14" s="1"/>
  <c r="S168" i="14"/>
  <c r="U168" i="14" s="1"/>
  <c r="S169" i="14"/>
  <c r="U169" i="14" s="1"/>
  <c r="S170" i="14"/>
  <c r="U170" i="14" s="1"/>
  <c r="S171" i="14"/>
  <c r="U171" i="14" s="1"/>
  <c r="S172" i="14"/>
  <c r="U172" i="14" s="1"/>
  <c r="S173" i="14"/>
  <c r="U173" i="14" s="1"/>
  <c r="S174" i="14"/>
  <c r="U174" i="14" s="1"/>
  <c r="S175" i="14"/>
  <c r="U175" i="14" s="1"/>
  <c r="S176" i="14"/>
  <c r="U176" i="14" s="1"/>
  <c r="S177" i="14"/>
  <c r="U177" i="14" s="1"/>
  <c r="S178" i="14"/>
  <c r="U178" i="14" s="1"/>
  <c r="S179" i="14"/>
  <c r="U179" i="14" s="1"/>
  <c r="S180" i="14"/>
  <c r="U180" i="14" s="1"/>
  <c r="S181" i="14"/>
  <c r="U181" i="14" s="1"/>
  <c r="S182" i="14"/>
  <c r="U182" i="14" s="1"/>
  <c r="S183" i="14"/>
  <c r="U183" i="14" s="1"/>
  <c r="S184" i="14"/>
  <c r="U184" i="14" s="1"/>
  <c r="S185" i="14"/>
  <c r="U185" i="14" s="1"/>
  <c r="S186" i="14"/>
  <c r="U186" i="14" s="1"/>
  <c r="S187" i="14"/>
  <c r="U187" i="14" s="1"/>
  <c r="C188" i="14"/>
  <c r="D188" i="14"/>
  <c r="E188" i="14"/>
  <c r="F188" i="14"/>
  <c r="G188" i="14"/>
  <c r="H188" i="14"/>
  <c r="I188" i="14"/>
  <c r="J188" i="14"/>
  <c r="K188" i="14"/>
  <c r="L188" i="14"/>
  <c r="M188" i="14"/>
  <c r="N188" i="14"/>
  <c r="O188" i="14"/>
  <c r="P188" i="14"/>
  <c r="Q188" i="14"/>
  <c r="R188" i="14"/>
  <c r="T188" i="14"/>
  <c r="S99" i="14"/>
  <c r="U99" i="14" s="1"/>
  <c r="A100" i="14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S100" i="14"/>
  <c r="U100" i="14" s="1"/>
  <c r="S101" i="14"/>
  <c r="U101" i="14" s="1"/>
  <c r="S102" i="14"/>
  <c r="U102" i="14" s="1"/>
  <c r="S103" i="14"/>
  <c r="U103" i="14" s="1"/>
  <c r="S104" i="14"/>
  <c r="U104" i="14" s="1"/>
  <c r="S105" i="14"/>
  <c r="U105" i="14" s="1"/>
  <c r="S106" i="14"/>
  <c r="U106" i="14" s="1"/>
  <c r="S107" i="14"/>
  <c r="U107" i="14" s="1"/>
  <c r="S108" i="14"/>
  <c r="U108" i="14" s="1"/>
  <c r="S109" i="14"/>
  <c r="U109" i="14" s="1"/>
  <c r="S110" i="14"/>
  <c r="U110" i="14" s="1"/>
  <c r="S111" i="14"/>
  <c r="U111" i="14" s="1"/>
  <c r="S112" i="14"/>
  <c r="U112" i="14" s="1"/>
  <c r="S113" i="14"/>
  <c r="U113" i="14" s="1"/>
  <c r="S114" i="14"/>
  <c r="U114" i="14"/>
  <c r="S115" i="14"/>
  <c r="U115" i="14" s="1"/>
  <c r="S116" i="14"/>
  <c r="U116" i="14" s="1"/>
  <c r="S117" i="14"/>
  <c r="U117" i="14" s="1"/>
  <c r="S118" i="14"/>
  <c r="U118" i="14" s="1"/>
  <c r="S119" i="14"/>
  <c r="U119" i="14" s="1"/>
  <c r="S120" i="14"/>
  <c r="U120" i="14" s="1"/>
  <c r="S121" i="14"/>
  <c r="U121" i="14" s="1"/>
  <c r="S122" i="14"/>
  <c r="U122" i="14" s="1"/>
  <c r="S123" i="14"/>
  <c r="U123" i="14" s="1"/>
  <c r="S124" i="14"/>
  <c r="U124" i="14" s="1"/>
  <c r="S125" i="14"/>
  <c r="U125" i="14" s="1"/>
  <c r="S126" i="14"/>
  <c r="U126" i="14" s="1"/>
  <c r="S127" i="14"/>
  <c r="U127" i="14" s="1"/>
  <c r="S128" i="14"/>
  <c r="U128" i="14" s="1"/>
  <c r="S129" i="14"/>
  <c r="U129" i="14" s="1"/>
  <c r="S130" i="14"/>
  <c r="U130" i="14" s="1"/>
  <c r="S131" i="14"/>
  <c r="U131" i="14" s="1"/>
  <c r="S132" i="14"/>
  <c r="U132" i="14" s="1"/>
  <c r="S133" i="14"/>
  <c r="U133" i="14" s="1"/>
  <c r="S134" i="14"/>
  <c r="U134" i="14" s="1"/>
  <c r="S135" i="14"/>
  <c r="U135" i="14" s="1"/>
  <c r="S136" i="14"/>
  <c r="U136" i="14" s="1"/>
  <c r="S137" i="14"/>
  <c r="U137" i="14" s="1"/>
  <c r="S138" i="14"/>
  <c r="U138" i="14"/>
  <c r="S139" i="14"/>
  <c r="U139" i="14" s="1"/>
  <c r="S140" i="14"/>
  <c r="U140" i="14" s="1"/>
  <c r="C141" i="14"/>
  <c r="D141" i="14"/>
  <c r="E141" i="14"/>
  <c r="F141" i="14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T141" i="14"/>
  <c r="S52" i="14"/>
  <c r="U52" i="14" s="1"/>
  <c r="A53" i="14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S53" i="14"/>
  <c r="U53" i="14" s="1"/>
  <c r="S54" i="14"/>
  <c r="U54" i="14" s="1"/>
  <c r="S55" i="14"/>
  <c r="U55" i="14" s="1"/>
  <c r="S56" i="14"/>
  <c r="U56" i="14" s="1"/>
  <c r="S57" i="14"/>
  <c r="U57" i="14" s="1"/>
  <c r="S58" i="14"/>
  <c r="U58" i="14" s="1"/>
  <c r="S59" i="14"/>
  <c r="U59" i="14" s="1"/>
  <c r="S60" i="14"/>
  <c r="U60" i="14" s="1"/>
  <c r="S61" i="14"/>
  <c r="U61" i="14" s="1"/>
  <c r="S62" i="14"/>
  <c r="U62" i="14" s="1"/>
  <c r="S63" i="14"/>
  <c r="U63" i="14" s="1"/>
  <c r="S64" i="14"/>
  <c r="U64" i="14" s="1"/>
  <c r="S65" i="14"/>
  <c r="U65" i="14" s="1"/>
  <c r="S66" i="14"/>
  <c r="U66" i="14" s="1"/>
  <c r="S67" i="14"/>
  <c r="U67" i="14" s="1"/>
  <c r="S68" i="14"/>
  <c r="U68" i="14" s="1"/>
  <c r="S69" i="14"/>
  <c r="U69" i="14" s="1"/>
  <c r="S70" i="14"/>
  <c r="U70" i="14" s="1"/>
  <c r="S71" i="14"/>
  <c r="U71" i="14" s="1"/>
  <c r="S72" i="14"/>
  <c r="U72" i="14" s="1"/>
  <c r="S73" i="14"/>
  <c r="U73" i="14" s="1"/>
  <c r="S74" i="14"/>
  <c r="U74" i="14" s="1"/>
  <c r="S75" i="14"/>
  <c r="U75" i="14" s="1"/>
  <c r="S76" i="14"/>
  <c r="U76" i="14" s="1"/>
  <c r="S77" i="14"/>
  <c r="U77" i="14" s="1"/>
  <c r="S78" i="14"/>
  <c r="U78" i="14" s="1"/>
  <c r="S79" i="14"/>
  <c r="U79" i="14" s="1"/>
  <c r="S80" i="14"/>
  <c r="U80" i="14" s="1"/>
  <c r="S81" i="14"/>
  <c r="U81" i="14" s="1"/>
  <c r="S82" i="14"/>
  <c r="U82" i="14" s="1"/>
  <c r="S83" i="14"/>
  <c r="U83" i="14" s="1"/>
  <c r="S84" i="14"/>
  <c r="U84" i="14" s="1"/>
  <c r="S85" i="14"/>
  <c r="U85" i="14" s="1"/>
  <c r="S86" i="14"/>
  <c r="U86" i="14" s="1"/>
  <c r="S87" i="14"/>
  <c r="U87" i="14" s="1"/>
  <c r="S88" i="14"/>
  <c r="U88" i="14" s="1"/>
  <c r="S89" i="14"/>
  <c r="U89" i="14" s="1"/>
  <c r="S90" i="14"/>
  <c r="U90" i="14" s="1"/>
  <c r="S91" i="14"/>
  <c r="U91" i="14" s="1"/>
  <c r="S92" i="14"/>
  <c r="U92" i="14" s="1"/>
  <c r="S93" i="14"/>
  <c r="U93" i="14" s="1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T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S46" i="14"/>
  <c r="U46" i="14" s="1"/>
  <c r="S45" i="14"/>
  <c r="U45" i="14" s="1"/>
  <c r="S44" i="14"/>
  <c r="U44" i="14" s="1"/>
  <c r="S43" i="14"/>
  <c r="U43" i="14" s="1"/>
  <c r="S42" i="14"/>
  <c r="U42" i="14" s="1"/>
  <c r="S41" i="14"/>
  <c r="U41" i="14" s="1"/>
  <c r="S40" i="14"/>
  <c r="U40" i="14" s="1"/>
  <c r="S39" i="14"/>
  <c r="U39" i="14" s="1"/>
  <c r="S38" i="14"/>
  <c r="U38" i="14" s="1"/>
  <c r="S37" i="14"/>
  <c r="U37" i="14" s="1"/>
  <c r="S36" i="14"/>
  <c r="U36" i="14" s="1"/>
  <c r="S35" i="14"/>
  <c r="U35" i="14" s="1"/>
  <c r="S34" i="14"/>
  <c r="U34" i="14" s="1"/>
  <c r="S33" i="14"/>
  <c r="U33" i="14" s="1"/>
  <c r="S32" i="14"/>
  <c r="U32" i="14" s="1"/>
  <c r="S31" i="14"/>
  <c r="U31" i="14" s="1"/>
  <c r="S30" i="14"/>
  <c r="U30" i="14" s="1"/>
  <c r="S29" i="14"/>
  <c r="U29" i="14" s="1"/>
  <c r="S28" i="14"/>
  <c r="U28" i="14" s="1"/>
  <c r="S27" i="14"/>
  <c r="U27" i="14" s="1"/>
  <c r="S26" i="14"/>
  <c r="U26" i="14" s="1"/>
  <c r="S25" i="14"/>
  <c r="U25" i="14" s="1"/>
  <c r="S24" i="14"/>
  <c r="U24" i="14" s="1"/>
  <c r="S23" i="14"/>
  <c r="U23" i="14" s="1"/>
  <c r="S22" i="14"/>
  <c r="U22" i="14" s="1"/>
  <c r="S21" i="14"/>
  <c r="U21" i="14" s="1"/>
  <c r="S20" i="14"/>
  <c r="U20" i="14" s="1"/>
  <c r="S19" i="14"/>
  <c r="U19" i="14" s="1"/>
  <c r="S18" i="14"/>
  <c r="U18" i="14" s="1"/>
  <c r="S17" i="14"/>
  <c r="U17" i="14" s="1"/>
  <c r="S16" i="14"/>
  <c r="U16" i="14" s="1"/>
  <c r="S15" i="14"/>
  <c r="U15" i="14" s="1"/>
  <c r="S14" i="14"/>
  <c r="U14" i="14" s="1"/>
  <c r="S13" i="14"/>
  <c r="U13" i="14" s="1"/>
  <c r="S12" i="14"/>
  <c r="U12" i="14" s="1"/>
  <c r="S11" i="14"/>
  <c r="U11" i="14" s="1"/>
  <c r="S10" i="14"/>
  <c r="U10" i="14" s="1"/>
  <c r="S9" i="14"/>
  <c r="U9" i="14" s="1"/>
  <c r="S8" i="14"/>
  <c r="U8" i="14" s="1"/>
  <c r="S7" i="14"/>
  <c r="U7" i="14" s="1"/>
  <c r="S6" i="14"/>
  <c r="U6" i="14" s="1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S5" i="14"/>
  <c r="AA36" i="10" l="1"/>
  <c r="AB36" i="10" s="1"/>
  <c r="AD36" i="10" s="1"/>
  <c r="AE36" i="10" s="1"/>
  <c r="AG36" i="10" s="1"/>
  <c r="AH36" i="10" s="1"/>
  <c r="AA34" i="10"/>
  <c r="AB34" i="10" s="1"/>
  <c r="AD34" i="10" s="1"/>
  <c r="AE34" i="10" s="1"/>
  <c r="AG34" i="10" s="1"/>
  <c r="AH34" i="10" s="1"/>
  <c r="AJ34" i="10" s="1"/>
  <c r="AK34" i="10" s="1"/>
  <c r="AM34" i="10" s="1"/>
  <c r="AN34" i="10" s="1"/>
  <c r="AP34" i="10" s="1"/>
  <c r="AU34" i="10" s="1"/>
  <c r="AA33" i="10"/>
  <c r="AB33" i="10" s="1"/>
  <c r="AD33" i="10" s="1"/>
  <c r="AE33" i="10" s="1"/>
  <c r="AG33" i="10" s="1"/>
  <c r="AH33" i="10" s="1"/>
  <c r="AJ33" i="10" s="1"/>
  <c r="AK33" i="10" s="1"/>
  <c r="AA35" i="10"/>
  <c r="AB35" i="10" s="1"/>
  <c r="AD35" i="10" s="1"/>
  <c r="AE35" i="10" s="1"/>
  <c r="AG35" i="10" s="1"/>
  <c r="AH35" i="10" s="1"/>
  <c r="R610" i="14"/>
  <c r="D5" i="15" s="1"/>
  <c r="F5" i="15" s="1"/>
  <c r="V32" i="10"/>
  <c r="X32" i="10" s="1"/>
  <c r="S282" i="14"/>
  <c r="S188" i="14"/>
  <c r="S608" i="14"/>
  <c r="U608" i="14" s="1"/>
  <c r="S609" i="14"/>
  <c r="U609" i="14" s="1"/>
  <c r="H610" i="14"/>
  <c r="S141" i="14"/>
  <c r="L610" i="14"/>
  <c r="J610" i="14"/>
  <c r="S568" i="14"/>
  <c r="U568" i="14" s="1"/>
  <c r="P610" i="14"/>
  <c r="S592" i="14"/>
  <c r="U592" i="14" s="1"/>
  <c r="Q610" i="14"/>
  <c r="D11" i="15" s="1"/>
  <c r="F11" i="15" s="1"/>
  <c r="O610" i="14"/>
  <c r="D7" i="15" s="1"/>
  <c r="F7" i="15" s="1"/>
  <c r="M610" i="14"/>
  <c r="S596" i="14"/>
  <c r="U596" i="14" s="1"/>
  <c r="S588" i="14"/>
  <c r="U588" i="14" s="1"/>
  <c r="S584" i="14"/>
  <c r="U584" i="14" s="1"/>
  <c r="S574" i="14"/>
  <c r="U574" i="14" s="1"/>
  <c r="S569" i="14"/>
  <c r="U569" i="14" s="1"/>
  <c r="S598" i="14"/>
  <c r="U598" i="14" s="1"/>
  <c r="S594" i="14"/>
  <c r="U594" i="14" s="1"/>
  <c r="S583" i="14"/>
  <c r="U583" i="14" s="1"/>
  <c r="S581" i="14"/>
  <c r="U581" i="14" s="1"/>
  <c r="S576" i="14"/>
  <c r="U576" i="14" s="1"/>
  <c r="S575" i="14"/>
  <c r="U575" i="14" s="1"/>
  <c r="S602" i="14"/>
  <c r="U602" i="14" s="1"/>
  <c r="N610" i="14"/>
  <c r="D6" i="15" s="1"/>
  <c r="F6" i="15" s="1"/>
  <c r="S589" i="14"/>
  <c r="U589" i="14" s="1"/>
  <c r="S595" i="14"/>
  <c r="U595" i="14" s="1"/>
  <c r="S580" i="14"/>
  <c r="U580" i="14" s="1"/>
  <c r="S579" i="14"/>
  <c r="U579" i="14" s="1"/>
  <c r="K610" i="14"/>
  <c r="S600" i="14"/>
  <c r="U600" i="14" s="1"/>
  <c r="S591" i="14"/>
  <c r="U591" i="14" s="1"/>
  <c r="S587" i="14"/>
  <c r="U587" i="14" s="1"/>
  <c r="S586" i="14"/>
  <c r="U586" i="14" s="1"/>
  <c r="S582" i="14"/>
  <c r="U582" i="14" s="1"/>
  <c r="I610" i="14"/>
  <c r="D13" i="15" s="1"/>
  <c r="F13" i="15" s="1"/>
  <c r="S577" i="14"/>
  <c r="U577" i="14" s="1"/>
  <c r="S573" i="14"/>
  <c r="U573" i="14" s="1"/>
  <c r="S572" i="14"/>
  <c r="U572" i="14" s="1"/>
  <c r="S590" i="14"/>
  <c r="U590" i="14" s="1"/>
  <c r="S578" i="14"/>
  <c r="U578" i="14" s="1"/>
  <c r="S585" i="14"/>
  <c r="U585" i="14" s="1"/>
  <c r="S604" i="14"/>
  <c r="U604" i="14" s="1"/>
  <c r="S606" i="14"/>
  <c r="U606" i="14" s="1"/>
  <c r="S593" i="14"/>
  <c r="U593" i="14" s="1"/>
  <c r="S607" i="14"/>
  <c r="U607" i="14" s="1"/>
  <c r="S605" i="14"/>
  <c r="U605" i="14" s="1"/>
  <c r="S603" i="14"/>
  <c r="U603" i="14" s="1"/>
  <c r="S601" i="14"/>
  <c r="U601" i="14" s="1"/>
  <c r="S599" i="14"/>
  <c r="U599" i="14" s="1"/>
  <c r="E610" i="14"/>
  <c r="D4" i="15" s="1"/>
  <c r="F4" i="15" s="1"/>
  <c r="S597" i="14"/>
  <c r="U597" i="14" s="1"/>
  <c r="G610" i="14"/>
  <c r="D9" i="15" s="1"/>
  <c r="F9" i="15" s="1"/>
  <c r="C610" i="14"/>
  <c r="S571" i="14"/>
  <c r="U571" i="14" s="1"/>
  <c r="F610" i="14"/>
  <c r="D8" i="15" s="1"/>
  <c r="F8" i="15" s="1"/>
  <c r="S570" i="14"/>
  <c r="U570" i="14" s="1"/>
  <c r="D610" i="14"/>
  <c r="D3" i="15" s="1"/>
  <c r="F3" i="15" s="1"/>
  <c r="S94" i="14"/>
  <c r="U516" i="14"/>
  <c r="S563" i="14"/>
  <c r="U563" i="14"/>
  <c r="U469" i="14"/>
  <c r="S516" i="14"/>
  <c r="S469" i="14"/>
  <c r="U422" i="14"/>
  <c r="S422" i="14"/>
  <c r="U375" i="14"/>
  <c r="S375" i="14"/>
  <c r="U328" i="14"/>
  <c r="S328" i="14"/>
  <c r="U282" i="14"/>
  <c r="U235" i="14"/>
  <c r="S235" i="14"/>
  <c r="U188" i="14"/>
  <c r="U141" i="14"/>
  <c r="U94" i="14"/>
  <c r="S47" i="14"/>
  <c r="U5" i="14"/>
  <c r="U47" i="14" s="1"/>
  <c r="AJ35" i="10" l="1"/>
  <c r="AK35" i="10" s="1"/>
  <c r="AM35" i="10" s="1"/>
  <c r="AN35" i="10" s="1"/>
  <c r="AK36" i="10"/>
  <c r="AM36" i="10" s="1"/>
  <c r="AN36" i="10" s="1"/>
  <c r="AP36" i="10" s="1"/>
  <c r="AU36" i="10" s="1"/>
  <c r="AJ36" i="10"/>
  <c r="AV34" i="10"/>
  <c r="BB34" i="10" s="1"/>
  <c r="BD34" i="10" s="1"/>
  <c r="BF34" i="10" s="1"/>
  <c r="Y32" i="10"/>
  <c r="AM33" i="10"/>
  <c r="AN33" i="10" s="1"/>
  <c r="AQ34" i="10"/>
  <c r="D14" i="15"/>
  <c r="F14" i="15" s="1"/>
  <c r="S610" i="14"/>
  <c r="U610" i="14"/>
  <c r="N41" i="9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R37" i="13"/>
  <c r="R36" i="13"/>
  <c r="R35" i="13"/>
  <c r="R34" i="13"/>
  <c r="R33" i="13"/>
  <c r="R32" i="13"/>
  <c r="Q31" i="13"/>
  <c r="R31" i="13" s="1"/>
  <c r="R30" i="13"/>
  <c r="Q30" i="13"/>
  <c r="Q29" i="13"/>
  <c r="R29" i="13" s="1"/>
  <c r="Q28" i="13"/>
  <c r="R28" i="13" s="1"/>
  <c r="Q27" i="13"/>
  <c r="R27" i="13" s="1"/>
  <c r="R26" i="13"/>
  <c r="Q26" i="13"/>
  <c r="Q25" i="13"/>
  <c r="R25" i="13" s="1"/>
  <c r="Q24" i="13"/>
  <c r="R24" i="13" s="1"/>
  <c r="Q23" i="13"/>
  <c r="R23" i="13" s="1"/>
  <c r="R22" i="13"/>
  <c r="Q22" i="13"/>
  <c r="Q21" i="13"/>
  <c r="R21" i="13" s="1"/>
  <c r="Q20" i="13"/>
  <c r="R20" i="13" s="1"/>
  <c r="Q19" i="13"/>
  <c r="R19" i="13" s="1"/>
  <c r="R18" i="13"/>
  <c r="Q18" i="13"/>
  <c r="Q17" i="13"/>
  <c r="R17" i="13" s="1"/>
  <c r="Q16" i="13"/>
  <c r="R16" i="13" s="1"/>
  <c r="Q15" i="13"/>
  <c r="R15" i="13" s="1"/>
  <c r="Q14" i="13"/>
  <c r="R14" i="13" s="1"/>
  <c r="Q13" i="13"/>
  <c r="R13" i="13" s="1"/>
  <c r="Q12" i="13"/>
  <c r="R12" i="13" s="1"/>
  <c r="Q11" i="13"/>
  <c r="R11" i="13" s="1"/>
  <c r="R10" i="13"/>
  <c r="Q10" i="13"/>
  <c r="Q9" i="13"/>
  <c r="R9" i="13" s="1"/>
  <c r="Q8" i="13"/>
  <c r="R8" i="13" s="1"/>
  <c r="Q7" i="13"/>
  <c r="R7" i="13" s="1"/>
  <c r="R6" i="13"/>
  <c r="Q6" i="13"/>
  <c r="Q5" i="13"/>
  <c r="R5" i="13" s="1"/>
  <c r="Q4" i="13"/>
  <c r="R4" i="13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Q3" i="13"/>
  <c r="AA32" i="10" l="1"/>
  <c r="AB32" i="10" s="1"/>
  <c r="AV36" i="10"/>
  <c r="BB36" i="10" s="1"/>
  <c r="BD36" i="10" s="1"/>
  <c r="BF36" i="10" s="1"/>
  <c r="AP35" i="10"/>
  <c r="AU35" i="10" s="1"/>
  <c r="AP33" i="10"/>
  <c r="AU33" i="10" s="1"/>
  <c r="AQ36" i="10"/>
  <c r="Q43" i="13"/>
  <c r="D44" i="13" s="1"/>
  <c r="R3" i="13"/>
  <c r="R43" i="13" s="1"/>
  <c r="AD32" i="10" l="1"/>
  <c r="AE32" i="10" s="1"/>
  <c r="AG32" i="10" s="1"/>
  <c r="AH32" i="10" s="1"/>
  <c r="AQ33" i="10"/>
  <c r="AV33" i="10"/>
  <c r="BB33" i="10" s="1"/>
  <c r="BD33" i="10" s="1"/>
  <c r="BF33" i="10" s="1"/>
  <c r="AQ35" i="10"/>
  <c r="AV35" i="10"/>
  <c r="BB35" i="10" s="1"/>
  <c r="BD35" i="10" s="1"/>
  <c r="BF35" i="10" s="1"/>
  <c r="A357" i="12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D383" i="12"/>
  <c r="E383" i="12"/>
  <c r="F383" i="12"/>
  <c r="G383" i="12"/>
  <c r="H383" i="12" s="1"/>
  <c r="A229" i="12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D255" i="12"/>
  <c r="E255" i="12"/>
  <c r="F255" i="12"/>
  <c r="G255" i="12"/>
  <c r="A261" i="12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D287" i="12"/>
  <c r="E287" i="12"/>
  <c r="F287" i="12"/>
  <c r="G287" i="12"/>
  <c r="A293" i="12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D319" i="12"/>
  <c r="E319" i="12"/>
  <c r="F319" i="12"/>
  <c r="G319" i="12"/>
  <c r="A325" i="12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D351" i="12"/>
  <c r="E351" i="12"/>
  <c r="F351" i="12"/>
  <c r="G351" i="12"/>
  <c r="A165" i="12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D191" i="12"/>
  <c r="E191" i="12"/>
  <c r="F191" i="12"/>
  <c r="G191" i="12"/>
  <c r="A197" i="12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D223" i="12"/>
  <c r="E223" i="12"/>
  <c r="F223" i="12"/>
  <c r="G223" i="12"/>
  <c r="A134" i="12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D159" i="12"/>
  <c r="E159" i="12"/>
  <c r="F159" i="12"/>
  <c r="G159" i="12"/>
  <c r="A70" i="12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D96" i="12"/>
  <c r="E96" i="12"/>
  <c r="F96" i="12"/>
  <c r="G96" i="12"/>
  <c r="A102" i="12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D128" i="12"/>
  <c r="E128" i="12"/>
  <c r="F128" i="12"/>
  <c r="G128" i="12"/>
  <c r="A38" i="12"/>
  <c r="A39" i="12" s="1"/>
  <c r="A40" i="12" s="1"/>
  <c r="A41" i="12" s="1"/>
  <c r="A42" i="12" s="1"/>
  <c r="D64" i="12"/>
  <c r="E64" i="12"/>
  <c r="F64" i="12"/>
  <c r="G64" i="12"/>
  <c r="G32" i="12"/>
  <c r="H32" i="12" s="1"/>
  <c r="F32" i="12"/>
  <c r="E32" i="12"/>
  <c r="D32" i="12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6" i="12"/>
  <c r="AJ32" i="10" l="1"/>
  <c r="AK32" i="10" s="1"/>
  <c r="AM32" i="10" s="1"/>
  <c r="AN32" i="10" s="1"/>
  <c r="A152" i="12"/>
  <c r="A153" i="12" s="1"/>
  <c r="A154" i="12" s="1"/>
  <c r="A155" i="12" s="1"/>
  <c r="A156" i="12" s="1"/>
  <c r="A157" i="12" s="1"/>
  <c r="A158" i="12" s="1"/>
  <c r="A159" i="12" s="1"/>
  <c r="H223" i="12"/>
  <c r="A45" i="12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43" i="12"/>
  <c r="A44" i="12" s="1"/>
  <c r="H255" i="12"/>
  <c r="H191" i="12"/>
  <c r="H159" i="12"/>
  <c r="H128" i="12"/>
  <c r="H96" i="12"/>
  <c r="H64" i="12"/>
  <c r="D5" i="10"/>
  <c r="D39" i="10" s="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Q40" i="11"/>
  <c r="AS40" i="11" s="1"/>
  <c r="AQ37" i="11"/>
  <c r="AS37" i="11" s="1"/>
  <c r="AQ34" i="11"/>
  <c r="AS34" i="11" s="1"/>
  <c r="AQ33" i="11"/>
  <c r="AS33" i="11" s="1"/>
  <c r="AQ32" i="11"/>
  <c r="AS32" i="11" s="1"/>
  <c r="AQ31" i="11"/>
  <c r="AS31" i="11" s="1"/>
  <c r="AQ30" i="11"/>
  <c r="AS30" i="11" s="1"/>
  <c r="AQ29" i="11"/>
  <c r="AS29" i="11" s="1"/>
  <c r="AQ28" i="11"/>
  <c r="AS28" i="11" s="1"/>
  <c r="AQ27" i="11"/>
  <c r="AS27" i="11" s="1"/>
  <c r="AQ26" i="11"/>
  <c r="AS26" i="11" s="1"/>
  <c r="AQ25" i="11"/>
  <c r="AS25" i="11" s="1"/>
  <c r="AQ24" i="11"/>
  <c r="AS24" i="11" s="1"/>
  <c r="AQ23" i="11"/>
  <c r="AS23" i="11" s="1"/>
  <c r="AQ22" i="11"/>
  <c r="AS22" i="11" s="1"/>
  <c r="AQ21" i="11"/>
  <c r="AS21" i="11" s="1"/>
  <c r="AQ20" i="11"/>
  <c r="AS20" i="11" s="1"/>
  <c r="AQ19" i="11"/>
  <c r="AS19" i="11" s="1"/>
  <c r="AQ18" i="11"/>
  <c r="AS18" i="11" s="1"/>
  <c r="AQ17" i="11"/>
  <c r="AS17" i="11" s="1"/>
  <c r="AQ16" i="11"/>
  <c r="AS16" i="11" s="1"/>
  <c r="AQ15" i="11"/>
  <c r="AS15" i="11" s="1"/>
  <c r="AQ14" i="11"/>
  <c r="AS14" i="11" s="1"/>
  <c r="AQ13" i="11"/>
  <c r="AS13" i="11" s="1"/>
  <c r="AQ12" i="11"/>
  <c r="AS12" i="11" s="1"/>
  <c r="AQ11" i="11"/>
  <c r="AS11" i="11" s="1"/>
  <c r="AQ10" i="11"/>
  <c r="AS10" i="11" s="1"/>
  <c r="AQ9" i="11"/>
  <c r="AS9" i="11" s="1"/>
  <c r="AQ8" i="11"/>
  <c r="AS8" i="11" s="1"/>
  <c r="AQ7" i="11"/>
  <c r="AS7" i="11" s="1"/>
  <c r="AQ6" i="11"/>
  <c r="AS6" i="11" s="1"/>
  <c r="AQ5" i="11"/>
  <c r="AS5" i="11" s="1"/>
  <c r="BD46" i="10"/>
  <c r="BF46" i="10" s="1"/>
  <c r="BC46" i="10"/>
  <c r="BA46" i="10"/>
  <c r="AZ46" i="10"/>
  <c r="AY46" i="10"/>
  <c r="AY47" i="10" s="1"/>
  <c r="AX46" i="10"/>
  <c r="AW46" i="10"/>
  <c r="AO46" i="10"/>
  <c r="AL46" i="10"/>
  <c r="AL47" i="10" s="1"/>
  <c r="AI46" i="10"/>
  <c r="AF46" i="10"/>
  <c r="AC46" i="10"/>
  <c r="Z46" i="10"/>
  <c r="Z47" i="10" s="1"/>
  <c r="W46" i="10"/>
  <c r="W47" i="10" s="1"/>
  <c r="T46" i="10"/>
  <c r="Q46" i="10"/>
  <c r="N46" i="10"/>
  <c r="N47" i="10" s="1"/>
  <c r="K46" i="10"/>
  <c r="K47" i="10" s="1"/>
  <c r="H46" i="10"/>
  <c r="D46" i="10"/>
  <c r="C46" i="10"/>
  <c r="C47" i="10" s="1"/>
  <c r="BF45" i="10"/>
  <c r="AT45" i="10"/>
  <c r="AT46" i="10" s="1"/>
  <c r="AS45" i="10"/>
  <c r="AS46" i="10" s="1"/>
  <c r="AR45" i="10"/>
  <c r="AR46" i="10" s="1"/>
  <c r="E45" i="10"/>
  <c r="E46" i="10" s="1"/>
  <c r="A45" i="10"/>
  <c r="BF44" i="10"/>
  <c r="BF43" i="10"/>
  <c r="BF42" i="10"/>
  <c r="BF41" i="10"/>
  <c r="BF40" i="10"/>
  <c r="BC47" i="10"/>
  <c r="BA47" i="10"/>
  <c r="AZ47" i="10"/>
  <c r="AX47" i="10"/>
  <c r="AW47" i="10"/>
  <c r="AO47" i="10"/>
  <c r="AI47" i="10"/>
  <c r="AF47" i="10"/>
  <c r="AC47" i="10"/>
  <c r="T47" i="10"/>
  <c r="Q47" i="10"/>
  <c r="H47" i="10"/>
  <c r="AT31" i="10"/>
  <c r="AS31" i="10"/>
  <c r="AR31" i="10"/>
  <c r="E31" i="10"/>
  <c r="F31" i="10" s="1"/>
  <c r="AT30" i="10"/>
  <c r="AS30" i="10"/>
  <c r="AR30" i="10"/>
  <c r="E30" i="10"/>
  <c r="F30" i="10" s="1"/>
  <c r="AT29" i="10"/>
  <c r="AS29" i="10"/>
  <c r="AR29" i="10"/>
  <c r="E29" i="10"/>
  <c r="F29" i="10" s="1"/>
  <c r="AT28" i="10"/>
  <c r="AS28" i="10"/>
  <c r="AR28" i="10"/>
  <c r="E28" i="10"/>
  <c r="F28" i="10" s="1"/>
  <c r="AT27" i="10"/>
  <c r="AS27" i="10"/>
  <c r="AR27" i="10"/>
  <c r="E27" i="10"/>
  <c r="F27" i="10" s="1"/>
  <c r="G27" i="10" s="1"/>
  <c r="I27" i="10" s="1"/>
  <c r="AT26" i="10"/>
  <c r="AS26" i="10"/>
  <c r="AR26" i="10"/>
  <c r="E26" i="10"/>
  <c r="F26" i="10" s="1"/>
  <c r="AT25" i="10"/>
  <c r="AS25" i="10"/>
  <c r="AR25" i="10"/>
  <c r="E25" i="10"/>
  <c r="F25" i="10" s="1"/>
  <c r="AT24" i="10"/>
  <c r="AS24" i="10"/>
  <c r="AR24" i="10"/>
  <c r="E24" i="10"/>
  <c r="F24" i="10" s="1"/>
  <c r="AT23" i="10"/>
  <c r="AS23" i="10"/>
  <c r="AR23" i="10"/>
  <c r="E23" i="10"/>
  <c r="F23" i="10" s="1"/>
  <c r="G23" i="10" s="1"/>
  <c r="I23" i="10" s="1"/>
  <c r="AT22" i="10"/>
  <c r="AS22" i="10"/>
  <c r="AR22" i="10"/>
  <c r="E22" i="10"/>
  <c r="F22" i="10" s="1"/>
  <c r="AT21" i="10"/>
  <c r="AS21" i="10"/>
  <c r="AR21" i="10"/>
  <c r="E21" i="10"/>
  <c r="F21" i="10" s="1"/>
  <c r="AT20" i="10"/>
  <c r="AS20" i="10"/>
  <c r="AR20" i="10"/>
  <c r="E20" i="10"/>
  <c r="F20" i="10" s="1"/>
  <c r="AT19" i="10"/>
  <c r="AS19" i="10"/>
  <c r="AR19" i="10"/>
  <c r="E19" i="10"/>
  <c r="F19" i="10" s="1"/>
  <c r="G19" i="10" s="1"/>
  <c r="I19" i="10" s="1"/>
  <c r="AT18" i="10"/>
  <c r="AS18" i="10"/>
  <c r="AR18" i="10"/>
  <c r="E18" i="10"/>
  <c r="F18" i="10" s="1"/>
  <c r="AT17" i="10"/>
  <c r="AS17" i="10"/>
  <c r="AR17" i="10"/>
  <c r="E17" i="10"/>
  <c r="F17" i="10" s="1"/>
  <c r="AT16" i="10"/>
  <c r="AS16" i="10"/>
  <c r="AR16" i="10"/>
  <c r="E16" i="10"/>
  <c r="F16" i="10" s="1"/>
  <c r="AT15" i="10"/>
  <c r="AS15" i="10"/>
  <c r="AR15" i="10"/>
  <c r="E15" i="10"/>
  <c r="F15" i="10" s="1"/>
  <c r="AT14" i="10"/>
  <c r="AS14" i="10"/>
  <c r="AR14" i="10"/>
  <c r="E14" i="10"/>
  <c r="F14" i="10" s="1"/>
  <c r="AT13" i="10"/>
  <c r="AS13" i="10"/>
  <c r="AR13" i="10"/>
  <c r="E13" i="10"/>
  <c r="F13" i="10" s="1"/>
  <c r="AT12" i="10"/>
  <c r="AS12" i="10"/>
  <c r="AR12" i="10"/>
  <c r="E12" i="10"/>
  <c r="F12" i="10" s="1"/>
  <c r="AT11" i="10"/>
  <c r="AS11" i="10"/>
  <c r="AR11" i="10"/>
  <c r="E11" i="10"/>
  <c r="F11" i="10" s="1"/>
  <c r="AT10" i="10"/>
  <c r="AS10" i="10"/>
  <c r="AR10" i="10"/>
  <c r="E10" i="10"/>
  <c r="F10" i="10" s="1"/>
  <c r="AT9" i="10"/>
  <c r="AS9" i="10"/>
  <c r="AR9" i="10"/>
  <c r="E9" i="10"/>
  <c r="F9" i="10" s="1"/>
  <c r="AT8" i="10"/>
  <c r="AS8" i="10"/>
  <c r="AR8" i="10"/>
  <c r="E8" i="10"/>
  <c r="F8" i="10" s="1"/>
  <c r="AT7" i="10"/>
  <c r="AS7" i="10"/>
  <c r="AR7" i="10"/>
  <c r="E7" i="10"/>
  <c r="F7" i="10" s="1"/>
  <c r="AT6" i="10"/>
  <c r="AT39" i="10" s="1"/>
  <c r="AS6" i="10"/>
  <c r="AR6" i="10"/>
  <c r="E6" i="10"/>
  <c r="F6" i="10" s="1"/>
  <c r="AT5" i="10"/>
  <c r="AS5" i="10"/>
  <c r="AS39" i="10" s="1"/>
  <c r="AR5" i="10"/>
  <c r="E5" i="10"/>
  <c r="F5" i="10" s="1"/>
  <c r="AR3" i="10"/>
  <c r="AP32" i="10" l="1"/>
  <c r="AU32" i="10" s="1"/>
  <c r="AR39" i="10"/>
  <c r="AS41" i="11"/>
  <c r="AQ41" i="11"/>
  <c r="AP41" i="11"/>
  <c r="AR47" i="10"/>
  <c r="D47" i="10"/>
  <c r="AT47" i="10"/>
  <c r="G21" i="10"/>
  <c r="I21" i="10" s="1"/>
  <c r="G25" i="10"/>
  <c r="I25" i="10" s="1"/>
  <c r="AR41" i="11"/>
  <c r="E39" i="10"/>
  <c r="E47" i="10" s="1"/>
  <c r="AS47" i="10"/>
  <c r="G20" i="10"/>
  <c r="I20" i="10" s="1"/>
  <c r="G22" i="10"/>
  <c r="I22" i="10" s="1"/>
  <c r="G24" i="10"/>
  <c r="I24" i="10" s="1"/>
  <c r="G26" i="10"/>
  <c r="G29" i="10"/>
  <c r="G31" i="10"/>
  <c r="I31" i="10" s="1"/>
  <c r="F45" i="10"/>
  <c r="F46" i="10" s="1"/>
  <c r="G28" i="10"/>
  <c r="G30" i="10"/>
  <c r="G6" i="10"/>
  <c r="G7" i="10"/>
  <c r="G8" i="10"/>
  <c r="I8" i="10" s="1"/>
  <c r="J8" i="10" s="1"/>
  <c r="J25" i="10"/>
  <c r="L25" i="10" s="1"/>
  <c r="J27" i="10"/>
  <c r="L27" i="10" s="1"/>
  <c r="G9" i="10"/>
  <c r="I9" i="10" s="1"/>
  <c r="G10" i="10"/>
  <c r="I10" i="10" s="1"/>
  <c r="G11" i="10"/>
  <c r="I11" i="10" s="1"/>
  <c r="G12" i="10"/>
  <c r="I12" i="10" s="1"/>
  <c r="G13" i="10"/>
  <c r="I13" i="10" s="1"/>
  <c r="G14" i="10"/>
  <c r="I14" i="10" s="1"/>
  <c r="G15" i="10"/>
  <c r="I15" i="10" s="1"/>
  <c r="G16" i="10"/>
  <c r="I16" i="10" s="1"/>
  <c r="G17" i="10"/>
  <c r="I17" i="10" s="1"/>
  <c r="G18" i="10"/>
  <c r="I18" i="10" s="1"/>
  <c r="J19" i="10"/>
  <c r="L19" i="10" s="1"/>
  <c r="J23" i="10"/>
  <c r="L23" i="10" s="1"/>
  <c r="G45" i="10"/>
  <c r="F264" i="9"/>
  <c r="E264" i="9"/>
  <c r="D264" i="9"/>
  <c r="G263" i="9"/>
  <c r="L262" i="9"/>
  <c r="G262" i="9"/>
  <c r="M261" i="9"/>
  <c r="G261" i="9"/>
  <c r="M260" i="9"/>
  <c r="M259" i="9"/>
  <c r="M262" i="9" s="1"/>
  <c r="F257" i="9"/>
  <c r="E257" i="9"/>
  <c r="D257" i="9"/>
  <c r="G254" i="9"/>
  <c r="G253" i="9"/>
  <c r="G252" i="9"/>
  <c r="G251" i="9"/>
  <c r="G250" i="9"/>
  <c r="L249" i="9"/>
  <c r="G249" i="9"/>
  <c r="M248" i="9"/>
  <c r="G248" i="9"/>
  <c r="M247" i="9"/>
  <c r="G247" i="9"/>
  <c r="M246" i="9"/>
  <c r="G246" i="9"/>
  <c r="M245" i="9"/>
  <c r="G245" i="9"/>
  <c r="M244" i="9"/>
  <c r="M249" i="9" s="1"/>
  <c r="G241" i="9"/>
  <c r="G240" i="9"/>
  <c r="G239" i="9"/>
  <c r="G238" i="9"/>
  <c r="G237" i="9"/>
  <c r="G236" i="9"/>
  <c r="G235" i="9"/>
  <c r="G234" i="9"/>
  <c r="L233" i="9"/>
  <c r="G233" i="9"/>
  <c r="M232" i="9"/>
  <c r="G232" i="9"/>
  <c r="M231" i="9"/>
  <c r="G231" i="9"/>
  <c r="M230" i="9"/>
  <c r="M233" i="9" s="1"/>
  <c r="G230" i="9"/>
  <c r="F228" i="9"/>
  <c r="E228" i="9"/>
  <c r="D228" i="9"/>
  <c r="G227" i="9"/>
  <c r="G226" i="9"/>
  <c r="G225" i="9"/>
  <c r="G224" i="9"/>
  <c r="G223" i="9"/>
  <c r="G222" i="9"/>
  <c r="G221" i="9"/>
  <c r="G220" i="9"/>
  <c r="G219" i="9"/>
  <c r="G218" i="9"/>
  <c r="L217" i="9"/>
  <c r="G217" i="9"/>
  <c r="M216" i="9"/>
  <c r="G216" i="9"/>
  <c r="M215" i="9"/>
  <c r="G215" i="9"/>
  <c r="M214" i="9"/>
  <c r="M217" i="9" s="1"/>
  <c r="G214" i="9"/>
  <c r="F212" i="9"/>
  <c r="E212" i="9"/>
  <c r="D212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L197" i="9"/>
  <c r="G197" i="9"/>
  <c r="M196" i="9"/>
  <c r="G196" i="9"/>
  <c r="M195" i="9"/>
  <c r="G195" i="9"/>
  <c r="M194" i="9"/>
  <c r="G194" i="9"/>
  <c r="M193" i="9"/>
  <c r="M197" i="9" s="1"/>
  <c r="G193" i="9"/>
  <c r="F191" i="9"/>
  <c r="E191" i="9"/>
  <c r="D191" i="9"/>
  <c r="G189" i="9"/>
  <c r="G188" i="9"/>
  <c r="G187" i="9"/>
  <c r="G186" i="9"/>
  <c r="G185" i="9"/>
  <c r="G184" i="9"/>
  <c r="G183" i="9"/>
  <c r="G182" i="9"/>
  <c r="M181" i="9"/>
  <c r="G181" i="9"/>
  <c r="M180" i="9"/>
  <c r="G180" i="9"/>
  <c r="M179" i="9"/>
  <c r="G179" i="9"/>
  <c r="M178" i="9"/>
  <c r="G178" i="9"/>
  <c r="G191" i="9" s="1"/>
  <c r="F176" i="9"/>
  <c r="E176" i="9"/>
  <c r="D176" i="9"/>
  <c r="G173" i="9"/>
  <c r="L172" i="9"/>
  <c r="G172" i="9"/>
  <c r="G171" i="9"/>
  <c r="G169" i="9"/>
  <c r="G168" i="9"/>
  <c r="G167" i="9"/>
  <c r="M166" i="9"/>
  <c r="M165" i="9"/>
  <c r="G165" i="9"/>
  <c r="M164" i="9"/>
  <c r="G164" i="9"/>
  <c r="M163" i="9"/>
  <c r="M172" i="9" s="1"/>
  <c r="G163" i="9"/>
  <c r="F161" i="9"/>
  <c r="E161" i="9"/>
  <c r="D161" i="9"/>
  <c r="G159" i="9"/>
  <c r="G158" i="9"/>
  <c r="G157" i="9"/>
  <c r="G156" i="9"/>
  <c r="G155" i="9"/>
  <c r="G154" i="9"/>
  <c r="G153" i="9"/>
  <c r="L152" i="9"/>
  <c r="G152" i="9"/>
  <c r="M151" i="9"/>
  <c r="G151" i="9"/>
  <c r="M150" i="9"/>
  <c r="G150" i="9"/>
  <c r="M149" i="9"/>
  <c r="G149" i="9"/>
  <c r="M148" i="9"/>
  <c r="M152" i="9" s="1"/>
  <c r="G148" i="9"/>
  <c r="F146" i="9"/>
  <c r="E146" i="9"/>
  <c r="D146" i="9"/>
  <c r="G142" i="9"/>
  <c r="G141" i="9"/>
  <c r="G140" i="9"/>
  <c r="G139" i="9"/>
  <c r="G138" i="9"/>
  <c r="L137" i="9"/>
  <c r="G137" i="9"/>
  <c r="M136" i="9"/>
  <c r="G136" i="9"/>
  <c r="M135" i="9"/>
  <c r="G135" i="9"/>
  <c r="M134" i="9"/>
  <c r="G134" i="9"/>
  <c r="M133" i="9"/>
  <c r="G133" i="9"/>
  <c r="F131" i="9"/>
  <c r="E131" i="9"/>
  <c r="D131" i="9"/>
  <c r="G130" i="9"/>
  <c r="G129" i="9"/>
  <c r="L128" i="9"/>
  <c r="G128" i="9"/>
  <c r="G127" i="9"/>
  <c r="G126" i="9"/>
  <c r="G125" i="9"/>
  <c r="G124" i="9"/>
  <c r="G123" i="9"/>
  <c r="M122" i="9"/>
  <c r="G122" i="9"/>
  <c r="G121" i="9"/>
  <c r="G120" i="9"/>
  <c r="M119" i="9"/>
  <c r="G119" i="9"/>
  <c r="F117" i="9"/>
  <c r="E117" i="9"/>
  <c r="D117" i="9"/>
  <c r="G116" i="9"/>
  <c r="G115" i="9"/>
  <c r="G114" i="9"/>
  <c r="G113" i="9"/>
  <c r="G112" i="9"/>
  <c r="G111" i="9"/>
  <c r="G110" i="9"/>
  <c r="L109" i="9"/>
  <c r="G109" i="9"/>
  <c r="G108" i="9"/>
  <c r="G107" i="9"/>
  <c r="G106" i="9"/>
  <c r="M105" i="9"/>
  <c r="G105" i="9"/>
  <c r="M104" i="9"/>
  <c r="G104" i="9"/>
  <c r="M103" i="9"/>
  <c r="G103" i="9"/>
  <c r="M102" i="9"/>
  <c r="G102" i="9"/>
  <c r="G117" i="9" s="1"/>
  <c r="F100" i="9"/>
  <c r="E100" i="9"/>
  <c r="D100" i="9"/>
  <c r="L99" i="9"/>
  <c r="G99" i="9"/>
  <c r="G98" i="9"/>
  <c r="G97" i="9"/>
  <c r="G96" i="9"/>
  <c r="G95" i="9"/>
  <c r="G94" i="9"/>
  <c r="G93" i="9"/>
  <c r="G92" i="9"/>
  <c r="G91" i="9"/>
  <c r="G90" i="9"/>
  <c r="G89" i="9"/>
  <c r="M88" i="9"/>
  <c r="G88" i="9"/>
  <c r="M87" i="9"/>
  <c r="G87" i="9"/>
  <c r="F85" i="9"/>
  <c r="E85" i="9"/>
  <c r="D85" i="9"/>
  <c r="G84" i="9"/>
  <c r="G83" i="9"/>
  <c r="G82" i="9"/>
  <c r="G80" i="9"/>
  <c r="G79" i="9"/>
  <c r="L78" i="9"/>
  <c r="G78" i="9"/>
  <c r="G77" i="9"/>
  <c r="G76" i="9"/>
  <c r="G75" i="9"/>
  <c r="P74" i="9"/>
  <c r="G74" i="9"/>
  <c r="G73" i="9"/>
  <c r="M72" i="9"/>
  <c r="G72" i="9"/>
  <c r="M71" i="9"/>
  <c r="G71" i="9"/>
  <c r="F69" i="9"/>
  <c r="E69" i="9"/>
  <c r="D69" i="9"/>
  <c r="I69" i="9" s="1"/>
  <c r="G68" i="9"/>
  <c r="G67" i="9"/>
  <c r="G66" i="9"/>
  <c r="G65" i="9"/>
  <c r="G64" i="9"/>
  <c r="G63" i="9"/>
  <c r="G62" i="9"/>
  <c r="G61" i="9"/>
  <c r="G60" i="9"/>
  <c r="L59" i="9"/>
  <c r="G59" i="9"/>
  <c r="G58" i="9"/>
  <c r="M57" i="9"/>
  <c r="G57" i="9"/>
  <c r="M56" i="9"/>
  <c r="G56" i="9"/>
  <c r="M55" i="9"/>
  <c r="G55" i="9"/>
  <c r="G69" i="9" s="1"/>
  <c r="F53" i="9"/>
  <c r="E53" i="9"/>
  <c r="D53" i="9"/>
  <c r="G52" i="9"/>
  <c r="G51" i="9"/>
  <c r="G50" i="9"/>
  <c r="G49" i="9"/>
  <c r="G48" i="9"/>
  <c r="G47" i="9"/>
  <c r="G46" i="9"/>
  <c r="G45" i="9"/>
  <c r="L44" i="9"/>
  <c r="G44" i="9"/>
  <c r="M43" i="9"/>
  <c r="G43" i="9"/>
  <c r="M42" i="9"/>
  <c r="G42" i="9"/>
  <c r="M41" i="9"/>
  <c r="AJ35" i="9"/>
  <c r="AI35" i="9"/>
  <c r="AF35" i="9"/>
  <c r="AE35" i="9"/>
  <c r="AD35" i="9"/>
  <c r="AC35" i="9"/>
  <c r="AA35" i="9"/>
  <c r="C35" i="9"/>
  <c r="A6" i="9"/>
  <c r="F254" i="8"/>
  <c r="E254" i="8"/>
  <c r="D254" i="8"/>
  <c r="G253" i="8"/>
  <c r="L252" i="8"/>
  <c r="G252" i="8"/>
  <c r="M251" i="8"/>
  <c r="G251" i="8"/>
  <c r="M250" i="8"/>
  <c r="M249" i="8"/>
  <c r="F247" i="8"/>
  <c r="E247" i="8"/>
  <c r="D247" i="8"/>
  <c r="G244" i="8"/>
  <c r="G243" i="8"/>
  <c r="G242" i="8"/>
  <c r="G241" i="8"/>
  <c r="G240" i="8"/>
  <c r="M239" i="8"/>
  <c r="L239" i="8"/>
  <c r="G239" i="8"/>
  <c r="M238" i="8"/>
  <c r="G238" i="8"/>
  <c r="M237" i="8"/>
  <c r="G237" i="8"/>
  <c r="M236" i="8"/>
  <c r="G236" i="8"/>
  <c r="M235" i="8"/>
  <c r="G235" i="8"/>
  <c r="M234" i="8"/>
  <c r="G231" i="8"/>
  <c r="G230" i="8"/>
  <c r="G229" i="8"/>
  <c r="G228" i="8"/>
  <c r="G227" i="8"/>
  <c r="G226" i="8"/>
  <c r="G225" i="8"/>
  <c r="G224" i="8"/>
  <c r="M223" i="8"/>
  <c r="L223" i="8"/>
  <c r="G223" i="8"/>
  <c r="M222" i="8"/>
  <c r="G222" i="8"/>
  <c r="M221" i="8"/>
  <c r="G221" i="8"/>
  <c r="M220" i="8"/>
  <c r="G220" i="8"/>
  <c r="F218" i="8"/>
  <c r="E218" i="8"/>
  <c r="D218" i="8"/>
  <c r="G217" i="8"/>
  <c r="G216" i="8"/>
  <c r="G215" i="8"/>
  <c r="G214" i="8"/>
  <c r="G213" i="8"/>
  <c r="G212" i="8"/>
  <c r="G211" i="8"/>
  <c r="G210" i="8"/>
  <c r="G209" i="8"/>
  <c r="G208" i="8"/>
  <c r="M207" i="8"/>
  <c r="L207" i="8"/>
  <c r="G207" i="8"/>
  <c r="M206" i="8"/>
  <c r="G206" i="8"/>
  <c r="M205" i="8"/>
  <c r="G205" i="8"/>
  <c r="M204" i="8"/>
  <c r="G204" i="8"/>
  <c r="G218" i="8" s="1"/>
  <c r="F202" i="8"/>
  <c r="E202" i="8"/>
  <c r="D202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M187" i="8"/>
  <c r="L187" i="8"/>
  <c r="G187" i="8"/>
  <c r="M186" i="8"/>
  <c r="G186" i="8"/>
  <c r="M185" i="8"/>
  <c r="G185" i="8"/>
  <c r="M184" i="8"/>
  <c r="G184" i="8"/>
  <c r="M183" i="8"/>
  <c r="G183" i="8"/>
  <c r="F181" i="8"/>
  <c r="E181" i="8"/>
  <c r="D181" i="8"/>
  <c r="G179" i="8"/>
  <c r="G178" i="8"/>
  <c r="G177" i="8"/>
  <c r="G176" i="8"/>
  <c r="G175" i="8"/>
  <c r="G174" i="8"/>
  <c r="M173" i="8"/>
  <c r="G173" i="8"/>
  <c r="G172" i="8"/>
  <c r="M171" i="8"/>
  <c r="G171" i="8"/>
  <c r="M170" i="8"/>
  <c r="G170" i="8"/>
  <c r="M169" i="8"/>
  <c r="G169" i="8"/>
  <c r="M168" i="8"/>
  <c r="G168" i="8"/>
  <c r="F166" i="8"/>
  <c r="E166" i="8"/>
  <c r="D166" i="8"/>
  <c r="G163" i="8"/>
  <c r="L162" i="8"/>
  <c r="G162" i="8"/>
  <c r="G161" i="8"/>
  <c r="G158" i="8"/>
  <c r="G157" i="8"/>
  <c r="M156" i="8"/>
  <c r="M155" i="8"/>
  <c r="G155" i="8"/>
  <c r="M154" i="8"/>
  <c r="G154" i="8"/>
  <c r="M153" i="8"/>
  <c r="G153" i="8"/>
  <c r="F151" i="8"/>
  <c r="E151" i="8"/>
  <c r="D151" i="8"/>
  <c r="G149" i="8"/>
  <c r="G148" i="8"/>
  <c r="G147" i="8"/>
  <c r="G146" i="8"/>
  <c r="G145" i="8"/>
  <c r="G144" i="8"/>
  <c r="G143" i="8"/>
  <c r="L142" i="8"/>
  <c r="G142" i="8"/>
  <c r="M141" i="8"/>
  <c r="G141" i="8"/>
  <c r="M140" i="8"/>
  <c r="G140" i="8"/>
  <c r="M139" i="8"/>
  <c r="G139" i="8"/>
  <c r="M138" i="8"/>
  <c r="M142" i="8" s="1"/>
  <c r="G138" i="8"/>
  <c r="F136" i="8"/>
  <c r="E136" i="8"/>
  <c r="D136" i="8"/>
  <c r="G132" i="8"/>
  <c r="G131" i="8"/>
  <c r="G130" i="8"/>
  <c r="G129" i="8"/>
  <c r="G128" i="8"/>
  <c r="L127" i="8"/>
  <c r="G127" i="8"/>
  <c r="M126" i="8"/>
  <c r="G126" i="8"/>
  <c r="M125" i="8"/>
  <c r="G125" i="8"/>
  <c r="M124" i="8"/>
  <c r="G124" i="8"/>
  <c r="M123" i="8"/>
  <c r="M127" i="8" s="1"/>
  <c r="G123" i="8"/>
  <c r="F121" i="8"/>
  <c r="E121" i="8"/>
  <c r="D121" i="8"/>
  <c r="G120" i="8"/>
  <c r="G119" i="8"/>
  <c r="L118" i="8"/>
  <c r="G118" i="8"/>
  <c r="G117" i="8"/>
  <c r="G116" i="8"/>
  <c r="G115" i="8"/>
  <c r="G114" i="8"/>
  <c r="G113" i="8"/>
  <c r="M112" i="8"/>
  <c r="G112" i="8"/>
  <c r="M111" i="8"/>
  <c r="G111" i="8"/>
  <c r="G110" i="8"/>
  <c r="M109" i="8"/>
  <c r="G109" i="8"/>
  <c r="G121" i="8" s="1"/>
  <c r="F107" i="8"/>
  <c r="E107" i="8"/>
  <c r="D107" i="8"/>
  <c r="G106" i="8"/>
  <c r="G105" i="8"/>
  <c r="G104" i="8"/>
  <c r="G103" i="8"/>
  <c r="G102" i="8"/>
  <c r="G101" i="8"/>
  <c r="G100" i="8"/>
  <c r="L99" i="8"/>
  <c r="G99" i="8"/>
  <c r="G98" i="8"/>
  <c r="G97" i="8"/>
  <c r="G96" i="8"/>
  <c r="M95" i="8"/>
  <c r="G95" i="8"/>
  <c r="M94" i="8"/>
  <c r="G94" i="8"/>
  <c r="M93" i="8"/>
  <c r="G93" i="8"/>
  <c r="M92" i="8"/>
  <c r="G92" i="8"/>
  <c r="F90" i="8"/>
  <c r="E90" i="8"/>
  <c r="D90" i="8"/>
  <c r="L89" i="8"/>
  <c r="G89" i="8"/>
  <c r="G88" i="8"/>
  <c r="G87" i="8"/>
  <c r="G86" i="8"/>
  <c r="G85" i="8"/>
  <c r="G84" i="8"/>
  <c r="G83" i="8"/>
  <c r="G82" i="8"/>
  <c r="G81" i="8"/>
  <c r="G80" i="8"/>
  <c r="G79" i="8"/>
  <c r="M78" i="8"/>
  <c r="G78" i="8"/>
  <c r="M77" i="8"/>
  <c r="M89" i="8" s="1"/>
  <c r="G77" i="8"/>
  <c r="F75" i="8"/>
  <c r="E75" i="8"/>
  <c r="D75" i="8"/>
  <c r="G74" i="8"/>
  <c r="G73" i="8"/>
  <c r="G72" i="8"/>
  <c r="G70" i="8"/>
  <c r="G69" i="8"/>
  <c r="L68" i="8"/>
  <c r="G68" i="8"/>
  <c r="G67" i="8"/>
  <c r="G66" i="8"/>
  <c r="G65" i="8"/>
  <c r="P64" i="8"/>
  <c r="G64" i="8"/>
  <c r="G63" i="8"/>
  <c r="M62" i="8"/>
  <c r="G62" i="8"/>
  <c r="M61" i="8"/>
  <c r="M68" i="8" s="1"/>
  <c r="G61" i="8"/>
  <c r="F59" i="8"/>
  <c r="E59" i="8"/>
  <c r="D59" i="8"/>
  <c r="G58" i="8"/>
  <c r="G57" i="8"/>
  <c r="G56" i="8"/>
  <c r="G55" i="8"/>
  <c r="G54" i="8"/>
  <c r="G53" i="8"/>
  <c r="G52" i="8"/>
  <c r="G51" i="8"/>
  <c r="G50" i="8"/>
  <c r="L49" i="8"/>
  <c r="G49" i="8"/>
  <c r="G48" i="8"/>
  <c r="M47" i="8"/>
  <c r="G47" i="8"/>
  <c r="M46" i="8"/>
  <c r="G46" i="8"/>
  <c r="M45" i="8"/>
  <c r="G45" i="8"/>
  <c r="F43" i="8"/>
  <c r="AA26" i="8" s="1"/>
  <c r="E43" i="8"/>
  <c r="D43" i="8"/>
  <c r="G42" i="8"/>
  <c r="G41" i="8"/>
  <c r="G40" i="8"/>
  <c r="G39" i="8"/>
  <c r="G38" i="8"/>
  <c r="G37" i="8"/>
  <c r="G36" i="8"/>
  <c r="G35" i="8"/>
  <c r="L34" i="8"/>
  <c r="G34" i="8"/>
  <c r="M33" i="8"/>
  <c r="G33" i="8"/>
  <c r="M32" i="8"/>
  <c r="G32" i="8"/>
  <c r="M31" i="8"/>
  <c r="M34" i="8" s="1"/>
  <c r="AJ25" i="8"/>
  <c r="AI25" i="8"/>
  <c r="AF25" i="8"/>
  <c r="AE25" i="8"/>
  <c r="AD25" i="8"/>
  <c r="AC25" i="8"/>
  <c r="AB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D31" i="8" s="1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6" i="3"/>
  <c r="G247" i="8" l="1"/>
  <c r="I30" i="10"/>
  <c r="J30" i="10" s="1"/>
  <c r="I29" i="10"/>
  <c r="J29" i="10" s="1"/>
  <c r="L29" i="10" s="1"/>
  <c r="AA25" i="8"/>
  <c r="AA27" i="8" s="1"/>
  <c r="AA28" i="8" s="1"/>
  <c r="G59" i="8"/>
  <c r="G107" i="8"/>
  <c r="G254" i="8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M59" i="9"/>
  <c r="G85" i="9"/>
  <c r="G100" i="9"/>
  <c r="M109" i="9"/>
  <c r="G146" i="9"/>
  <c r="M183" i="9"/>
  <c r="G228" i="9"/>
  <c r="G257" i="9"/>
  <c r="I28" i="10"/>
  <c r="J28" i="10" s="1"/>
  <c r="I26" i="10"/>
  <c r="J26" i="10"/>
  <c r="L26" i="10" s="1"/>
  <c r="AV32" i="10"/>
  <c r="BB32" i="10" s="1"/>
  <c r="BD32" i="10" s="1"/>
  <c r="BF32" i="10" s="1"/>
  <c r="M49" i="8"/>
  <c r="G90" i="8"/>
  <c r="M99" i="8"/>
  <c r="G181" i="8"/>
  <c r="G202" i="8"/>
  <c r="G232" i="8"/>
  <c r="D41" i="9"/>
  <c r="M44" i="9"/>
  <c r="M78" i="9"/>
  <c r="M99" i="9"/>
  <c r="M137" i="9"/>
  <c r="G264" i="9"/>
  <c r="I7" i="10"/>
  <c r="J7" i="10" s="1"/>
  <c r="L7" i="10" s="1"/>
  <c r="AQ32" i="10"/>
  <c r="G136" i="8"/>
  <c r="M162" i="8"/>
  <c r="M252" i="8"/>
  <c r="AB36" i="9"/>
  <c r="AB37" i="9" s="1"/>
  <c r="AB38" i="9" s="1"/>
  <c r="G176" i="9"/>
  <c r="G212" i="9"/>
  <c r="G242" i="9"/>
  <c r="J6" i="10"/>
  <c r="L6" i="10" s="1"/>
  <c r="I6" i="10"/>
  <c r="G166" i="8"/>
  <c r="G151" i="8"/>
  <c r="G161" i="9"/>
  <c r="G131" i="9"/>
  <c r="M128" i="9"/>
  <c r="M118" i="8"/>
  <c r="G75" i="8"/>
  <c r="G53" i="9"/>
  <c r="G43" i="8"/>
  <c r="J21" i="10"/>
  <c r="L21" i="10" s="1"/>
  <c r="J24" i="10"/>
  <c r="J20" i="10"/>
  <c r="J22" i="10"/>
  <c r="G46" i="10"/>
  <c r="I45" i="10"/>
  <c r="J45" i="10" s="1"/>
  <c r="M23" i="10"/>
  <c r="O23" i="10" s="1"/>
  <c r="M21" i="10"/>
  <c r="O21" i="10" s="1"/>
  <c r="M19" i="10"/>
  <c r="O19" i="10" s="1"/>
  <c r="M27" i="10"/>
  <c r="O27" i="10" s="1"/>
  <c r="M25" i="10"/>
  <c r="O25" i="10" s="1"/>
  <c r="L8" i="10"/>
  <c r="J31" i="10"/>
  <c r="L31" i="10" s="1"/>
  <c r="F39" i="10"/>
  <c r="F47" i="10" s="1"/>
  <c r="G5" i="10"/>
  <c r="I5" i="10" s="1"/>
  <c r="I53" i="9"/>
  <c r="D54" i="9" s="1"/>
  <c r="I43" i="8"/>
  <c r="D44" i="8" s="1"/>
  <c r="H59" i="8" s="1"/>
  <c r="I59" i="8" s="1"/>
  <c r="D60" i="8" s="1"/>
  <c r="H75" i="8" s="1"/>
  <c r="I75" i="8" s="1"/>
  <c r="D76" i="8" s="1"/>
  <c r="H90" i="8" s="1"/>
  <c r="I90" i="8" s="1"/>
  <c r="D91" i="8" s="1"/>
  <c r="H107" i="8" s="1"/>
  <c r="I107" i="8" s="1"/>
  <c r="G62" i="3"/>
  <c r="M31" i="3"/>
  <c r="AA25" i="3"/>
  <c r="AB25" i="3"/>
  <c r="AD25" i="3"/>
  <c r="AE25" i="3"/>
  <c r="AF25" i="3"/>
  <c r="AI25" i="3"/>
  <c r="AJ25" i="3"/>
  <c r="Z25" i="3"/>
  <c r="X25" i="3"/>
  <c r="P25" i="3"/>
  <c r="R25" i="3"/>
  <c r="N25" i="3"/>
  <c r="L25" i="3"/>
  <c r="J25" i="3"/>
  <c r="F25" i="3"/>
  <c r="H25" i="3"/>
  <c r="D25" i="3"/>
  <c r="G142" i="3"/>
  <c r="G143" i="3"/>
  <c r="D90" i="3"/>
  <c r="G87" i="3"/>
  <c r="G55" i="3"/>
  <c r="G223" i="3"/>
  <c r="G224" i="3"/>
  <c r="G225" i="3"/>
  <c r="G213" i="3"/>
  <c r="G214" i="3"/>
  <c r="G215" i="3"/>
  <c r="G216" i="3"/>
  <c r="G217" i="3"/>
  <c r="G191" i="3"/>
  <c r="G192" i="3"/>
  <c r="G170" i="3"/>
  <c r="G171" i="3"/>
  <c r="G172" i="3"/>
  <c r="G173" i="3"/>
  <c r="G158" i="3"/>
  <c r="G141" i="3"/>
  <c r="G131" i="3"/>
  <c r="G132" i="3"/>
  <c r="G41" i="3"/>
  <c r="G40" i="3"/>
  <c r="G240" i="3"/>
  <c r="G241" i="3"/>
  <c r="G242" i="3"/>
  <c r="G243" i="3"/>
  <c r="G244" i="3"/>
  <c r="G226" i="3"/>
  <c r="F218" i="3"/>
  <c r="E218" i="3"/>
  <c r="D218" i="3"/>
  <c r="D202" i="3"/>
  <c r="E202" i="3"/>
  <c r="F202" i="3"/>
  <c r="G197" i="3"/>
  <c r="G198" i="3"/>
  <c r="G199" i="3"/>
  <c r="G195" i="3"/>
  <c r="G196" i="3"/>
  <c r="G194" i="3"/>
  <c r="G188" i="3"/>
  <c r="G183" i="3"/>
  <c r="D151" i="3"/>
  <c r="E151" i="3"/>
  <c r="F151" i="3"/>
  <c r="G138" i="3"/>
  <c r="G139" i="3"/>
  <c r="G148" i="3"/>
  <c r="G147" i="3"/>
  <c r="G129" i="3"/>
  <c r="G130" i="3"/>
  <c r="G120" i="3"/>
  <c r="G119" i="3"/>
  <c r="G95" i="3"/>
  <c r="G100" i="3"/>
  <c r="G101" i="3"/>
  <c r="G102" i="3"/>
  <c r="G103" i="3"/>
  <c r="G104" i="3"/>
  <c r="G105" i="3"/>
  <c r="G106" i="3"/>
  <c r="G84" i="3"/>
  <c r="G85" i="3"/>
  <c r="G86" i="3"/>
  <c r="G88" i="3"/>
  <c r="G72" i="3"/>
  <c r="G73" i="3"/>
  <c r="G52" i="3"/>
  <c r="G53" i="3"/>
  <c r="G54" i="3"/>
  <c r="G56" i="3"/>
  <c r="G57" i="3"/>
  <c r="G58" i="3"/>
  <c r="G211" i="3"/>
  <c r="D166" i="3"/>
  <c r="E166" i="3"/>
  <c r="F166" i="3"/>
  <c r="G161" i="3"/>
  <c r="D121" i="3"/>
  <c r="E121" i="3"/>
  <c r="F121" i="3"/>
  <c r="G116" i="3"/>
  <c r="G117" i="3"/>
  <c r="G83" i="3"/>
  <c r="D75" i="3"/>
  <c r="F75" i="3"/>
  <c r="E75" i="3"/>
  <c r="G69" i="3"/>
  <c r="G70" i="3"/>
  <c r="G74" i="3"/>
  <c r="G209" i="3"/>
  <c r="G187" i="3"/>
  <c r="G177" i="3"/>
  <c r="G178" i="3"/>
  <c r="E136" i="3"/>
  <c r="F136" i="3"/>
  <c r="G235" i="3"/>
  <c r="G236" i="3"/>
  <c r="G237" i="3"/>
  <c r="G238" i="3"/>
  <c r="G227" i="3"/>
  <c r="G228" i="3"/>
  <c r="G229" i="3"/>
  <c r="G230" i="3"/>
  <c r="G231" i="3"/>
  <c r="G169" i="3"/>
  <c r="G154" i="3"/>
  <c r="G155" i="3"/>
  <c r="G140" i="3"/>
  <c r="G144" i="3"/>
  <c r="G145" i="3"/>
  <c r="G146" i="3"/>
  <c r="G149" i="3"/>
  <c r="G115" i="3"/>
  <c r="G212" i="3"/>
  <c r="G184" i="3"/>
  <c r="G185" i="3"/>
  <c r="G186" i="3"/>
  <c r="G189" i="3"/>
  <c r="G190" i="3"/>
  <c r="G193" i="3"/>
  <c r="M186" i="3"/>
  <c r="G175" i="3"/>
  <c r="G176" i="3"/>
  <c r="G179" i="3"/>
  <c r="G159" i="3"/>
  <c r="G162" i="3"/>
  <c r="D136" i="3"/>
  <c r="G128" i="3"/>
  <c r="G113" i="3"/>
  <c r="G67" i="3"/>
  <c r="G66" i="3"/>
  <c r="G65" i="3"/>
  <c r="G47" i="3"/>
  <c r="L142" i="3"/>
  <c r="M141" i="3"/>
  <c r="G123" i="3"/>
  <c r="G124" i="3"/>
  <c r="G125" i="3"/>
  <c r="G114" i="3"/>
  <c r="G82" i="3"/>
  <c r="G81" i="3"/>
  <c r="G80" i="3"/>
  <c r="G78" i="3"/>
  <c r="G77" i="3"/>
  <c r="M47" i="3"/>
  <c r="M33" i="3"/>
  <c r="L30" i="10" l="1"/>
  <c r="M30" i="10" s="1"/>
  <c r="L28" i="10"/>
  <c r="M28" i="10"/>
  <c r="O28" i="10" s="1"/>
  <c r="D70" i="9"/>
  <c r="H85" i="9" s="1"/>
  <c r="I85" i="9" s="1"/>
  <c r="D86" i="9" s="1"/>
  <c r="I100" i="9" s="1"/>
  <c r="D101" i="9" s="1"/>
  <c r="I117" i="9" s="1"/>
  <c r="D118" i="9" s="1"/>
  <c r="I131" i="9" s="1"/>
  <c r="M26" i="10"/>
  <c r="P26" i="10" s="1"/>
  <c r="R26" i="10" s="1"/>
  <c r="L22" i="10"/>
  <c r="M22" i="10" s="1"/>
  <c r="L24" i="10"/>
  <c r="M24" i="10" s="1"/>
  <c r="L20" i="10"/>
  <c r="M20" i="10" s="1"/>
  <c r="D108" i="8"/>
  <c r="H121" i="8" s="1"/>
  <c r="I121" i="8" s="1"/>
  <c r="D122" i="8" s="1"/>
  <c r="I136" i="8" s="1"/>
  <c r="I151" i="8" s="1"/>
  <c r="D152" i="8" s="1"/>
  <c r="I166" i="8" s="1"/>
  <c r="D167" i="8" s="1"/>
  <c r="H181" i="8" s="1"/>
  <c r="I181" i="8" s="1"/>
  <c r="D182" i="8" s="1"/>
  <c r="H202" i="8" s="1"/>
  <c r="I202" i="8" s="1"/>
  <c r="D203" i="8" s="1"/>
  <c r="H218" i="8" s="1"/>
  <c r="I218" i="8" s="1"/>
  <c r="D219" i="8" s="1"/>
  <c r="H232" i="8" s="1"/>
  <c r="I232" i="8" s="1"/>
  <c r="D233" i="8" s="1"/>
  <c r="H247" i="8" s="1"/>
  <c r="I254" i="8" s="1"/>
  <c r="O26" i="10"/>
  <c r="P28" i="10"/>
  <c r="R28" i="10" s="1"/>
  <c r="M7" i="10"/>
  <c r="O7" i="10" s="1"/>
  <c r="M6" i="10"/>
  <c r="O6" i="10" s="1"/>
  <c r="M8" i="10"/>
  <c r="O8" i="10" s="1"/>
  <c r="P25" i="10"/>
  <c r="R25" i="10" s="1"/>
  <c r="P27" i="10"/>
  <c r="R27" i="10" s="1"/>
  <c r="P19" i="10"/>
  <c r="R19" i="10" s="1"/>
  <c r="P21" i="10"/>
  <c r="R21" i="10" s="1"/>
  <c r="P23" i="10"/>
  <c r="R23" i="10" s="1"/>
  <c r="J46" i="10"/>
  <c r="L45" i="10"/>
  <c r="L46" i="10" s="1"/>
  <c r="G39" i="10"/>
  <c r="G47" i="10" s="1"/>
  <c r="J5" i="10"/>
  <c r="J10" i="10"/>
  <c r="L10" i="10" s="1"/>
  <c r="J12" i="10"/>
  <c r="L12" i="10" s="1"/>
  <c r="J14" i="10"/>
  <c r="L14" i="10" s="1"/>
  <c r="J16" i="10"/>
  <c r="L16" i="10" s="1"/>
  <c r="J18" i="10"/>
  <c r="L18" i="10" s="1"/>
  <c r="J9" i="10"/>
  <c r="L9" i="10" s="1"/>
  <c r="J11" i="10"/>
  <c r="L11" i="10" s="1"/>
  <c r="J13" i="10"/>
  <c r="L13" i="10" s="1"/>
  <c r="J15" i="10"/>
  <c r="L15" i="10" s="1"/>
  <c r="J17" i="10"/>
  <c r="L17" i="10" s="1"/>
  <c r="I46" i="10"/>
  <c r="M29" i="10"/>
  <c r="O29" i="10" s="1"/>
  <c r="G151" i="3"/>
  <c r="G202" i="3"/>
  <c r="O30" i="10" l="1"/>
  <c r="P30" i="10" s="1"/>
  <c r="I146" i="9"/>
  <c r="D147" i="9" s="1"/>
  <c r="I161" i="9" s="1"/>
  <c r="D162" i="9" s="1"/>
  <c r="I176" i="9" s="1"/>
  <c r="D177" i="9" s="1"/>
  <c r="H191" i="9" s="1"/>
  <c r="I191" i="9" s="1"/>
  <c r="D192" i="9" s="1"/>
  <c r="H212" i="9" s="1"/>
  <c r="I212" i="9" s="1"/>
  <c r="D213" i="9" s="1"/>
  <c r="H228" i="9" s="1"/>
  <c r="I228" i="9" s="1"/>
  <c r="D229" i="9" s="1"/>
  <c r="H242" i="9" s="1"/>
  <c r="I242" i="9" s="1"/>
  <c r="D243" i="9" s="1"/>
  <c r="H257" i="9" s="1"/>
  <c r="I257" i="9" s="1"/>
  <c r="D258" i="9" s="1"/>
  <c r="Q40" i="9" s="1"/>
  <c r="D132" i="9"/>
  <c r="O20" i="10"/>
  <c r="P20" i="10" s="1"/>
  <c r="R20" i="10" s="1"/>
  <c r="O22" i="10"/>
  <c r="P22" i="10" s="1"/>
  <c r="R22" i="10" s="1"/>
  <c r="O24" i="10"/>
  <c r="P24" i="10" s="1"/>
  <c r="J39" i="10"/>
  <c r="J47" i="10" s="1"/>
  <c r="L5" i="10"/>
  <c r="L39" i="10" s="1"/>
  <c r="I247" i="8"/>
  <c r="D248" i="8" s="1"/>
  <c r="Q30" i="8" s="1"/>
  <c r="S21" i="10"/>
  <c r="U21" i="10" s="1"/>
  <c r="P7" i="10"/>
  <c r="R7" i="10" s="1"/>
  <c r="S26" i="10"/>
  <c r="U26" i="10" s="1"/>
  <c r="S23" i="10"/>
  <c r="U23" i="10" s="1"/>
  <c r="S19" i="10"/>
  <c r="U19" i="10" s="1"/>
  <c r="P29" i="10"/>
  <c r="R29" i="10" s="1"/>
  <c r="M17" i="10"/>
  <c r="O17" i="10" s="1"/>
  <c r="M9" i="10"/>
  <c r="O9" i="10" s="1"/>
  <c r="M18" i="10"/>
  <c r="O18" i="10" s="1"/>
  <c r="M15" i="10"/>
  <c r="O15" i="10" s="1"/>
  <c r="M11" i="10"/>
  <c r="O11" i="10" s="1"/>
  <c r="M31" i="10"/>
  <c r="O31" i="10" s="1"/>
  <c r="M16" i="10"/>
  <c r="O16" i="10" s="1"/>
  <c r="M12" i="10"/>
  <c r="O12" i="10" s="1"/>
  <c r="I39" i="10"/>
  <c r="I47" i="10" s="1"/>
  <c r="M45" i="10"/>
  <c r="S27" i="10"/>
  <c r="U27" i="10" s="1"/>
  <c r="S28" i="10"/>
  <c r="U28" i="10" s="1"/>
  <c r="M237" i="3"/>
  <c r="M236" i="3"/>
  <c r="R30" i="10" l="1"/>
  <c r="S30" i="10" s="1"/>
  <c r="H264" i="9"/>
  <c r="I264" i="9"/>
  <c r="R24" i="10"/>
  <c r="S24" i="10" s="1"/>
  <c r="U24" i="10" s="1"/>
  <c r="H254" i="8"/>
  <c r="L47" i="10"/>
  <c r="V27" i="10"/>
  <c r="X27" i="10" s="1"/>
  <c r="P12" i="10"/>
  <c r="R12" i="10" s="1"/>
  <c r="V19" i="10"/>
  <c r="X19" i="10" s="1"/>
  <c r="V26" i="10"/>
  <c r="X26" i="10" s="1"/>
  <c r="V21" i="10"/>
  <c r="X21" i="10" s="1"/>
  <c r="P16" i="10"/>
  <c r="R16" i="10" s="1"/>
  <c r="P18" i="10"/>
  <c r="R18" i="10" s="1"/>
  <c r="V23" i="10"/>
  <c r="X23" i="10" s="1"/>
  <c r="S7" i="10"/>
  <c r="U7" i="10" s="1"/>
  <c r="V28" i="10"/>
  <c r="X28" i="10" s="1"/>
  <c r="M46" i="10"/>
  <c r="O45" i="10"/>
  <c r="S20" i="10"/>
  <c r="U20" i="10" s="1"/>
  <c r="S22" i="10"/>
  <c r="U22" i="10" s="1"/>
  <c r="P6" i="10"/>
  <c r="R6" i="10" s="1"/>
  <c r="P8" i="10"/>
  <c r="R8" i="10" s="1"/>
  <c r="S25" i="10"/>
  <c r="U25" i="10" s="1"/>
  <c r="M5" i="10"/>
  <c r="M10" i="10"/>
  <c r="O10" i="10" s="1"/>
  <c r="M14" i="10"/>
  <c r="O14" i="10" s="1"/>
  <c r="M13" i="10"/>
  <c r="O13" i="10" s="1"/>
  <c r="P9" i="10"/>
  <c r="R9" i="10" s="1"/>
  <c r="P17" i="10"/>
  <c r="R17" i="10" s="1"/>
  <c r="S29" i="10"/>
  <c r="U29" i="10" s="1"/>
  <c r="R70" i="9"/>
  <c r="R69" i="9"/>
  <c r="R56" i="9"/>
  <c r="R54" i="9"/>
  <c r="R53" i="9"/>
  <c r="R42" i="9"/>
  <c r="R40" i="9"/>
  <c r="R72" i="9"/>
  <c r="R68" i="9"/>
  <c r="R61" i="9"/>
  <c r="R60" i="9"/>
  <c r="R59" i="9"/>
  <c r="R58" i="9"/>
  <c r="R57" i="9"/>
  <c r="R55" i="9"/>
  <c r="R52" i="9"/>
  <c r="R51" i="9"/>
  <c r="R50" i="9"/>
  <c r="R49" i="9"/>
  <c r="R48" i="9"/>
  <c r="R47" i="9"/>
  <c r="R46" i="9"/>
  <c r="R45" i="9"/>
  <c r="R44" i="9"/>
  <c r="R43" i="9"/>
  <c r="R41" i="9"/>
  <c r="R60" i="8"/>
  <c r="R59" i="8"/>
  <c r="R46" i="8"/>
  <c r="R44" i="8"/>
  <c r="R43" i="8"/>
  <c r="R32" i="8"/>
  <c r="R30" i="8"/>
  <c r="R62" i="8"/>
  <c r="R58" i="8"/>
  <c r="R51" i="8"/>
  <c r="R50" i="8"/>
  <c r="R49" i="8"/>
  <c r="R48" i="8"/>
  <c r="R47" i="8"/>
  <c r="R45" i="8"/>
  <c r="R42" i="8"/>
  <c r="R41" i="8"/>
  <c r="R40" i="8"/>
  <c r="R39" i="8"/>
  <c r="R38" i="8"/>
  <c r="R37" i="8"/>
  <c r="R36" i="8"/>
  <c r="R35" i="8"/>
  <c r="R34" i="8"/>
  <c r="R33" i="8"/>
  <c r="R31" i="8"/>
  <c r="G222" i="3"/>
  <c r="U30" i="10" l="1"/>
  <c r="V30" i="10" s="1"/>
  <c r="O5" i="10"/>
  <c r="O39" i="10" s="1"/>
  <c r="M39" i="10"/>
  <c r="M47" i="10" s="1"/>
  <c r="V7" i="10"/>
  <c r="X7" i="10" s="1"/>
  <c r="Y26" i="10"/>
  <c r="AA26" i="10" s="1"/>
  <c r="Y27" i="10"/>
  <c r="AA27" i="10" s="1"/>
  <c r="Y23" i="10"/>
  <c r="AA23" i="10" s="1"/>
  <c r="Y21" i="10"/>
  <c r="AA21" i="10" s="1"/>
  <c r="Y19" i="10"/>
  <c r="AA19" i="10" s="1"/>
  <c r="S17" i="10"/>
  <c r="U17" i="10" s="1"/>
  <c r="S9" i="10"/>
  <c r="U9" i="10" s="1"/>
  <c r="S8" i="10"/>
  <c r="U8" i="10" s="1"/>
  <c r="O46" i="10"/>
  <c r="S18" i="10"/>
  <c r="U18" i="10" s="1"/>
  <c r="P15" i="10"/>
  <c r="R15" i="10" s="1"/>
  <c r="P11" i="10"/>
  <c r="R11" i="10" s="1"/>
  <c r="P31" i="10"/>
  <c r="R31" i="10" s="1"/>
  <c r="P13" i="10"/>
  <c r="R13" i="10" s="1"/>
  <c r="V25" i="10"/>
  <c r="X25" i="10" s="1"/>
  <c r="S6" i="10"/>
  <c r="U6" i="10" s="1"/>
  <c r="V20" i="10"/>
  <c r="X20" i="10" s="1"/>
  <c r="P45" i="10"/>
  <c r="V24" i="10"/>
  <c r="X24" i="10" s="1"/>
  <c r="V29" i="10"/>
  <c r="X29" i="10" s="1"/>
  <c r="P14" i="10"/>
  <c r="R14" i="10" s="1"/>
  <c r="Y28" i="10"/>
  <c r="AA28" i="10" s="1"/>
  <c r="S12" i="10"/>
  <c r="U12" i="10" s="1"/>
  <c r="R74" i="9"/>
  <c r="R64" i="8"/>
  <c r="G210" i="3"/>
  <c r="G208" i="3"/>
  <c r="G207" i="3"/>
  <c r="G206" i="3"/>
  <c r="G205" i="3"/>
  <c r="G204" i="3"/>
  <c r="W25" i="3"/>
  <c r="L187" i="3"/>
  <c r="V25" i="3"/>
  <c r="G174" i="3"/>
  <c r="M170" i="3"/>
  <c r="U25" i="3"/>
  <c r="G163" i="3"/>
  <c r="M155" i="3"/>
  <c r="S25" i="3"/>
  <c r="Q25" i="3"/>
  <c r="O25" i="3"/>
  <c r="D107" i="3"/>
  <c r="M25" i="3"/>
  <c r="F107" i="3"/>
  <c r="E107" i="3"/>
  <c r="G96" i="3"/>
  <c r="G97" i="3"/>
  <c r="G98" i="3"/>
  <c r="G99" i="3"/>
  <c r="K25" i="3"/>
  <c r="I25" i="3"/>
  <c r="G63" i="3"/>
  <c r="G25" i="3"/>
  <c r="E25" i="3"/>
  <c r="C25" i="3"/>
  <c r="G157" i="3"/>
  <c r="L252" i="3"/>
  <c r="M251" i="3"/>
  <c r="M250" i="3"/>
  <c r="M249" i="3"/>
  <c r="L239" i="3"/>
  <c r="M238" i="3"/>
  <c r="M235" i="3"/>
  <c r="M234" i="3"/>
  <c r="L223" i="3"/>
  <c r="M222" i="3"/>
  <c r="M221" i="3"/>
  <c r="M220" i="3"/>
  <c r="L207" i="3"/>
  <c r="M206" i="3"/>
  <c r="M205" i="3"/>
  <c r="M204" i="3"/>
  <c r="M185" i="3"/>
  <c r="M184" i="3"/>
  <c r="M183" i="3"/>
  <c r="F254" i="3"/>
  <c r="E254" i="3"/>
  <c r="D254" i="3"/>
  <c r="G253" i="3"/>
  <c r="G252" i="3"/>
  <c r="G251" i="3"/>
  <c r="F247" i="3"/>
  <c r="E247" i="3"/>
  <c r="D247" i="3"/>
  <c r="G239" i="3"/>
  <c r="G221" i="3"/>
  <c r="G220" i="3"/>
  <c r="M125" i="3"/>
  <c r="G51" i="3"/>
  <c r="G50" i="3"/>
  <c r="G42" i="3"/>
  <c r="G39" i="3"/>
  <c r="G38" i="3"/>
  <c r="G37" i="3"/>
  <c r="G36" i="3"/>
  <c r="P64" i="3"/>
  <c r="X30" i="10" l="1"/>
  <c r="Y30" i="10" s="1"/>
  <c r="O47" i="10"/>
  <c r="V12" i="10"/>
  <c r="X12" i="10" s="1"/>
  <c r="S13" i="10"/>
  <c r="U13" i="10" s="1"/>
  <c r="AB19" i="10"/>
  <c r="AD19" i="10" s="1"/>
  <c r="AB23" i="10"/>
  <c r="AD23" i="10" s="1"/>
  <c r="V18" i="10"/>
  <c r="X18" i="10" s="1"/>
  <c r="V8" i="10"/>
  <c r="X8" i="10" s="1"/>
  <c r="AB21" i="10"/>
  <c r="AD21" i="10" s="1"/>
  <c r="AB28" i="10"/>
  <c r="AD28" i="10" s="1"/>
  <c r="Y29" i="10"/>
  <c r="AA29" i="10" s="1"/>
  <c r="Y20" i="10"/>
  <c r="AA20" i="10" s="1"/>
  <c r="Y25" i="10"/>
  <c r="AA25" i="10" s="1"/>
  <c r="S15" i="10"/>
  <c r="U15" i="10" s="1"/>
  <c r="V22" i="10"/>
  <c r="X22" i="10" s="1"/>
  <c r="P46" i="10"/>
  <c r="R45" i="10"/>
  <c r="P10" i="10"/>
  <c r="R10" i="10" s="1"/>
  <c r="S11" i="10"/>
  <c r="U11" i="10" s="1"/>
  <c r="S16" i="10"/>
  <c r="U16" i="10" s="1"/>
  <c r="P5" i="10"/>
  <c r="S14" i="10"/>
  <c r="U14" i="10" s="1"/>
  <c r="V9" i="10"/>
  <c r="X9" i="10" s="1"/>
  <c r="V17" i="10"/>
  <c r="X17" i="10" s="1"/>
  <c r="AB26" i="10"/>
  <c r="AD26" i="10" s="1"/>
  <c r="Y25" i="3"/>
  <c r="G218" i="3"/>
  <c r="G232" i="3"/>
  <c r="M187" i="3"/>
  <c r="G254" i="3"/>
  <c r="M252" i="3"/>
  <c r="G247" i="3"/>
  <c r="M239" i="3"/>
  <c r="M223" i="3"/>
  <c r="M207" i="3"/>
  <c r="AA30" i="10" l="1"/>
  <c r="AB30" i="10" s="1"/>
  <c r="P39" i="10"/>
  <c r="R5" i="10"/>
  <c r="P47" i="10"/>
  <c r="Y9" i="10"/>
  <c r="AA9" i="10" s="1"/>
  <c r="AB20" i="10"/>
  <c r="AD20" i="10" s="1"/>
  <c r="AE28" i="10"/>
  <c r="V13" i="10"/>
  <c r="X13" i="10" s="1"/>
  <c r="AE26" i="10"/>
  <c r="Y17" i="10"/>
  <c r="AA17" i="10" s="1"/>
  <c r="V15" i="10"/>
  <c r="X15" i="10" s="1"/>
  <c r="AB25" i="10"/>
  <c r="AD25" i="10" s="1"/>
  <c r="Y18" i="10"/>
  <c r="AA18" i="10" s="1"/>
  <c r="V14" i="10"/>
  <c r="X14" i="10" s="1"/>
  <c r="V11" i="10"/>
  <c r="X11" i="10" s="1"/>
  <c r="AE21" i="10"/>
  <c r="AE19" i="10"/>
  <c r="Y7" i="10"/>
  <c r="AA7" i="10" s="1"/>
  <c r="AB27" i="10"/>
  <c r="AD27" i="10" s="1"/>
  <c r="V6" i="10"/>
  <c r="X6" i="10" s="1"/>
  <c r="V16" i="10"/>
  <c r="X16" i="10" s="1"/>
  <c r="S10" i="10"/>
  <c r="U10" i="10" s="1"/>
  <c r="R46" i="10"/>
  <c r="S45" i="10"/>
  <c r="Y22" i="10"/>
  <c r="AA22" i="10" s="1"/>
  <c r="S31" i="10"/>
  <c r="U31" i="10" s="1"/>
  <c r="Y24" i="10"/>
  <c r="AA24" i="10" s="1"/>
  <c r="AB29" i="10"/>
  <c r="AD29" i="10" s="1"/>
  <c r="Y12" i="10"/>
  <c r="AA12" i="10" s="1"/>
  <c r="M171" i="3"/>
  <c r="M169" i="3"/>
  <c r="M168" i="3"/>
  <c r="L162" i="3"/>
  <c r="M156" i="3"/>
  <c r="M154" i="3"/>
  <c r="M153" i="3"/>
  <c r="M140" i="3"/>
  <c r="M139" i="3"/>
  <c r="M138" i="3"/>
  <c r="L127" i="3"/>
  <c r="M126" i="3"/>
  <c r="M124" i="3"/>
  <c r="M123" i="3"/>
  <c r="G111" i="3"/>
  <c r="M112" i="3"/>
  <c r="M111" i="3"/>
  <c r="M109" i="3"/>
  <c r="M95" i="3"/>
  <c r="L99" i="3"/>
  <c r="M94" i="3"/>
  <c r="M93" i="3"/>
  <c r="M92" i="3"/>
  <c r="L89" i="3"/>
  <c r="M78" i="3"/>
  <c r="M77" i="3"/>
  <c r="L68" i="3"/>
  <c r="M62" i="3"/>
  <c r="M61" i="3"/>
  <c r="L49" i="3"/>
  <c r="M46" i="3"/>
  <c r="M45" i="3"/>
  <c r="L34" i="3"/>
  <c r="M32" i="3"/>
  <c r="AD30" i="10" l="1"/>
  <c r="AE30" i="10" s="1"/>
  <c r="AG30" i="10" s="1"/>
  <c r="AH30" i="10" s="1"/>
  <c r="AJ30" i="10" s="1"/>
  <c r="R39" i="10"/>
  <c r="S5" i="10"/>
  <c r="U5" i="10" s="1"/>
  <c r="R47" i="10"/>
  <c r="AB22" i="10"/>
  <c r="AD22" i="10" s="1"/>
  <c r="AG19" i="10"/>
  <c r="AH19" i="10" s="1"/>
  <c r="AJ19" i="10" s="1"/>
  <c r="AG21" i="10"/>
  <c r="Y14" i="10"/>
  <c r="AA14" i="10" s="1"/>
  <c r="Y15" i="10"/>
  <c r="AA15" i="10" s="1"/>
  <c r="AE20" i="10"/>
  <c r="Y16" i="10"/>
  <c r="AA16" i="10" s="1"/>
  <c r="AB18" i="10"/>
  <c r="AD18" i="10" s="1"/>
  <c r="AG26" i="10"/>
  <c r="AH26" i="10" s="1"/>
  <c r="AJ26" i="10" s="1"/>
  <c r="V31" i="10"/>
  <c r="X31" i="10" s="1"/>
  <c r="S46" i="10"/>
  <c r="U45" i="10"/>
  <c r="V45" i="10" s="1"/>
  <c r="V10" i="10"/>
  <c r="X10" i="10" s="1"/>
  <c r="AE25" i="10"/>
  <c r="AG28" i="10"/>
  <c r="AH28" i="10" s="1"/>
  <c r="AJ28" i="10" s="1"/>
  <c r="Y8" i="10"/>
  <c r="AA8" i="10" s="1"/>
  <c r="Y6" i="10"/>
  <c r="AA6" i="10" s="1"/>
  <c r="AE23" i="10"/>
  <c r="AB17" i="10"/>
  <c r="AD17" i="10" s="1"/>
  <c r="Y13" i="10"/>
  <c r="AA13" i="10" s="1"/>
  <c r="AB9" i="10"/>
  <c r="AD9" i="10" s="1"/>
  <c r="M142" i="3"/>
  <c r="M173" i="3"/>
  <c r="M162" i="3"/>
  <c r="M127" i="3"/>
  <c r="M99" i="3"/>
  <c r="M34" i="3"/>
  <c r="D31" i="3" s="1"/>
  <c r="M68" i="3"/>
  <c r="M118" i="3"/>
  <c r="M89" i="3"/>
  <c r="M49" i="3"/>
  <c r="S39" i="10" l="1"/>
  <c r="S47" i="10" s="1"/>
  <c r="U39" i="10"/>
  <c r="AE9" i="10"/>
  <c r="Y31" i="10"/>
  <c r="AA31" i="10" s="1"/>
  <c r="AE22" i="10"/>
  <c r="AB6" i="10"/>
  <c r="AD6" i="10" s="1"/>
  <c r="AK30" i="10"/>
  <c r="AK26" i="10"/>
  <c r="AG20" i="10"/>
  <c r="AH20" i="10" s="1"/>
  <c r="AJ20" i="10" s="1"/>
  <c r="AK19" i="10"/>
  <c r="Y10" i="10"/>
  <c r="AA10" i="10" s="1"/>
  <c r="V46" i="10"/>
  <c r="X45" i="10"/>
  <c r="X46" i="10" s="1"/>
  <c r="AE18" i="10"/>
  <c r="AB15" i="10"/>
  <c r="AD15" i="10" s="1"/>
  <c r="V5" i="10"/>
  <c r="X5" i="10" s="1"/>
  <c r="AE29" i="10"/>
  <c r="AB12" i="10"/>
  <c r="AD12" i="10" s="1"/>
  <c r="AE27" i="10"/>
  <c r="AB24" i="10"/>
  <c r="AD24" i="10" s="1"/>
  <c r="Y11" i="10"/>
  <c r="AA11" i="10" s="1"/>
  <c r="AB7" i="10"/>
  <c r="AD7" i="10" s="1"/>
  <c r="U46" i="10"/>
  <c r="AH21" i="10"/>
  <c r="AJ21" i="10" s="1"/>
  <c r="AE17" i="10"/>
  <c r="AG23" i="10"/>
  <c r="AH23" i="10" s="1"/>
  <c r="AJ23" i="10" s="1"/>
  <c r="AG25" i="10"/>
  <c r="AH25" i="10" s="1"/>
  <c r="AJ25" i="10" s="1"/>
  <c r="G168" i="3"/>
  <c r="G153" i="3"/>
  <c r="G166" i="3" s="1"/>
  <c r="G126" i="3"/>
  <c r="G127" i="3"/>
  <c r="G110" i="3"/>
  <c r="G112" i="3"/>
  <c r="G118" i="3"/>
  <c r="G109" i="3"/>
  <c r="G93" i="3"/>
  <c r="G94" i="3"/>
  <c r="G92" i="3"/>
  <c r="G79" i="3"/>
  <c r="G89" i="3"/>
  <c r="G64" i="3"/>
  <c r="G68" i="3"/>
  <c r="G61" i="3"/>
  <c r="G46" i="3"/>
  <c r="G48" i="3"/>
  <c r="G49" i="3"/>
  <c r="G45" i="3"/>
  <c r="G33" i="3"/>
  <c r="G34" i="3"/>
  <c r="G35" i="3"/>
  <c r="G32" i="3"/>
  <c r="F181" i="3"/>
  <c r="E181" i="3"/>
  <c r="D181" i="3"/>
  <c r="F90" i="3"/>
  <c r="E90" i="3"/>
  <c r="F59" i="3"/>
  <c r="E59" i="3"/>
  <c r="D59" i="3"/>
  <c r="V39" i="10" l="1"/>
  <c r="V47" i="10" s="1"/>
  <c r="U47" i="10"/>
  <c r="Y45" i="10"/>
  <c r="Y46" i="10" s="1"/>
  <c r="AK25" i="10"/>
  <c r="AE15" i="10"/>
  <c r="AG18" i="10"/>
  <c r="AH18" i="10" s="1"/>
  <c r="AJ18" i="10" s="1"/>
  <c r="AG17" i="10"/>
  <c r="AH17" i="10" s="1"/>
  <c r="AJ17" i="10" s="1"/>
  <c r="AM30" i="10"/>
  <c r="AN30" i="10" s="1"/>
  <c r="AK23" i="10"/>
  <c r="AB11" i="10"/>
  <c r="AD11" i="10" s="1"/>
  <c r="AG27" i="10"/>
  <c r="AH27" i="10" s="1"/>
  <c r="AJ27" i="10" s="1"/>
  <c r="AE12" i="10"/>
  <c r="AB10" i="10"/>
  <c r="AD10" i="10" s="1"/>
  <c r="AM19" i="10"/>
  <c r="AN19" i="10" s="1"/>
  <c r="AK20" i="10"/>
  <c r="AM26" i="10"/>
  <c r="AN26" i="10" s="1"/>
  <c r="AB14" i="10"/>
  <c r="AD14" i="10" s="1"/>
  <c r="AB13" i="10"/>
  <c r="AD13" i="10" s="1"/>
  <c r="AK21" i="10"/>
  <c r="AG29" i="10"/>
  <c r="AB16" i="10"/>
  <c r="AD16" i="10" s="1"/>
  <c r="AB8" i="10"/>
  <c r="AD8" i="10" s="1"/>
  <c r="AK28" i="10"/>
  <c r="AA45" i="10"/>
  <c r="AA46" i="10" s="1"/>
  <c r="AG22" i="10"/>
  <c r="AG9" i="10"/>
  <c r="AH9" i="10" s="1"/>
  <c r="AJ9" i="10" s="1"/>
  <c r="G75" i="3"/>
  <c r="G121" i="3"/>
  <c r="G181" i="3"/>
  <c r="G136" i="3"/>
  <c r="G107" i="3"/>
  <c r="G59" i="3"/>
  <c r="G90" i="3"/>
  <c r="D43" i="3"/>
  <c r="G43" i="3"/>
  <c r="F43" i="3"/>
  <c r="AC26" i="3" s="1"/>
  <c r="E43" i="3"/>
  <c r="Y5" i="10" l="1"/>
  <c r="X39" i="10"/>
  <c r="X47" i="10" s="1"/>
  <c r="AB45" i="10"/>
  <c r="AK27" i="10"/>
  <c r="AP30" i="10"/>
  <c r="AU30" i="10" s="1"/>
  <c r="AK18" i="10"/>
  <c r="AM25" i="10"/>
  <c r="AN25" i="10" s="1"/>
  <c r="AM23" i="10"/>
  <c r="AN23" i="10" s="1"/>
  <c r="AK17" i="10"/>
  <c r="AG15" i="10"/>
  <c r="AH15" i="10" s="1"/>
  <c r="AJ15" i="10" s="1"/>
  <c r="AE8" i="10"/>
  <c r="AE16" i="10"/>
  <c r="AE13" i="10"/>
  <c r="AP26" i="10"/>
  <c r="AV26" i="10" s="1"/>
  <c r="BB26" i="10" s="1"/>
  <c r="AM20" i="10"/>
  <c r="AN20" i="10" s="1"/>
  <c r="AG12" i="10"/>
  <c r="AH12" i="10" s="1"/>
  <c r="AJ12" i="10" s="1"/>
  <c r="AE11" i="10"/>
  <c r="AB31" i="10"/>
  <c r="AD31" i="10" s="1"/>
  <c r="AH22" i="10"/>
  <c r="AJ22" i="10" s="1"/>
  <c r="AE24" i="10"/>
  <c r="AM28" i="10"/>
  <c r="AN28" i="10" s="1"/>
  <c r="AH29" i="10"/>
  <c r="AJ29" i="10" s="1"/>
  <c r="AE7" i="10"/>
  <c r="AE6" i="10"/>
  <c r="AB46" i="10"/>
  <c r="AD45" i="10"/>
  <c r="AD46" i="10" s="1"/>
  <c r="AM21" i="10"/>
  <c r="AP19" i="10"/>
  <c r="AU19" i="10" s="1"/>
  <c r="I43" i="3"/>
  <c r="D44" i="3" s="1"/>
  <c r="T25" i="3"/>
  <c r="AC25" i="3" s="1"/>
  <c r="AC27" i="3" s="1"/>
  <c r="AC28" i="3" s="1"/>
  <c r="Y39" i="10" l="1"/>
  <c r="Y47" i="10" s="1"/>
  <c r="AA5" i="10"/>
  <c r="AA39" i="10" s="1"/>
  <c r="AA47" i="10" s="1"/>
  <c r="AV30" i="10"/>
  <c r="BB30" i="10" s="1"/>
  <c r="BD26" i="10"/>
  <c r="BF26" i="10" s="1"/>
  <c r="BD30" i="10"/>
  <c r="BF30" i="10" s="1"/>
  <c r="AQ19" i="10"/>
  <c r="AV19" i="10"/>
  <c r="BB19" i="10" s="1"/>
  <c r="AU26" i="10"/>
  <c r="AQ26" i="10"/>
  <c r="AK12" i="10"/>
  <c r="AG13" i="10"/>
  <c r="AH13" i="10" s="1"/>
  <c r="AJ13" i="10" s="1"/>
  <c r="AP23" i="10"/>
  <c r="AU23" i="10" s="1"/>
  <c r="AG11" i="10"/>
  <c r="AH11" i="10" s="1"/>
  <c r="AJ11" i="10" s="1"/>
  <c r="AG16" i="10"/>
  <c r="AH16" i="10" s="1"/>
  <c r="AJ16" i="10" s="1"/>
  <c r="AP25" i="10"/>
  <c r="AV25" i="10" s="1"/>
  <c r="BB25" i="10" s="1"/>
  <c r="AP28" i="10"/>
  <c r="AV28" i="10" s="1"/>
  <c r="BB28" i="10" s="1"/>
  <c r="AG24" i="10"/>
  <c r="AH24" i="10" s="1"/>
  <c r="AJ24" i="10" s="1"/>
  <c r="AE31" i="10"/>
  <c r="AP20" i="10"/>
  <c r="AV20" i="10" s="1"/>
  <c r="BB20" i="10" s="1"/>
  <c r="AN21" i="10"/>
  <c r="AE45" i="10"/>
  <c r="AK9" i="10"/>
  <c r="AG6" i="10"/>
  <c r="AH6" i="10" s="1"/>
  <c r="AJ6" i="10" s="1"/>
  <c r="AG7" i="10"/>
  <c r="AE10" i="10"/>
  <c r="AE14" i="10"/>
  <c r="AQ30" i="10"/>
  <c r="AK29" i="10"/>
  <c r="AG8" i="10"/>
  <c r="AH8" i="10" s="1"/>
  <c r="AJ8" i="10" s="1"/>
  <c r="AK15" i="10"/>
  <c r="AM17" i="10"/>
  <c r="AN17" i="10" s="1"/>
  <c r="AM18" i="10"/>
  <c r="AN18" i="10" s="1"/>
  <c r="AM27" i="10"/>
  <c r="H59" i="3"/>
  <c r="I59" i="3" s="1"/>
  <c r="D60" i="3" s="1"/>
  <c r="AU20" i="10" l="1"/>
  <c r="AB5" i="10"/>
  <c r="AD5" i="10" s="1"/>
  <c r="AQ23" i="10"/>
  <c r="AV23" i="10"/>
  <c r="BD20" i="10"/>
  <c r="BF20" i="10" s="1"/>
  <c r="BD28" i="10"/>
  <c r="BF28" i="10" s="1"/>
  <c r="BD19" i="10"/>
  <c r="BF19" i="10" s="1"/>
  <c r="AU28" i="10"/>
  <c r="AQ20" i="10"/>
  <c r="BD25" i="10"/>
  <c r="BF25" i="10" s="1"/>
  <c r="AK16" i="10"/>
  <c r="AK6" i="10"/>
  <c r="AK11" i="10"/>
  <c r="AP17" i="10"/>
  <c r="AU17" i="10" s="1"/>
  <c r="AK24" i="10"/>
  <c r="AQ28" i="10"/>
  <c r="AN27" i="10"/>
  <c r="AK22" i="10"/>
  <c r="AU25" i="10"/>
  <c r="AH7" i="10"/>
  <c r="AJ7" i="10" s="1"/>
  <c r="AE46" i="10"/>
  <c r="AG45" i="10"/>
  <c r="AH45" i="10" s="1"/>
  <c r="AQ25" i="10"/>
  <c r="AP18" i="10"/>
  <c r="AU18" i="10" s="1"/>
  <c r="AM15" i="10"/>
  <c r="AN15" i="10" s="1"/>
  <c r="AK8" i="10"/>
  <c r="AM29" i="10"/>
  <c r="AN29" i="10" s="1"/>
  <c r="AG14" i="10"/>
  <c r="AH14" i="10" s="1"/>
  <c r="AJ14" i="10" s="1"/>
  <c r="AG10" i="10"/>
  <c r="AH10" i="10" s="1"/>
  <c r="AJ10" i="10" s="1"/>
  <c r="AM9" i="10"/>
  <c r="AN9" i="10" s="1"/>
  <c r="AP21" i="10"/>
  <c r="AU21" i="10" s="1"/>
  <c r="AG31" i="10"/>
  <c r="AK13" i="10"/>
  <c r="AM12" i="10"/>
  <c r="H75" i="3"/>
  <c r="I75" i="3" s="1"/>
  <c r="D76" i="3" s="1"/>
  <c r="AB39" i="10" l="1"/>
  <c r="AB47" i="10" s="1"/>
  <c r="BB23" i="10"/>
  <c r="BD23" i="10" s="1"/>
  <c r="BF23" i="10" s="1"/>
  <c r="AE5" i="10"/>
  <c r="AD39" i="10"/>
  <c r="AD47" i="10" s="1"/>
  <c r="AV18" i="10"/>
  <c r="BB18" i="10" s="1"/>
  <c r="BD18" i="10" s="1"/>
  <c r="BF18" i="10" s="1"/>
  <c r="AP9" i="10"/>
  <c r="AQ9" i="10" s="1"/>
  <c r="AM11" i="10"/>
  <c r="AN11" i="10" s="1"/>
  <c r="AM13" i="10"/>
  <c r="AN13" i="10" s="1"/>
  <c r="AM16" i="10"/>
  <c r="AK10" i="10"/>
  <c r="AK14" i="10"/>
  <c r="AM8" i="10"/>
  <c r="AN8" i="10" s="1"/>
  <c r="AP15" i="10"/>
  <c r="AV15" i="10" s="1"/>
  <c r="BB15" i="10" s="1"/>
  <c r="AH46" i="10"/>
  <c r="AJ45" i="10"/>
  <c r="AJ46" i="10" s="1"/>
  <c r="AP27" i="10"/>
  <c r="AU27" i="10" s="1"/>
  <c r="AQ17" i="10"/>
  <c r="AM6" i="10"/>
  <c r="AN12" i="10"/>
  <c r="AH31" i="10"/>
  <c r="AJ31" i="10" s="1"/>
  <c r="AQ21" i="10"/>
  <c r="AV21" i="10"/>
  <c r="BB21" i="10" s="1"/>
  <c r="AQ18" i="10"/>
  <c r="AG46" i="10"/>
  <c r="AV17" i="10"/>
  <c r="BB17" i="10" s="1"/>
  <c r="AP29" i="10"/>
  <c r="AQ29" i="10" s="1"/>
  <c r="AM22" i="10"/>
  <c r="AM24" i="10"/>
  <c r="H90" i="3"/>
  <c r="AE39" i="10" l="1"/>
  <c r="AE47" i="10" s="1"/>
  <c r="AG5" i="10"/>
  <c r="AU9" i="10"/>
  <c r="BD17" i="10"/>
  <c r="BF17" i="10" s="1"/>
  <c r="AV29" i="10"/>
  <c r="BB29" i="10" s="1"/>
  <c r="BD21" i="10"/>
  <c r="BF21" i="10" s="1"/>
  <c r="AQ27" i="10"/>
  <c r="AV27" i="10"/>
  <c r="BB27" i="10" s="1"/>
  <c r="BD15" i="10"/>
  <c r="BF15" i="10" s="1"/>
  <c r="AU29" i="10"/>
  <c r="AV9" i="10"/>
  <c r="BB9" i="10" s="1"/>
  <c r="AQ15" i="10"/>
  <c r="AP8" i="10"/>
  <c r="AQ8" i="10" s="1"/>
  <c r="AM14" i="10"/>
  <c r="AN14" i="10" s="1"/>
  <c r="AM10" i="10"/>
  <c r="AN10" i="10" s="1"/>
  <c r="AP13" i="10"/>
  <c r="AU13" i="10" s="1"/>
  <c r="AP11" i="10"/>
  <c r="AV11" i="10" s="1"/>
  <c r="BB11" i="10" s="1"/>
  <c r="AN24" i="10"/>
  <c r="AN22" i="10"/>
  <c r="AU15" i="10"/>
  <c r="AP12" i="10"/>
  <c r="AU12" i="10" s="1"/>
  <c r="AN6" i="10"/>
  <c r="AK7" i="10"/>
  <c r="AK45" i="10"/>
  <c r="AN16" i="10"/>
  <c r="I90" i="3"/>
  <c r="AH5" i="10" l="1"/>
  <c r="AJ5" i="10" s="1"/>
  <c r="AG39" i="10"/>
  <c r="AG47" i="10" s="1"/>
  <c r="AU11" i="10"/>
  <c r="AU8" i="10"/>
  <c r="BD11" i="10"/>
  <c r="BF11" i="10" s="1"/>
  <c r="AV13" i="10"/>
  <c r="BB13" i="10" s="1"/>
  <c r="AV8" i="10"/>
  <c r="BB8" i="10" s="1"/>
  <c r="BD9" i="10"/>
  <c r="BF9" i="10" s="1"/>
  <c r="BD27" i="10"/>
  <c r="BF27" i="10" s="1"/>
  <c r="BD29" i="10"/>
  <c r="BF29" i="10" s="1"/>
  <c r="AM7" i="10"/>
  <c r="AQ12" i="10"/>
  <c r="AP22" i="10"/>
  <c r="AU22" i="10" s="1"/>
  <c r="AQ11" i="10"/>
  <c r="AP10" i="10"/>
  <c r="AQ10" i="10" s="1"/>
  <c r="AP14" i="10"/>
  <c r="AV14" i="10" s="1"/>
  <c r="BB14" i="10" s="1"/>
  <c r="AP16" i="10"/>
  <c r="AU16" i="10" s="1"/>
  <c r="AK46" i="10"/>
  <c r="AM45" i="10"/>
  <c r="AP6" i="10"/>
  <c r="AU6" i="10" s="1"/>
  <c r="AV12" i="10"/>
  <c r="BB12" i="10" s="1"/>
  <c r="AP24" i="10"/>
  <c r="AU24" i="10" s="1"/>
  <c r="AQ13" i="10"/>
  <c r="AK31" i="10"/>
  <c r="D91" i="3"/>
  <c r="H107" i="3" s="1"/>
  <c r="I107" i="3" s="1"/>
  <c r="D108" i="3" s="1"/>
  <c r="H121" i="3" s="1"/>
  <c r="I121" i="3" s="1"/>
  <c r="D122" i="3" s="1"/>
  <c r="AH39" i="10" l="1"/>
  <c r="AH47" i="10" s="1"/>
  <c r="AU10" i="10"/>
  <c r="AQ24" i="10"/>
  <c r="AV24" i="10"/>
  <c r="BD12" i="10"/>
  <c r="BF12" i="10" s="1"/>
  <c r="AV16" i="10"/>
  <c r="BB16" i="10" s="1"/>
  <c r="BD14" i="10"/>
  <c r="BF14" i="10" s="1"/>
  <c r="AV10" i="10"/>
  <c r="BB10" i="10" s="1"/>
  <c r="BD13" i="10"/>
  <c r="BF13" i="10" s="1"/>
  <c r="BD8" i="10"/>
  <c r="BF8" i="10" s="1"/>
  <c r="AM46" i="10"/>
  <c r="AQ14" i="10"/>
  <c r="AM31" i="10"/>
  <c r="AN31" i="10" s="1"/>
  <c r="AU14" i="10"/>
  <c r="AQ6" i="10"/>
  <c r="AV6" i="10"/>
  <c r="BB6" i="10" s="1"/>
  <c r="AN45" i="10"/>
  <c r="AQ16" i="10"/>
  <c r="AQ22" i="10"/>
  <c r="AV22" i="10"/>
  <c r="BB22" i="10" s="1"/>
  <c r="AN7" i="10"/>
  <c r="BB24" i="10" l="1"/>
  <c r="BD24" i="10" s="1"/>
  <c r="BF24" i="10" s="1"/>
  <c r="AK5" i="10"/>
  <c r="AJ39" i="10"/>
  <c r="AJ47" i="10" s="1"/>
  <c r="BD16" i="10"/>
  <c r="BF16" i="10" s="1"/>
  <c r="BD22" i="10"/>
  <c r="BF22" i="10" s="1"/>
  <c r="BD6" i="10"/>
  <c r="BF6" i="10" s="1"/>
  <c r="BD10" i="10"/>
  <c r="BF10" i="10" s="1"/>
  <c r="AN46" i="10"/>
  <c r="AP45" i="10"/>
  <c r="AQ45" i="10" s="1"/>
  <c r="AQ46" i="10" s="1"/>
  <c r="AP31" i="10"/>
  <c r="AV31" i="10" s="1"/>
  <c r="BB31" i="10" s="1"/>
  <c r="AP7" i="10"/>
  <c r="AV7" i="10" s="1"/>
  <c r="BB7" i="10" s="1"/>
  <c r="I136" i="3"/>
  <c r="AK39" i="10" l="1"/>
  <c r="AK47" i="10" s="1"/>
  <c r="AM5" i="10"/>
  <c r="AV45" i="10"/>
  <c r="AV46" i="10" s="1"/>
  <c r="AU31" i="10"/>
  <c r="AQ31" i="10"/>
  <c r="BD31" i="10"/>
  <c r="BF31" i="10" s="1"/>
  <c r="BD7" i="10"/>
  <c r="AQ7" i="10"/>
  <c r="AP46" i="10"/>
  <c r="AU45" i="10"/>
  <c r="AU46" i="10" s="1"/>
  <c r="AU7" i="10"/>
  <c r="BB45" i="10"/>
  <c r="BB46" i="10" s="1"/>
  <c r="D137" i="3"/>
  <c r="AN5" i="10" l="1"/>
  <c r="AM39" i="10"/>
  <c r="AM47" i="10" s="1"/>
  <c r="BF7" i="10"/>
  <c r="I151" i="3"/>
  <c r="D152" i="3" s="1"/>
  <c r="I166" i="3" s="1"/>
  <c r="D167" i="3" s="1"/>
  <c r="H181" i="3" s="1"/>
  <c r="I181" i="3" s="1"/>
  <c r="D182" i="3" s="1"/>
  <c r="H202" i="3" s="1"/>
  <c r="AN39" i="10" l="1"/>
  <c r="AN47" i="10" s="1"/>
  <c r="AP5" i="10"/>
  <c r="I202" i="3"/>
  <c r="D203" i="3" s="1"/>
  <c r="H218" i="3" s="1"/>
  <c r="I218" i="3" s="1"/>
  <c r="AV5" i="10" l="1"/>
  <c r="AP39" i="10"/>
  <c r="AP47" i="10" s="1"/>
  <c r="AU5" i="10"/>
  <c r="AU39" i="10" s="1"/>
  <c r="AQ5" i="10"/>
  <c r="AQ39" i="10" s="1"/>
  <c r="AQ47" i="10" s="1"/>
  <c r="D219" i="3"/>
  <c r="H232" i="3" s="1"/>
  <c r="I232" i="3" s="1"/>
  <c r="D233" i="3" s="1"/>
  <c r="H247" i="3" s="1"/>
  <c r="AU47" i="10" l="1"/>
  <c r="D2" i="15"/>
  <c r="AV39" i="10"/>
  <c r="BB5" i="10"/>
  <c r="BD5" i="10" s="1"/>
  <c r="I247" i="3"/>
  <c r="D248" i="3" s="1"/>
  <c r="I254" i="3"/>
  <c r="F2" i="15" l="1"/>
  <c r="F18" i="15" s="1"/>
  <c r="D18" i="15"/>
  <c r="BB39" i="10"/>
  <c r="AV47" i="10"/>
  <c r="BF5" i="10"/>
  <c r="BF39" i="10" s="1"/>
  <c r="H254" i="3"/>
  <c r="Q30" i="3"/>
  <c r="BB47" i="10" l="1"/>
  <c r="BD39" i="10"/>
  <c r="BE39" i="10" s="1"/>
  <c r="BE47" i="10" s="1"/>
  <c r="BF47" i="10"/>
  <c r="R41" i="3"/>
  <c r="R40" i="3"/>
  <c r="R36" i="3"/>
  <c r="R50" i="3"/>
  <c r="R38" i="3"/>
  <c r="R37" i="3"/>
  <c r="R47" i="3"/>
  <c r="R39" i="3"/>
  <c r="R51" i="3"/>
  <c r="R42" i="3"/>
  <c r="R44" i="3"/>
  <c r="R30" i="3"/>
  <c r="R43" i="3"/>
  <c r="R60" i="3"/>
  <c r="R34" i="3"/>
  <c r="R59" i="3"/>
  <c r="R35" i="3"/>
  <c r="R58" i="3"/>
  <c r="R32" i="3"/>
  <c r="R49" i="3"/>
  <c r="R33" i="3"/>
  <c r="R48" i="3"/>
  <c r="R46" i="3"/>
  <c r="R31" i="3"/>
  <c r="R45" i="3"/>
  <c r="R62" i="3"/>
  <c r="BD47" i="10" l="1"/>
  <c r="R64" i="3"/>
  <c r="L118" i="3" l="1"/>
</calcChain>
</file>

<file path=xl/comments1.xml><?xml version="1.0" encoding="utf-8"?>
<comments xmlns="http://schemas.openxmlformats.org/spreadsheetml/2006/main">
  <authors>
    <author>lenovo</author>
  </authors>
  <commentList>
    <comment ref="N27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INSCRIPTION</t>
        </r>
      </text>
    </comment>
    <comment ref="N29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INSCRIPTION</t>
        </r>
      </text>
    </comment>
    <comment ref="N39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INSCRIPTION</t>
        </r>
      </text>
    </comment>
    <comment ref="P72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1000000 pour 3 mois</t>
        </r>
      </text>
    </comment>
    <comment ref="T94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40000 de M yepmo deduire du  paiement de de M Nkamgang </t>
        </r>
      </text>
    </comment>
    <comment ref="H123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pour le compte de mbogning guy</t>
        </r>
      </text>
    </comment>
    <comment ref="P127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200000 pour 3 mois</t>
        </r>
      </text>
    </comment>
    <comment ref="P147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500000 pour 2 mois</t>
        </r>
      </text>
    </comment>
    <comment ref="P150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1000000 pour 8 mois</t>
        </r>
      </text>
    </comment>
    <comment ref="P159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300000 pour 4 mois</t>
        </r>
      </text>
    </comment>
    <comment ref="H170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pour le compte de mbogning guy</t>
        </r>
      </text>
    </comment>
    <comment ref="P174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700000 pour 6 mois</t>
        </r>
      </text>
    </comment>
    <comment ref="P178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prêt de 1000000 pour 6 mois</t>
        </r>
      </text>
    </comment>
    <comment ref="D333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RETOUR EN CAISSE DEUIL MEFIEU KOUATCHO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C36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305000 DANS EPARGNE ET 191118 DANS TONTINE DÉJÀ LIQUIDEE</t>
        </r>
      </text>
    </comment>
  </commentList>
</comments>
</file>

<file path=xl/comments3.xml><?xml version="1.0" encoding="utf-8"?>
<comments xmlns="http://schemas.openxmlformats.org/spreadsheetml/2006/main">
  <authors>
    <author>lenovo</author>
  </authors>
  <commentList>
    <comment ref="E46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mais retenu pour compensation 40000 de M Yepmo</t>
        </r>
      </text>
    </comment>
  </commentList>
</comments>
</file>

<file path=xl/sharedStrings.xml><?xml version="1.0" encoding="utf-8"?>
<sst xmlns="http://schemas.openxmlformats.org/spreadsheetml/2006/main" count="2453" uniqueCount="464">
  <si>
    <t>TOTAL</t>
  </si>
  <si>
    <t xml:space="preserve">TOTAL </t>
  </si>
  <si>
    <t>Somme empruntée</t>
  </si>
  <si>
    <t>Montant</t>
  </si>
  <si>
    <t>Intérêt produit</t>
  </si>
  <si>
    <t xml:space="preserve">Dates </t>
  </si>
  <si>
    <t>Somme remboursée</t>
  </si>
  <si>
    <t>Montant à rembourser</t>
  </si>
  <si>
    <t>Nom et Prénom</t>
  </si>
  <si>
    <t>Date</t>
  </si>
  <si>
    <t>Cotisation</t>
  </si>
  <si>
    <t>Mtant achat</t>
  </si>
  <si>
    <t>Nom &amp; Prénom</t>
  </si>
  <si>
    <t>Reliquat Juil</t>
  </si>
  <si>
    <t>Total disponible</t>
  </si>
  <si>
    <t>Solde en caisse</t>
  </si>
  <si>
    <t>cotisation</t>
  </si>
  <si>
    <t xml:space="preserve">Total </t>
  </si>
  <si>
    <t>Disponible</t>
  </si>
  <si>
    <t>REMBOURSEMENTS ET EMPRUNTS DES SOUS-PRODUITS</t>
  </si>
  <si>
    <t xml:space="preserve">Mt achat </t>
  </si>
  <si>
    <t>Net à percev</t>
  </si>
  <si>
    <t xml:space="preserve">Mt du lot </t>
  </si>
  <si>
    <t>NOM</t>
  </si>
  <si>
    <t>DETTE</t>
  </si>
  <si>
    <t>Nbre de part</t>
  </si>
  <si>
    <t>Mtant d'une part</t>
  </si>
  <si>
    <t>Net à percevoir</t>
  </si>
  <si>
    <t>:::::::::::::::::::</t>
  </si>
  <si>
    <t>BILAN DE LA TONTINE VENTE</t>
  </si>
  <si>
    <t>reliquat fev</t>
  </si>
  <si>
    <t>reliquat mar</t>
  </si>
  <si>
    <t>reliquat avr</t>
  </si>
  <si>
    <t>mtant achat</t>
  </si>
  <si>
    <t>reliquat</t>
  </si>
  <si>
    <t>TOTINE AVEC RETENUE</t>
  </si>
  <si>
    <t xml:space="preserve">KOUATCHO </t>
  </si>
  <si>
    <t>HOTCHO BENJAMIN</t>
  </si>
  <si>
    <t>NGONDIEP CLAUDE</t>
  </si>
  <si>
    <t>BOUTCHOUANG WILLIAM</t>
  </si>
  <si>
    <t>SIMO PIERRE</t>
  </si>
  <si>
    <t>PATEGO NJOSSU GUSTAVE</t>
  </si>
  <si>
    <t>HENGUE PAUL OMER</t>
  </si>
  <si>
    <t xml:space="preserve">DJOMO JEAN PAUL </t>
  </si>
  <si>
    <t>INTERETS DISTRIBUES</t>
  </si>
  <si>
    <t>TROP PERCU</t>
  </si>
  <si>
    <t>SIME BRICE</t>
  </si>
  <si>
    <t>ANNEE 2023</t>
  </si>
  <si>
    <t>nombre de parts</t>
  </si>
  <si>
    <t>19 fevrier 2023</t>
  </si>
  <si>
    <t>20 aout 2023</t>
  </si>
  <si>
    <t>17 decembre 2023</t>
  </si>
  <si>
    <t>SITUATION FONDS DES MEMBRES DEC 2022</t>
  </si>
  <si>
    <t>SITUATION FONDS DES MEMBRES DE2022</t>
  </si>
  <si>
    <t>SITUATION FONDS DES MEMBRES</t>
  </si>
  <si>
    <t>N°</t>
  </si>
  <si>
    <t>NOMS ET PRENOMS</t>
  </si>
  <si>
    <t>FONDS</t>
  </si>
  <si>
    <t>RECONDUCTIONS</t>
  </si>
  <si>
    <t>DECEMBRE 2022</t>
  </si>
  <si>
    <t>JANVIER 2023</t>
  </si>
  <si>
    <t>FEVRIER 2023</t>
  </si>
  <si>
    <t>MARS 2023</t>
  </si>
  <si>
    <t>AVRIL 2023</t>
  </si>
  <si>
    <t>MAI 2023</t>
  </si>
  <si>
    <t>JUIN 2023</t>
  </si>
  <si>
    <t>JUILLET 2023</t>
  </si>
  <si>
    <t>AOUT 2023</t>
  </si>
  <si>
    <t>SEPTEMBRE 2023</t>
  </si>
  <si>
    <t>OCTOBRE 2023</t>
  </si>
  <si>
    <t>NOVEMBRE 2023</t>
  </si>
  <si>
    <t>DECEMBRE 2023</t>
  </si>
  <si>
    <t>SYNTHESE ANNUELLE</t>
  </si>
  <si>
    <t>INTERET</t>
  </si>
  <si>
    <t>CUMUL</t>
  </si>
  <si>
    <t>EPARGNE</t>
  </si>
  <si>
    <t>RECONDUCTION</t>
  </si>
  <si>
    <t>EPARGNE ANNUELLE</t>
  </si>
  <si>
    <t>RETRAIT FOND</t>
  </si>
  <si>
    <t>RETRAIT MUTUEL</t>
  </si>
  <si>
    <t>RETRAIT FOYER</t>
  </si>
  <si>
    <t>RETRAIT PENALITE</t>
  </si>
  <si>
    <t>SAISIE REMB</t>
  </si>
  <si>
    <t>RESTE</t>
  </si>
  <si>
    <t>NOUVEAU FONDS</t>
  </si>
  <si>
    <t>NAP</t>
  </si>
  <si>
    <t>MONTANT DECHARGE</t>
  </si>
  <si>
    <t>REPORT A NOUVEAU</t>
  </si>
  <si>
    <t>ASELBY</t>
  </si>
  <si>
    <t>DJOMOU TCHANDA</t>
  </si>
  <si>
    <t>DJOUKWE NANGUEN GUY BLAISE</t>
  </si>
  <si>
    <t>DJUOMBESSY ANTOINE</t>
  </si>
  <si>
    <t>DOMOU FABIEN</t>
  </si>
  <si>
    <t>DONHOU DAVID</t>
  </si>
  <si>
    <t>KOUAMOU MOISE</t>
  </si>
  <si>
    <t>KOUATCHO MESSACK</t>
  </si>
  <si>
    <t>LOWE JEAN</t>
  </si>
  <si>
    <t>MBOGNING TUGMA GUY</t>
  </si>
  <si>
    <t>NANGUEN MARTIN</t>
  </si>
  <si>
    <t>NANKAM APPOLINAIRE</t>
  </si>
  <si>
    <t>NDJOMO ETIENNE</t>
  </si>
  <si>
    <t>NGUIEMEGNI MATHIEU BLAISE</t>
  </si>
  <si>
    <t>NKAMGANG JUSTIN DEJOLIE</t>
  </si>
  <si>
    <t>NKEPSEU DIEUDONNE</t>
  </si>
  <si>
    <t>SIMO FONGANG ERIC</t>
  </si>
  <si>
    <t>TCHOUAMOU MATHIEU</t>
  </si>
  <si>
    <t>YEPMOU JEAN JACQUES</t>
  </si>
  <si>
    <t>YOUMBI EMMANUEL</t>
  </si>
  <si>
    <t>TOTAL 1</t>
  </si>
  <si>
    <t>NKEHE DAVID</t>
  </si>
  <si>
    <t>TIEYAM ERNEST</t>
  </si>
  <si>
    <t>BAKOP ACHILLE</t>
  </si>
  <si>
    <t>NGONGANG JEAN THEODORE</t>
  </si>
  <si>
    <t>NGANHOU JEAN</t>
  </si>
  <si>
    <t>FOTSO THOMAS</t>
  </si>
  <si>
    <t>TOTAL 2</t>
  </si>
  <si>
    <t>TOTAL 1+2</t>
  </si>
  <si>
    <t>80000 DE NGANHOU JEAN</t>
  </si>
  <si>
    <t>PRETS ET REMBOURSEMENTS 2023</t>
  </si>
  <si>
    <t>CUMUL ANNUEL</t>
  </si>
  <si>
    <t xml:space="preserve">PRETS </t>
  </si>
  <si>
    <t>REMBOURSEMENT</t>
  </si>
  <si>
    <t>INTERET PAYE</t>
  </si>
  <si>
    <t>MONTANT</t>
  </si>
  <si>
    <t>DJOUKWE NANGUEN GUY BL</t>
  </si>
  <si>
    <t>NGUIEMEGNI MATHIEU B</t>
  </si>
  <si>
    <t>NKAMGANG JUSTIN DEJ</t>
  </si>
  <si>
    <t>PATEGO NJOSSU GUST</t>
  </si>
  <si>
    <t>TCHOUANTE FRANCOIS</t>
  </si>
  <si>
    <t>NJIEPDJIO DELUXE</t>
  </si>
  <si>
    <t>TCHINGUE FABRICE</t>
  </si>
  <si>
    <t>LIBELLES</t>
  </si>
  <si>
    <t>MONTANT A PAYER</t>
  </si>
  <si>
    <t>PAYE EN ESPECE</t>
  </si>
  <si>
    <t>EN COMPTE</t>
  </si>
  <si>
    <t>PAYE PAR CHEQUE</t>
  </si>
  <si>
    <t>SOLDE CCA AU 30/12/22</t>
  </si>
  <si>
    <t>Observations</t>
  </si>
  <si>
    <t>VERSEMENTS</t>
  </si>
  <si>
    <t>CAISSE JANVIER 2023</t>
  </si>
  <si>
    <t>SOLDE CCA AU 30/12/23</t>
  </si>
  <si>
    <t>SOLDE CCA AU 30/12/24</t>
  </si>
  <si>
    <t>CAISSE FEVRIER 2023</t>
  </si>
  <si>
    <t>CAISSE MARS 2023</t>
  </si>
  <si>
    <t>SOLDE CCA AU 30/12/25</t>
  </si>
  <si>
    <t>SOLDE CCA AU 30/12/26</t>
  </si>
  <si>
    <t>SOLDE CCA AU 30/12/27</t>
  </si>
  <si>
    <t>CAISSE AVRIL 2023</t>
  </si>
  <si>
    <t>CAISSE MAI 2023</t>
  </si>
  <si>
    <t>CAISSE JUIN 2023</t>
  </si>
  <si>
    <t>CAISSE JUILLET 2023</t>
  </si>
  <si>
    <t>CAISSE AOUT 2023</t>
  </si>
  <si>
    <t>CAISSE SEPTEMBRE 2023</t>
  </si>
  <si>
    <t>CAISSE OCTOBRE 2023</t>
  </si>
  <si>
    <t>CAISSE NOVEMBRE 2023</t>
  </si>
  <si>
    <t>SOLDE CCA AU 30/12/28</t>
  </si>
  <si>
    <t>CAISSE DECEMBRE 2023</t>
  </si>
  <si>
    <t>COTISATION FOYER</t>
  </si>
  <si>
    <t>NOUVEAU</t>
  </si>
  <si>
    <t>FEV 2022</t>
  </si>
  <si>
    <t>AOUT 2022</t>
  </si>
  <si>
    <t>DEC 2022</t>
  </si>
  <si>
    <t>TOTAL COTISE</t>
  </si>
  <si>
    <t>RESTE A COTISER</t>
  </si>
  <si>
    <t>NGUIEMEGNI MATHIEU BL</t>
  </si>
  <si>
    <t>SEUMOU POLYCARPE</t>
  </si>
  <si>
    <t>NOUBE ETIENNE</t>
  </si>
  <si>
    <t>SOLDE</t>
  </si>
  <si>
    <t>F R</t>
  </si>
  <si>
    <t>F EX</t>
  </si>
  <si>
    <t>COLL</t>
  </si>
  <si>
    <t>T PRESENCE</t>
  </si>
  <si>
    <t>T 75</t>
  </si>
  <si>
    <t>T 100</t>
  </si>
  <si>
    <t>REMB PRÊT</t>
  </si>
  <si>
    <t>DEPOT</t>
  </si>
  <si>
    <t>PENALITE</t>
  </si>
  <si>
    <t>INTERET PRÊT</t>
  </si>
  <si>
    <t>FOYER</t>
  </si>
  <si>
    <t>TOTAL VERSE</t>
  </si>
  <si>
    <t>COTISE</t>
  </si>
  <si>
    <t>REMB</t>
  </si>
  <si>
    <t>ESPECE</t>
  </si>
  <si>
    <t>BANQUE</t>
  </si>
  <si>
    <t>TCHEMHOU EMMANUEL</t>
  </si>
  <si>
    <t>CHINGUE FABRICE</t>
  </si>
  <si>
    <t>KOUAMOU EMMANUEL</t>
  </si>
  <si>
    <t>TCHOUTOU NANA CLAUDE</t>
  </si>
  <si>
    <t>BROUILLARD DE CAISSE 15 JANVIER 2023</t>
  </si>
  <si>
    <t>BROUILLARD DE CAISSE DU 19 MARS 2023</t>
  </si>
  <si>
    <t>BROUILLARD DE CAISSE DU 16 AVRIL 2023</t>
  </si>
  <si>
    <t>BROUILLARD DE CAISSE DU 21 MAI 2023</t>
  </si>
  <si>
    <t>BROUILLARD DE CAISSE DU 18 JUIN 2023</t>
  </si>
  <si>
    <t>BROUILLARD DE CAISSE DU 16 JUILLET 2023</t>
  </si>
  <si>
    <t>BROUILLARD DE CAISSE DU 17 SEPTEMBRE 2023</t>
  </si>
  <si>
    <t>BROUILLARD DE CAISSE DU 15 OCTOBRE 2023</t>
  </si>
  <si>
    <t>BROUILLARD DE CAISSE DU 19 NOVEMBRE 2023</t>
  </si>
  <si>
    <t>BROUILLARD DE CAISSE DU17 DECEMBRE 2023</t>
  </si>
  <si>
    <t>SYNTHESE ANNUELLE 2023</t>
  </si>
  <si>
    <t>OPERATION DE CASSATION</t>
  </si>
  <si>
    <t>T75</t>
  </si>
  <si>
    <t>T100</t>
  </si>
  <si>
    <t>DJOUKWE GUY</t>
  </si>
  <si>
    <t>PATEGO GUSTAVE</t>
  </si>
  <si>
    <t>YOUMBI EMMANUEL 1</t>
  </si>
  <si>
    <t>YOUMBI EMMANUEL 2</t>
  </si>
  <si>
    <t>KOUATCHO</t>
  </si>
  <si>
    <t>MBOGNING GUY</t>
  </si>
  <si>
    <t>DJUOMBISSY ANTOINE</t>
  </si>
  <si>
    <t>NGUIEMENI MATHIEU BLAISE 1</t>
  </si>
  <si>
    <t>NGUIEMENI MATHIEU BLAISE 2</t>
  </si>
  <si>
    <t>reliquat Janvier</t>
  </si>
  <si>
    <t>reliquat Février</t>
  </si>
  <si>
    <t>RELIQUAT MARS</t>
  </si>
  <si>
    <t>reliquat AVRIL</t>
  </si>
  <si>
    <t>RELIQUAT MAI</t>
  </si>
  <si>
    <t>DJOMO JEAN PAUL</t>
  </si>
  <si>
    <t>DJUOMBISSY ANTOINE 1</t>
  </si>
  <si>
    <t>DJUOMBISSY ANTOINE 2</t>
  </si>
  <si>
    <t>NDJOMO ETIENNE 1</t>
  </si>
  <si>
    <t>NDJOMO ETIENNE 2</t>
  </si>
  <si>
    <t>NGUIEMENI MATHIEU BALISE</t>
  </si>
  <si>
    <t>SIME PIERRE</t>
  </si>
  <si>
    <t xml:space="preserve"> </t>
  </si>
  <si>
    <t>YANTCHOU GERVAIS</t>
  </si>
  <si>
    <t>MUTUELLE</t>
  </si>
  <si>
    <t>DJOMO TCHAPDA</t>
  </si>
  <si>
    <t>DJOUKWEU GUY B</t>
  </si>
  <si>
    <t>NGUIEMENI MATHIEU B</t>
  </si>
  <si>
    <t>MBAKOP ACHILLE</t>
  </si>
  <si>
    <t>YEPMO JEAN JACQUES</t>
  </si>
  <si>
    <t>TCHOUTOU NANA</t>
  </si>
  <si>
    <t>NGUIEMENI M B</t>
  </si>
  <si>
    <t>NGONDIEP CL</t>
  </si>
  <si>
    <t>DJOMO JEAN P</t>
  </si>
  <si>
    <t>NGUIEMENI</t>
  </si>
  <si>
    <t>NGONDIEP</t>
  </si>
  <si>
    <t>MBOGNING</t>
  </si>
  <si>
    <t>DJOMO JP</t>
  </si>
  <si>
    <t>NKAMGANG J D</t>
  </si>
  <si>
    <t>DJOUKWEU G</t>
  </si>
  <si>
    <t>DJOMO FRANCOIS</t>
  </si>
  <si>
    <t>TONTINE DE PRESENCE</t>
  </si>
  <si>
    <t>NKAMGANG JUSTIN D</t>
  </si>
  <si>
    <t>INTERET T PRESENCE</t>
  </si>
  <si>
    <t>DJOUKWEU GUY</t>
  </si>
  <si>
    <t>BENEF T 100</t>
  </si>
  <si>
    <t xml:space="preserve">NBOGNING GUY </t>
  </si>
  <si>
    <t>INTERET T 100</t>
  </si>
  <si>
    <t>BENEFICIAIRE T 75</t>
  </si>
  <si>
    <t>INTERET T 75</t>
  </si>
  <si>
    <t>INTERET T75</t>
  </si>
  <si>
    <t xml:space="preserve">NDJOMO ETIENNE </t>
  </si>
  <si>
    <t>TAXI BANQUE</t>
  </si>
  <si>
    <t>COLLATION FEVRIER</t>
  </si>
  <si>
    <t>NGONGANG JEAN THIEDOR</t>
  </si>
  <si>
    <t>tchoutou nana</t>
  </si>
  <si>
    <t>solde après retrait 4337431</t>
  </si>
  <si>
    <t>solde CCA</t>
  </si>
  <si>
    <t>VERSEMENTS en banque</t>
  </si>
  <si>
    <t>difference entre mon solde et le solde en banque</t>
  </si>
  <si>
    <t>12fevrier 2023</t>
  </si>
  <si>
    <t>12 fevrier 2023</t>
  </si>
  <si>
    <t>BROUILLARD DE CAISSE 12 FEVRIER 2023</t>
  </si>
  <si>
    <t>BOGNING</t>
  </si>
  <si>
    <t>HOTCHO</t>
  </si>
  <si>
    <t>NKAMGANG</t>
  </si>
  <si>
    <t>NGUIEMENI MATHIEU</t>
  </si>
  <si>
    <t>saisie et impression rapports</t>
  </si>
  <si>
    <t>commision du 22-1-23</t>
  </si>
  <si>
    <t>commission du 06--02-2023</t>
  </si>
  <si>
    <t>benef tontine presence</t>
  </si>
  <si>
    <t>gratiffication du bureau</t>
  </si>
  <si>
    <t>kouamou moise</t>
  </si>
  <si>
    <t>BENEF T75</t>
  </si>
  <si>
    <t>HOTCHO Benjamin</t>
  </si>
  <si>
    <t>BENEFICIAIRE T 100</t>
  </si>
  <si>
    <t>int presence</t>
  </si>
  <si>
    <t>OBSEQUES</t>
  </si>
  <si>
    <t>500000 PRÊT MBOUTCHOUANG</t>
  </si>
  <si>
    <t>70000 FOYER</t>
  </si>
  <si>
    <t>70000 FOYER 30000 INTERET PRÊT</t>
  </si>
  <si>
    <t>PRÊT</t>
  </si>
  <si>
    <t>EN COMPTE (RECONDUCTION)</t>
  </si>
  <si>
    <t>DJOMO Jean Paul</t>
  </si>
  <si>
    <t>djuombissy antoine</t>
  </si>
  <si>
    <t xml:space="preserve">NGONDIEP </t>
  </si>
  <si>
    <t>TCHOUAMOU</t>
  </si>
  <si>
    <t>TCHOUMOU MATHIEU</t>
  </si>
  <si>
    <t>TONTINE DE 75000</t>
  </si>
  <si>
    <t>RETENUE 892500 POUR SON REMBOURSEMENT</t>
  </si>
  <si>
    <t>DJOUOMBISSI ANTOINE</t>
  </si>
  <si>
    <t>TONTINE DE 100000</t>
  </si>
  <si>
    <t>TONTINE JP</t>
  </si>
  <si>
    <t>PRESENCE</t>
  </si>
  <si>
    <t>FOYER 70000</t>
  </si>
  <si>
    <t>INT T 100000</t>
  </si>
  <si>
    <t>A KOUATCHO</t>
  </si>
  <si>
    <t>107500 COMPLEMENT REMB</t>
  </si>
  <si>
    <t>VERSEMENT FOYER</t>
  </si>
  <si>
    <t>66000 A REMETTRE A HOTCHO</t>
  </si>
  <si>
    <t>kouatcho</t>
  </si>
  <si>
    <t>Tchouamou mat</t>
  </si>
  <si>
    <t>Djoukweu</t>
  </si>
  <si>
    <t>Djoukweu guy</t>
  </si>
  <si>
    <t>Djomo francois</t>
  </si>
  <si>
    <t>Djomo jean p</t>
  </si>
  <si>
    <t>Nguiemeni Mb</t>
  </si>
  <si>
    <t>887000 Retenus pour avance dette M LOWE</t>
  </si>
  <si>
    <t>70000 foyer, 157500 solde dette Epargne</t>
  </si>
  <si>
    <t>Intérêt présence</t>
  </si>
  <si>
    <t>INT T75000</t>
  </si>
  <si>
    <t>colLATION Mai</t>
  </si>
  <si>
    <t>RETOUR FONDS MOIS PASSE</t>
  </si>
  <si>
    <t>70000 foyer</t>
  </si>
  <si>
    <t>nguiemeni</t>
  </si>
  <si>
    <t>Djumbissy</t>
  </si>
  <si>
    <t>lowe</t>
  </si>
  <si>
    <t>Ngondiep</t>
  </si>
  <si>
    <t>Hotcho</t>
  </si>
  <si>
    <t>sime pierre</t>
  </si>
  <si>
    <t>djomo etienne</t>
  </si>
  <si>
    <t>Djuimbissy</t>
  </si>
  <si>
    <t>tontine de 100000</t>
  </si>
  <si>
    <t>déces beau père</t>
  </si>
  <si>
    <t>Djuombissy antoine</t>
  </si>
  <si>
    <t>déces belle mère</t>
  </si>
  <si>
    <t>tontine de présence</t>
  </si>
  <si>
    <t>tontine de presence</t>
  </si>
  <si>
    <t>interet t100</t>
  </si>
  <si>
    <t>interet t75</t>
  </si>
  <si>
    <t>prêt</t>
  </si>
  <si>
    <t>colLATION juin</t>
  </si>
  <si>
    <t>interet presence</t>
  </si>
  <si>
    <t>INTERET PRÊT POUR 3 MOIS</t>
  </si>
  <si>
    <t>COLLATION MARS</t>
  </si>
  <si>
    <t>PRÊTS EN CIRCULATION</t>
  </si>
  <si>
    <t>REMBOURSEMENT PRÊT</t>
  </si>
  <si>
    <t>RUBRIQUES</t>
  </si>
  <si>
    <t>ENTREES</t>
  </si>
  <si>
    <t>SORTIES</t>
  </si>
  <si>
    <t>SOLDES</t>
  </si>
  <si>
    <t>FONDS DE CAISSE ET RELIQUAT</t>
  </si>
  <si>
    <t>FONDS DE ROULEMENT</t>
  </si>
  <si>
    <t>FRAIS EXCEPTIONNELS</t>
  </si>
  <si>
    <t>INSCRIPTION</t>
  </si>
  <si>
    <t>PENALITES</t>
  </si>
  <si>
    <t>COLLATION</t>
  </si>
  <si>
    <t>RECOUVREMENT LAGWEU</t>
  </si>
  <si>
    <t>INTERETS PRETS ET AUTRES</t>
  </si>
  <si>
    <t>TONTINE DE 100 000</t>
  </si>
  <si>
    <t>ANCIENNES TONTINES</t>
  </si>
  <si>
    <t>SURPLUS DE CAISSE</t>
  </si>
  <si>
    <t>Ndjomo etienne</t>
  </si>
  <si>
    <t>Youmbi emmanuel</t>
  </si>
  <si>
    <t>youmbi emmanuel</t>
  </si>
  <si>
    <t>BOGNING Guy</t>
  </si>
  <si>
    <t>en caisse</t>
  </si>
  <si>
    <t>DJUOMBESSY</t>
  </si>
  <si>
    <t>NANKAM</t>
  </si>
  <si>
    <t>djuombessy</t>
  </si>
  <si>
    <t>caisse</t>
  </si>
  <si>
    <t>bakop</t>
  </si>
  <si>
    <t>NDJOMO ETIENNE (bogning)</t>
  </si>
  <si>
    <t>NDJOMO ETIENNE(bogning)</t>
  </si>
  <si>
    <t>int t 75</t>
  </si>
  <si>
    <t>mbogning</t>
  </si>
  <si>
    <t>djoumbessy antoine</t>
  </si>
  <si>
    <t>nankam appolinaire</t>
  </si>
  <si>
    <t>int t presence</t>
  </si>
  <si>
    <t>commission   du 16-6-2023</t>
  </si>
  <si>
    <t>aide JELBY</t>
  </si>
  <si>
    <t>saisie rapport commission</t>
  </si>
  <si>
    <t>collation juillet</t>
  </si>
  <si>
    <t>pris en complement de son remboursement</t>
  </si>
  <si>
    <t>BAKOP Achille</t>
  </si>
  <si>
    <t xml:space="preserve">hengue </t>
  </si>
  <si>
    <t>ngondiep claude</t>
  </si>
  <si>
    <t>hengue</t>
  </si>
  <si>
    <t>HENGUE PAUL</t>
  </si>
  <si>
    <t>BAKOP</t>
  </si>
  <si>
    <t>INTERET T 75000</t>
  </si>
  <si>
    <t>COMMISSION NUIT DES ELITES</t>
  </si>
  <si>
    <t>BROUILLARD DE CAISSE DU 27 AOUT 2023</t>
  </si>
  <si>
    <t>21 aout 2023</t>
  </si>
  <si>
    <t>27 aout 2023</t>
  </si>
  <si>
    <t>SIME FONGANG ERIC</t>
  </si>
  <si>
    <t>27  aout 2023</t>
  </si>
  <si>
    <t>CAISSE</t>
  </si>
  <si>
    <t>INT T 75</t>
  </si>
  <si>
    <t>INT T100</t>
  </si>
  <si>
    <t>ECHARPES</t>
  </si>
  <si>
    <t>LEGALISATION</t>
  </si>
  <si>
    <t>NB 5451000 POUR CE JOUR ET LE RESTE AU COURANT DU MOIS PASSE</t>
  </si>
  <si>
    <t>seumou polycarpe</t>
  </si>
  <si>
    <t>Noube etienne</t>
  </si>
  <si>
    <t>ndomo etienne</t>
  </si>
  <si>
    <t>mboutchouang</t>
  </si>
  <si>
    <t>nankam</t>
  </si>
  <si>
    <t>djoumbissy antoine</t>
  </si>
  <si>
    <t>ndjomo etienne</t>
  </si>
  <si>
    <t>foyer 70000 et fonds 177500</t>
  </si>
  <si>
    <t>NOUBE Etienne</t>
  </si>
  <si>
    <t>foyer 70000 et fonds 227500</t>
  </si>
  <si>
    <t>foyer70000</t>
  </si>
  <si>
    <t>Mboutchouang william</t>
  </si>
  <si>
    <t>intérêt tontine de 75000</t>
  </si>
  <si>
    <t>interêt tontine de 100000</t>
  </si>
  <si>
    <t>intérêt tontine de 100000</t>
  </si>
  <si>
    <t>collation moi prochain</t>
  </si>
  <si>
    <t xml:space="preserve">confection écharpes  </t>
  </si>
  <si>
    <t>MBOUTCOUANG</t>
  </si>
  <si>
    <t>YANTCHOU</t>
  </si>
  <si>
    <t>PREFINANCEMENT NUITS DES ELITES</t>
  </si>
  <si>
    <t>2500 MISE A PRIX, 70000 FOYER, 227500 DANS SON FOND</t>
  </si>
  <si>
    <t>REUNION BUREAU</t>
  </si>
  <si>
    <t>COMMISSION DE MBOUTCHOUANG</t>
  </si>
  <si>
    <t>ASELBY NUIT DES ELITES</t>
  </si>
  <si>
    <t>RECEPTION NUIT DES ELITES</t>
  </si>
  <si>
    <t>A VERSER A OPTIMUM</t>
  </si>
  <si>
    <t>A REMBOURSER</t>
  </si>
  <si>
    <t>INTERETS T75</t>
  </si>
  <si>
    <t>COLLATION ASELBY</t>
  </si>
  <si>
    <t>CONTRIBUTION PROJET PATEGO</t>
  </si>
  <si>
    <t>RECEPTION NUIT DES ELITES PATEGO</t>
  </si>
  <si>
    <t>PATEGO Gustave</t>
  </si>
  <si>
    <t xml:space="preserve">kouatcho </t>
  </si>
  <si>
    <t>DOHOU DAVID</t>
  </si>
  <si>
    <t>COLLATION DECEMBRE</t>
  </si>
  <si>
    <t>DEJOLIE</t>
  </si>
  <si>
    <t>COMPLEMENT COLLATION</t>
  </si>
  <si>
    <t>INT TONTINE DE PRESENCE</t>
  </si>
  <si>
    <t>AS201648</t>
  </si>
  <si>
    <t>AS201601</t>
  </si>
  <si>
    <t>AS201602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</si>
  <si>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</si>
  <si>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</si>
  <si>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</si>
  <si>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</si>
  <si>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</si>
  <si>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</si>
  <si>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</si>
  <si>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</si>
  <si>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</si>
  <si>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</si>
  <si>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</si>
  <si>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</si>
  <si>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</si>
  <si>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</si>
  <si>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</si>
  <si>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</si>
  <si>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</si>
  <si>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</si>
  <si>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AS201656</t>
  </si>
  <si>
    <t>AS201633</t>
  </si>
  <si>
    <t>AS201653</t>
  </si>
  <si>
    <t>AS201638</t>
  </si>
  <si>
    <t>AS201641</t>
  </si>
  <si>
    <t>AS201646</t>
  </si>
  <si>
    <t>AS201647</t>
  </si>
  <si>
    <t>AS201643</t>
  </si>
  <si>
    <t>AS201657</t>
  </si>
  <si>
    <t>AS201658</t>
  </si>
  <si>
    <t>AS201636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</si>
</sst>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€_-;\-* #,##0.00\ _€_-;_-* &quot;-&quot;??\ _€_-;_-@_-"/>
    <numFmt numFmtId="164" formatCode="_-* #,##0\ _€_-;\-* #,##0\ _€_-;_-* &quot;-&quot;??\ _€_-;_-@_-"/>
    <numFmt numFmtId="165" formatCode="[$-40C]d\ mmmm\ yyyy;@"/>
    <numFmt numFmtId="166" formatCode="[$-40C]d\-mmm\-yyyy;@"/>
    <numFmt numFmtId="167" formatCode="[$-12C0C]d\ mmmm\ yyyy;@"/>
    <numFmt numFmtId="168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Book Antiqua"/>
      <family val="1"/>
    </font>
    <font>
      <b/>
      <sz val="10"/>
      <color rgb="FFFF0000"/>
      <name val="Book Antiqua"/>
      <family val="1"/>
    </font>
    <font>
      <b/>
      <sz val="8"/>
      <color theme="1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abic Typesetting"/>
      <family val="4"/>
    </font>
    <font>
      <b/>
      <sz val="16"/>
      <color theme="1"/>
      <name val="Calibri"/>
      <family val="2"/>
      <scheme val="minor"/>
    </font>
    <font>
      <b/>
      <sz val="8"/>
      <color theme="1"/>
      <name val="Angsana New"/>
      <family val="1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sz val="12"/>
      <color theme="1"/>
      <name val="Book Antiqua"/>
      <family val="1"/>
    </font>
    <font>
      <sz val="11"/>
      <color theme="1"/>
      <name val="Britannic Bold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3F3F3F"/>
      </top>
      <bottom/>
      <diagonal/>
    </border>
    <border>
      <left style="thin">
        <color rgb="FFB2B2B2"/>
      </left>
      <right/>
      <top style="thin">
        <color rgb="FF3F3F3F"/>
      </top>
      <bottom style="thin">
        <color rgb="FFB2B2B2"/>
      </bottom>
      <diagonal/>
    </border>
    <border>
      <left/>
      <right style="thin">
        <color rgb="FFB2B2B2"/>
      </right>
      <top style="thin">
        <color rgb="FF3F3F3F"/>
      </top>
      <bottom style="thin">
        <color rgb="FFB2B2B2"/>
      </bottom>
      <diagonal/>
    </border>
    <border>
      <left style="thin">
        <color rgb="FFB2B2B2"/>
      </left>
      <right/>
      <top style="thin">
        <color rgb="FF3F3F3F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rgb="FFB2B2B2"/>
      </right>
      <top style="thin">
        <color rgb="FF3F3F3F"/>
      </top>
      <bottom/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 style="thin">
        <color rgb="FF7F7F7F"/>
      </top>
      <bottom/>
      <diagonal/>
    </border>
    <border>
      <left/>
      <right style="thin">
        <color rgb="FFB2B2B2"/>
      </right>
      <top/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2" borderId="1" applyNumberFormat="0" applyAlignment="0" applyProtection="0"/>
    <xf numFmtId="0" fontId="1" fillId="3" borderId="2" applyNumberFormat="0" applyFont="0" applyAlignment="0" applyProtection="0"/>
    <xf numFmtId="0" fontId="15" fillId="2" borderId="17" applyNumberFormat="0" applyAlignment="0" applyProtection="0"/>
  </cellStyleXfs>
  <cellXfs count="300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/>
    <xf numFmtId="0" fontId="5" fillId="2" borderId="1" xfId="2"/>
    <xf numFmtId="0" fontId="7" fillId="3" borderId="2" xfId="3" applyFont="1" applyAlignment="1">
      <alignment horizontal="center"/>
    </xf>
    <xf numFmtId="0" fontId="7" fillId="3" borderId="2" xfId="3" applyFont="1"/>
    <xf numFmtId="0" fontId="0" fillId="3" borderId="2" xfId="3" applyFont="1"/>
    <xf numFmtId="9" fontId="5" fillId="2" borderId="1" xfId="2" applyNumberFormat="1"/>
    <xf numFmtId="0" fontId="3" fillId="0" borderId="0" xfId="0" applyFont="1"/>
    <xf numFmtId="0" fontId="9" fillId="0" borderId="0" xfId="0" applyFont="1"/>
    <xf numFmtId="0" fontId="3" fillId="7" borderId="0" xfId="0" applyFont="1" applyFill="1"/>
    <xf numFmtId="0" fontId="3" fillId="9" borderId="0" xfId="0" applyFont="1" applyFill="1"/>
    <xf numFmtId="0" fontId="2" fillId="9" borderId="0" xfId="0" applyFont="1" applyFill="1"/>
    <xf numFmtId="0" fontId="2" fillId="8" borderId="0" xfId="0" applyFont="1" applyFill="1"/>
    <xf numFmtId="0" fontId="10" fillId="3" borderId="2" xfId="3" applyFont="1" applyAlignment="1">
      <alignment horizontal="center"/>
    </xf>
    <xf numFmtId="0" fontId="0" fillId="0" borderId="0" xfId="0"/>
    <xf numFmtId="0" fontId="0" fillId="3" borderId="2" xfId="3" applyFont="1" applyAlignment="1"/>
    <xf numFmtId="0" fontId="2" fillId="11" borderId="0" xfId="0" applyFont="1" applyFill="1"/>
    <xf numFmtId="0" fontId="3" fillId="9" borderId="2" xfId="3" applyFont="1" applyFill="1"/>
    <xf numFmtId="0" fontId="0" fillId="4" borderId="0" xfId="0" applyFill="1"/>
    <xf numFmtId="0" fontId="0" fillId="12" borderId="0" xfId="0" applyFill="1"/>
    <xf numFmtId="0" fontId="3" fillId="12" borderId="0" xfId="0" applyFont="1" applyFill="1"/>
    <xf numFmtId="1" fontId="3" fillId="5" borderId="0" xfId="0" applyNumberFormat="1" applyFont="1" applyFill="1"/>
    <xf numFmtId="1" fontId="0" fillId="0" borderId="0" xfId="0" applyNumberFormat="1"/>
    <xf numFmtId="0" fontId="0" fillId="3" borderId="2" xfId="3" applyFont="1"/>
    <xf numFmtId="0" fontId="15" fillId="2" borderId="17" xfId="4"/>
    <xf numFmtId="0" fontId="8" fillId="2" borderId="17" xfId="4" applyFont="1"/>
    <xf numFmtId="1" fontId="9" fillId="0" borderId="0" xfId="0" applyNumberFormat="1" applyFont="1"/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0" fillId="3" borderId="2" xfId="3" applyFont="1"/>
    <xf numFmtId="0" fontId="0" fillId="3" borderId="2" xfId="3" applyFont="1"/>
    <xf numFmtId="17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7" fillId="2" borderId="17" xfId="4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17" fontId="2" fillId="5" borderId="0" xfId="0" applyNumberFormat="1" applyFont="1" applyFill="1" applyAlignment="1">
      <alignment horizontal="center"/>
    </xf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0" fillId="3" borderId="2" xfId="3" applyFont="1"/>
    <xf numFmtId="0" fontId="2" fillId="5" borderId="0" xfId="0" applyFont="1" applyFill="1" applyAlignment="1">
      <alignment horizontal="center"/>
    </xf>
    <xf numFmtId="0" fontId="0" fillId="11" borderId="18" xfId="0" applyFill="1" applyBorder="1"/>
    <xf numFmtId="0" fontId="0" fillId="11" borderId="18" xfId="0" applyFont="1" applyFill="1" applyBorder="1"/>
    <xf numFmtId="0" fontId="16" fillId="11" borderId="18" xfId="0" applyFont="1" applyFill="1" applyBorder="1"/>
    <xf numFmtId="0" fontId="0" fillId="11" borderId="0" xfId="0" applyFill="1" applyBorder="1"/>
    <xf numFmtId="0" fontId="0" fillId="0" borderId="0" xfId="0" applyBorder="1"/>
    <xf numFmtId="166" fontId="2" fillId="11" borderId="0" xfId="0" applyNumberFormat="1" applyFont="1" applyFill="1" applyAlignment="1">
      <alignment horizontal="center"/>
    </xf>
    <xf numFmtId="0" fontId="18" fillId="0" borderId="18" xfId="0" applyFont="1" applyBorder="1"/>
    <xf numFmtId="0" fontId="0" fillId="0" borderId="18" xfId="0" applyBorder="1"/>
    <xf numFmtId="0" fontId="19" fillId="0" borderId="0" xfId="0" applyFont="1" applyAlignment="1"/>
    <xf numFmtId="0" fontId="19" fillId="0" borderId="18" xfId="0" applyFont="1" applyBorder="1"/>
    <xf numFmtId="0" fontId="19" fillId="0" borderId="18" xfId="0" applyFont="1" applyBorder="1" applyAlignment="1">
      <alignment horizontal="center" vertical="center" wrapText="1"/>
    </xf>
    <xf numFmtId="164" fontId="19" fillId="0" borderId="18" xfId="1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wrapText="1"/>
    </xf>
    <xf numFmtId="164" fontId="19" fillId="0" borderId="18" xfId="1" applyNumberFormat="1" applyFont="1" applyBorder="1" applyAlignment="1">
      <alignment horizontal="center" wrapText="1"/>
    </xf>
    <xf numFmtId="164" fontId="19" fillId="0" borderId="18" xfId="1" applyNumberFormat="1" applyFont="1" applyBorder="1"/>
    <xf numFmtId="3" fontId="19" fillId="0" borderId="18" xfId="0" applyNumberFormat="1" applyFont="1" applyBorder="1"/>
    <xf numFmtId="164" fontId="19" fillId="0" borderId="18" xfId="0" applyNumberFormat="1" applyFont="1" applyBorder="1"/>
    <xf numFmtId="164" fontId="19" fillId="13" borderId="26" xfId="0" applyNumberFormat="1" applyFont="1" applyFill="1" applyBorder="1" applyAlignment="1"/>
    <xf numFmtId="164" fontId="19" fillId="13" borderId="18" xfId="1" applyNumberFormat="1" applyFont="1" applyFill="1" applyBorder="1"/>
    <xf numFmtId="0" fontId="19" fillId="14" borderId="18" xfId="0" applyFont="1" applyFill="1" applyBorder="1"/>
    <xf numFmtId="164" fontId="19" fillId="14" borderId="18" xfId="1" applyNumberFormat="1" applyFont="1" applyFill="1" applyBorder="1"/>
    <xf numFmtId="3" fontId="20" fillId="14" borderId="18" xfId="0" applyNumberFormat="1" applyFont="1" applyFill="1" applyBorder="1"/>
    <xf numFmtId="164" fontId="19" fillId="11" borderId="18" xfId="1" applyNumberFormat="1" applyFont="1" applyFill="1" applyBorder="1"/>
    <xf numFmtId="3" fontId="19" fillId="14" borderId="18" xfId="0" applyNumberFormat="1" applyFont="1" applyFill="1" applyBorder="1"/>
    <xf numFmtId="0" fontId="19" fillId="14" borderId="28" xfId="0" applyFont="1" applyFill="1" applyBorder="1"/>
    <xf numFmtId="164" fontId="19" fillId="14" borderId="29" xfId="1" applyNumberFormat="1" applyFont="1" applyFill="1" applyBorder="1"/>
    <xf numFmtId="3" fontId="19" fillId="14" borderId="28" xfId="0" applyNumberFormat="1" applyFont="1" applyFill="1" applyBorder="1"/>
    <xf numFmtId="0" fontId="19" fillId="14" borderId="30" xfId="0" applyFont="1" applyFill="1" applyBorder="1"/>
    <xf numFmtId="164" fontId="19" fillId="14" borderId="30" xfId="1" applyNumberFormat="1" applyFont="1" applyFill="1" applyBorder="1"/>
    <xf numFmtId="3" fontId="19" fillId="14" borderId="30" xfId="0" applyNumberFormat="1" applyFont="1" applyFill="1" applyBorder="1"/>
    <xf numFmtId="164" fontId="19" fillId="0" borderId="30" xfId="1" applyNumberFormat="1" applyFont="1" applyBorder="1"/>
    <xf numFmtId="164" fontId="19" fillId="11" borderId="30" xfId="1" applyNumberFormat="1" applyFont="1" applyFill="1" applyBorder="1"/>
    <xf numFmtId="0" fontId="19" fillId="13" borderId="18" xfId="0" applyFont="1" applyFill="1" applyBorder="1"/>
    <xf numFmtId="164" fontId="19" fillId="13" borderId="18" xfId="0" applyNumberFormat="1" applyFont="1" applyFill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11" borderId="18" xfId="0" applyFont="1" applyFill="1" applyBorder="1"/>
    <xf numFmtId="164" fontId="21" fillId="11" borderId="18" xfId="1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164" fontId="21" fillId="0" borderId="18" xfId="1" applyNumberFormat="1" applyFont="1" applyBorder="1"/>
    <xf numFmtId="0" fontId="21" fillId="15" borderId="18" xfId="0" applyFont="1" applyFill="1" applyBorder="1"/>
    <xf numFmtId="164" fontId="21" fillId="15" borderId="18" xfId="1" applyNumberFormat="1" applyFont="1" applyFill="1" applyBorder="1"/>
    <xf numFmtId="0" fontId="6" fillId="0" borderId="18" xfId="0" applyFont="1" applyBorder="1" applyAlignment="1">
      <alignment horizontal="center" vertical="center" wrapText="1"/>
    </xf>
    <xf numFmtId="164" fontId="0" fillId="0" borderId="18" xfId="1" applyNumberFormat="1" applyFont="1" applyBorder="1"/>
    <xf numFmtId="164" fontId="24" fillId="0" borderId="29" xfId="1" applyNumberFormat="1" applyFont="1" applyBorder="1"/>
    <xf numFmtId="164" fontId="24" fillId="0" borderId="29" xfId="1" applyNumberFormat="1" applyFont="1" applyBorder="1" applyAlignment="1">
      <alignment wrapText="1"/>
    </xf>
    <xf numFmtId="164" fontId="0" fillId="0" borderId="18" xfId="1" applyNumberFormat="1" applyFont="1" applyBorder="1" applyAlignment="1">
      <alignment wrapText="1"/>
    </xf>
    <xf numFmtId="164" fontId="0" fillId="11" borderId="18" xfId="1" applyNumberFormat="1" applyFont="1" applyFill="1" applyBorder="1"/>
    <xf numFmtId="0" fontId="6" fillId="0" borderId="18" xfId="0" applyFont="1" applyBorder="1"/>
    <xf numFmtId="3" fontId="0" fillId="11" borderId="18" xfId="0" applyNumberFormat="1" applyFont="1" applyFill="1" applyBorder="1"/>
    <xf numFmtId="164" fontId="0" fillId="0" borderId="18" xfId="0" applyNumberFormat="1" applyFont="1" applyBorder="1"/>
    <xf numFmtId="164" fontId="6" fillId="0" borderId="18" xfId="0" applyNumberFormat="1" applyFont="1" applyBorder="1" applyAlignment="1"/>
    <xf numFmtId="164" fontId="6" fillId="0" borderId="18" xfId="1" applyNumberFormat="1" applyFont="1" applyBorder="1"/>
    <xf numFmtId="164" fontId="6" fillId="0" borderId="18" xfId="1" applyNumberFormat="1" applyFont="1" applyBorder="1" applyAlignment="1">
      <alignment horizontal="center"/>
    </xf>
    <xf numFmtId="0" fontId="6" fillId="0" borderId="0" xfId="0" applyFont="1"/>
    <xf numFmtId="17" fontId="6" fillId="0" borderId="18" xfId="0" applyNumberFormat="1" applyFont="1" applyBorder="1"/>
    <xf numFmtId="0" fontId="14" fillId="0" borderId="18" xfId="0" applyFont="1" applyBorder="1"/>
    <xf numFmtId="164" fontId="14" fillId="0" borderId="18" xfId="1" applyNumberFormat="1" applyFont="1" applyBorder="1"/>
    <xf numFmtId="164" fontId="14" fillId="0" borderId="18" xfId="0" applyNumberFormat="1" applyFont="1" applyBorder="1"/>
    <xf numFmtId="164" fontId="14" fillId="6" borderId="18" xfId="0" applyNumberFormat="1" applyFont="1" applyFill="1" applyBorder="1"/>
    <xf numFmtId="0" fontId="0" fillId="0" borderId="0" xfId="0" applyAlignment="1"/>
    <xf numFmtId="164" fontId="14" fillId="11" borderId="18" xfId="1" applyNumberFormat="1" applyFont="1" applyFill="1" applyBorder="1"/>
    <xf numFmtId="0" fontId="14" fillId="0" borderId="0" xfId="0" applyFont="1"/>
    <xf numFmtId="0" fontId="11" fillId="0" borderId="18" xfId="0" applyFont="1" applyBorder="1"/>
    <xf numFmtId="0" fontId="26" fillId="0" borderId="18" xfId="0" applyFont="1" applyBorder="1"/>
    <xf numFmtId="0" fontId="26" fillId="0" borderId="18" xfId="0" applyFont="1" applyFill="1" applyBorder="1"/>
    <xf numFmtId="164" fontId="14" fillId="16" borderId="18" xfId="1" applyNumberFormat="1" applyFont="1" applyFill="1" applyBorder="1"/>
    <xf numFmtId="0" fontId="19" fillId="16" borderId="18" xfId="0" applyFont="1" applyFill="1" applyBorder="1"/>
    <xf numFmtId="0" fontId="19" fillId="16" borderId="18" xfId="0" applyFont="1" applyFill="1" applyBorder="1" applyAlignment="1">
      <alignment horizontal="center" vertical="center" wrapText="1"/>
    </xf>
    <xf numFmtId="164" fontId="19" fillId="16" borderId="18" xfId="1" applyNumberFormat="1" applyFont="1" applyFill="1" applyBorder="1" applyAlignment="1">
      <alignment horizontal="center" vertical="center" wrapText="1"/>
    </xf>
    <xf numFmtId="164" fontId="19" fillId="16" borderId="18" xfId="1" applyNumberFormat="1" applyFont="1" applyFill="1" applyBorder="1"/>
    <xf numFmtId="0" fontId="19" fillId="0" borderId="27" xfId="0" applyFont="1" applyBorder="1"/>
    <xf numFmtId="164" fontId="19" fillId="16" borderId="26" xfId="1" applyNumberFormat="1" applyFont="1" applyFill="1" applyBorder="1"/>
    <xf numFmtId="0" fontId="11" fillId="0" borderId="0" xfId="0" applyFont="1"/>
    <xf numFmtId="164" fontId="14" fillId="17" borderId="18" xfId="1" applyNumberFormat="1" applyFont="1" applyFill="1" applyBorder="1"/>
    <xf numFmtId="164" fontId="27" fillId="11" borderId="18" xfId="1" applyNumberFormat="1" applyFont="1" applyFill="1" applyBorder="1"/>
    <xf numFmtId="164" fontId="28" fillId="17" borderId="18" xfId="1" applyNumberFormat="1" applyFont="1" applyFill="1" applyBorder="1"/>
    <xf numFmtId="0" fontId="18" fillId="17" borderId="18" xfId="0" applyFont="1" applyFill="1" applyBorder="1"/>
    <xf numFmtId="164" fontId="0" fillId="17" borderId="18" xfId="1" applyNumberFormat="1" applyFont="1" applyFill="1" applyBorder="1"/>
    <xf numFmtId="0" fontId="0" fillId="17" borderId="18" xfId="0" applyFill="1" applyBorder="1"/>
    <xf numFmtId="164" fontId="29" fillId="11" borderId="18" xfId="1" applyNumberFormat="1" applyFont="1" applyFill="1" applyBorder="1"/>
    <xf numFmtId="164" fontId="0" fillId="0" borderId="0" xfId="1" applyNumberFormat="1" applyFont="1"/>
    <xf numFmtId="0" fontId="11" fillId="18" borderId="18" xfId="0" applyFont="1" applyFill="1" applyBorder="1"/>
    <xf numFmtId="0" fontId="26" fillId="18" borderId="18" xfId="0" applyFont="1" applyFill="1" applyBorder="1"/>
    <xf numFmtId="164" fontId="14" fillId="18" borderId="18" xfId="1" applyNumberFormat="1" applyFont="1" applyFill="1" applyBorder="1"/>
    <xf numFmtId="164" fontId="28" fillId="18" borderId="18" xfId="1" applyNumberFormat="1" applyFont="1" applyFill="1" applyBorder="1"/>
    <xf numFmtId="164" fontId="0" fillId="9" borderId="18" xfId="1" applyNumberFormat="1" applyFont="1" applyFill="1" applyBorder="1"/>
    <xf numFmtId="0" fontId="11" fillId="11" borderId="18" xfId="0" applyFont="1" applyFill="1" applyBorder="1"/>
    <xf numFmtId="0" fontId="26" fillId="11" borderId="18" xfId="0" applyFont="1" applyFill="1" applyBorder="1"/>
    <xf numFmtId="164" fontId="28" fillId="11" borderId="18" xfId="1" applyNumberFormat="1" applyFont="1" applyFill="1" applyBorder="1"/>
    <xf numFmtId="0" fontId="26" fillId="19" borderId="18" xfId="0" applyFont="1" applyFill="1" applyBorder="1"/>
    <xf numFmtId="164" fontId="14" fillId="20" borderId="18" xfId="1" applyNumberFormat="1" applyFont="1" applyFill="1" applyBorder="1"/>
    <xf numFmtId="0" fontId="0" fillId="3" borderId="15" xfId="3" applyFont="1" applyBorder="1"/>
    <xf numFmtId="0" fontId="0" fillId="17" borderId="18" xfId="0" applyFont="1" applyFill="1" applyBorder="1"/>
    <xf numFmtId="0" fontId="26" fillId="9" borderId="18" xfId="0" applyFont="1" applyFill="1" applyBorder="1"/>
    <xf numFmtId="164" fontId="27" fillId="17" borderId="18" xfId="1" applyNumberFormat="1" applyFont="1" applyFill="1" applyBorder="1"/>
    <xf numFmtId="0" fontId="26" fillId="17" borderId="18" xfId="0" applyFont="1" applyFill="1" applyBorder="1"/>
    <xf numFmtId="164" fontId="15" fillId="2" borderId="17" xfId="1" applyNumberFormat="1" applyFont="1" applyFill="1" applyBorder="1"/>
    <xf numFmtId="164" fontId="0" fillId="0" borderId="18" xfId="0" applyNumberFormat="1" applyBorder="1"/>
    <xf numFmtId="0" fontId="32" fillId="0" borderId="18" xfId="0" applyFont="1" applyBorder="1" applyAlignment="1">
      <alignment horizontal="center" vertical="center" wrapText="1"/>
    </xf>
    <xf numFmtId="0" fontId="33" fillId="0" borderId="18" xfId="0" applyFont="1" applyBorder="1"/>
    <xf numFmtId="0" fontId="6" fillId="11" borderId="0" xfId="0" applyFont="1" applyFill="1"/>
    <xf numFmtId="0" fontId="0" fillId="11" borderId="0" xfId="0" applyFill="1"/>
    <xf numFmtId="0" fontId="14" fillId="11" borderId="18" xfId="0" applyFont="1" applyFill="1" applyBorder="1"/>
    <xf numFmtId="164" fontId="14" fillId="11" borderId="18" xfId="0" applyNumberFormat="1" applyFont="1" applyFill="1" applyBorder="1"/>
    <xf numFmtId="0" fontId="0" fillId="11" borderId="0" xfId="0" applyFill="1" applyAlignment="1"/>
    <xf numFmtId="0" fontId="0" fillId="12" borderId="18" xfId="0" applyFill="1" applyBorder="1"/>
    <xf numFmtId="0" fontId="6" fillId="12" borderId="18" xfId="0" applyFont="1" applyFill="1" applyBorder="1" applyAlignment="1">
      <alignment horizontal="center" vertical="center" wrapText="1"/>
    </xf>
    <xf numFmtId="164" fontId="0" fillId="12" borderId="18" xfId="1" applyNumberFormat="1" applyFont="1" applyFill="1" applyBorder="1"/>
    <xf numFmtId="164" fontId="24" fillId="12" borderId="29" xfId="1" applyNumberFormat="1" applyFont="1" applyFill="1" applyBorder="1"/>
    <xf numFmtId="164" fontId="24" fillId="12" borderId="29" xfId="1" applyNumberFormat="1" applyFont="1" applyFill="1" applyBorder="1" applyAlignment="1">
      <alignment wrapText="1"/>
    </xf>
    <xf numFmtId="164" fontId="0" fillId="12" borderId="18" xfId="1" applyNumberFormat="1" applyFont="1" applyFill="1" applyBorder="1" applyAlignment="1">
      <alignment wrapText="1"/>
    </xf>
    <xf numFmtId="0" fontId="6" fillId="11" borderId="18" xfId="0" applyFont="1" applyFill="1" applyBorder="1" applyAlignment="1">
      <alignment horizontal="center" vertical="center" wrapText="1"/>
    </xf>
    <xf numFmtId="164" fontId="24" fillId="11" borderId="29" xfId="1" applyNumberFormat="1" applyFont="1" applyFill="1" applyBorder="1"/>
    <xf numFmtId="164" fontId="24" fillId="11" borderId="29" xfId="1" applyNumberFormat="1" applyFont="1" applyFill="1" applyBorder="1" applyAlignment="1">
      <alignment wrapText="1"/>
    </xf>
    <xf numFmtId="164" fontId="0" fillId="11" borderId="18" xfId="1" applyNumberFormat="1" applyFont="1" applyFill="1" applyBorder="1" applyAlignment="1">
      <alignment wrapText="1"/>
    </xf>
    <xf numFmtId="0" fontId="0" fillId="11" borderId="2" xfId="3" applyFont="1" applyFill="1"/>
    <xf numFmtId="164" fontId="29" fillId="17" borderId="18" xfId="1" applyNumberFormat="1" applyFont="1" applyFill="1" applyBorder="1"/>
    <xf numFmtId="0" fontId="29" fillId="17" borderId="18" xfId="0" applyFont="1" applyFill="1" applyBorder="1"/>
    <xf numFmtId="0" fontId="0" fillId="6" borderId="18" xfId="0" applyFill="1" applyBorder="1"/>
    <xf numFmtId="0" fontId="6" fillId="6" borderId="18" xfId="0" applyFont="1" applyFill="1" applyBorder="1" applyAlignment="1">
      <alignment horizontal="center" vertical="center" wrapText="1"/>
    </xf>
    <xf numFmtId="164" fontId="0" fillId="6" borderId="18" xfId="1" applyNumberFormat="1" applyFont="1" applyFill="1" applyBorder="1"/>
    <xf numFmtId="164" fontId="24" fillId="6" borderId="29" xfId="1" applyNumberFormat="1" applyFont="1" applyFill="1" applyBorder="1"/>
    <xf numFmtId="164" fontId="24" fillId="6" borderId="29" xfId="1" applyNumberFormat="1" applyFont="1" applyFill="1" applyBorder="1" applyAlignment="1">
      <alignment wrapText="1"/>
    </xf>
    <xf numFmtId="164" fontId="0" fillId="6" borderId="18" xfId="1" applyNumberFormat="1" applyFont="1" applyFill="1" applyBorder="1" applyAlignment="1">
      <alignment wrapText="1"/>
    </xf>
    <xf numFmtId="0" fontId="11" fillId="12" borderId="18" xfId="0" applyFont="1" applyFill="1" applyBorder="1"/>
    <xf numFmtId="0" fontId="26" fillId="12" borderId="18" xfId="0" applyFont="1" applyFill="1" applyBorder="1"/>
    <xf numFmtId="164" fontId="14" fillId="12" borderId="18" xfId="1" applyNumberFormat="1" applyFont="1" applyFill="1" applyBorder="1"/>
    <xf numFmtId="0" fontId="14" fillId="12" borderId="18" xfId="0" applyFont="1" applyFill="1" applyBorder="1"/>
    <xf numFmtId="164" fontId="14" fillId="12" borderId="18" xfId="0" applyNumberFormat="1" applyFont="1" applyFill="1" applyBorder="1"/>
    <xf numFmtId="0" fontId="0" fillId="21" borderId="0" xfId="0" applyFill="1"/>
    <xf numFmtId="168" fontId="25" fillId="15" borderId="0" xfId="0" applyNumberFormat="1" applyFont="1" applyFill="1"/>
    <xf numFmtId="1" fontId="25" fillId="13" borderId="0" xfId="0" applyNumberFormat="1" applyFont="1" applyFill="1"/>
    <xf numFmtId="2" fontId="25" fillId="13" borderId="0" xfId="0" applyNumberFormat="1" applyFont="1" applyFill="1"/>
    <xf numFmtId="0" fontId="34" fillId="0" borderId="0" xfId="0" applyFont="1"/>
    <xf numFmtId="0" fontId="11" fillId="0" borderId="3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25" fillId="15" borderId="0" xfId="0" applyFont="1" applyFill="1" applyAlignment="1">
      <alignment horizontal="center"/>
    </xf>
    <xf numFmtId="0" fontId="11" fillId="11" borderId="30" xfId="0" applyFont="1" applyFill="1" applyBorder="1" applyAlignment="1">
      <alignment horizontal="center" vertical="center"/>
    </xf>
    <xf numFmtId="0" fontId="11" fillId="11" borderId="29" xfId="0" applyFont="1" applyFill="1" applyBorder="1" applyAlignment="1">
      <alignment horizontal="center" vertical="center"/>
    </xf>
    <xf numFmtId="0" fontId="11" fillId="11" borderId="25" xfId="0" applyFont="1" applyFill="1" applyBorder="1" applyAlignment="1">
      <alignment horizontal="center"/>
    </xf>
    <xf numFmtId="0" fontId="11" fillId="11" borderId="26" xfId="0" applyFont="1" applyFill="1" applyBorder="1" applyAlignment="1">
      <alignment horizontal="center"/>
    </xf>
    <xf numFmtId="0" fontId="11" fillId="11" borderId="27" xfId="0" applyFont="1" applyFill="1" applyBorder="1" applyAlignment="1">
      <alignment horizontal="center"/>
    </xf>
    <xf numFmtId="0" fontId="25" fillId="11" borderId="0" xfId="0" applyFont="1" applyFill="1" applyAlignment="1">
      <alignment horizontal="center"/>
    </xf>
    <xf numFmtId="0" fontId="11" fillId="12" borderId="30" xfId="0" applyFont="1" applyFill="1" applyBorder="1" applyAlignment="1">
      <alignment horizontal="center" vertical="center"/>
    </xf>
    <xf numFmtId="0" fontId="11" fillId="12" borderId="29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11" fillId="12" borderId="27" xfId="0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15" fontId="3" fillId="3" borderId="14" xfId="3" applyNumberFormat="1" applyFont="1" applyBorder="1" applyAlignment="1">
      <alignment horizontal="center" vertical="center"/>
    </xf>
    <xf numFmtId="0" fontId="3" fillId="3" borderId="15" xfId="3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15" fontId="2" fillId="6" borderId="0" xfId="0" applyNumberFormat="1" applyFont="1" applyFill="1" applyAlignment="1">
      <alignment horizontal="center"/>
    </xf>
    <xf numFmtId="166" fontId="2" fillId="11" borderId="19" xfId="0" applyNumberFormat="1" applyFont="1" applyFill="1" applyBorder="1" applyAlignment="1">
      <alignment horizontal="center" vertical="center"/>
    </xf>
    <xf numFmtId="166" fontId="2" fillId="11" borderId="16" xfId="0" applyNumberFormat="1" applyFont="1" applyFill="1" applyBorder="1" applyAlignment="1">
      <alignment horizontal="center" vertical="center"/>
    </xf>
    <xf numFmtId="166" fontId="2" fillId="11" borderId="13" xfId="0" applyNumberFormat="1" applyFont="1" applyFill="1" applyBorder="1" applyAlignment="1">
      <alignment horizontal="center" vertical="center"/>
    </xf>
    <xf numFmtId="165" fontId="2" fillId="5" borderId="20" xfId="0" applyNumberFormat="1" applyFont="1" applyFill="1" applyBorder="1" applyAlignment="1">
      <alignment horizontal="center"/>
    </xf>
    <xf numFmtId="165" fontId="2" fillId="11" borderId="21" xfId="0" applyNumberFormat="1" applyFont="1" applyFill="1" applyBorder="1" applyAlignment="1">
      <alignment horizontal="center" vertical="center"/>
    </xf>
    <xf numFmtId="165" fontId="2" fillId="11" borderId="16" xfId="0" applyNumberFormat="1" applyFont="1" applyFill="1" applyBorder="1" applyAlignment="1">
      <alignment horizontal="center" vertical="center"/>
    </xf>
    <xf numFmtId="165" fontId="2" fillId="11" borderId="22" xfId="0" applyNumberFormat="1" applyFont="1" applyFill="1" applyBorder="1" applyAlignment="1">
      <alignment horizontal="center" vertical="center"/>
    </xf>
    <xf numFmtId="0" fontId="12" fillId="4" borderId="2" xfId="3" applyFont="1" applyFill="1" applyAlignment="1">
      <alignment horizontal="center" wrapText="1"/>
    </xf>
    <xf numFmtId="166" fontId="2" fillId="6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17" fontId="2" fillId="10" borderId="0" xfId="0" applyNumberFormat="1" applyFont="1" applyFill="1" applyAlignment="1">
      <alignment horizontal="center"/>
    </xf>
    <xf numFmtId="0" fontId="5" fillId="2" borderId="4" xfId="2" applyBorder="1" applyAlignment="1">
      <alignment horizontal="center"/>
    </xf>
    <xf numFmtId="0" fontId="5" fillId="2" borderId="5" xfId="2" applyBorder="1" applyAlignment="1">
      <alignment horizontal="center"/>
    </xf>
    <xf numFmtId="0" fontId="5" fillId="2" borderId="6" xfId="2" applyBorder="1" applyAlignment="1">
      <alignment horizontal="center"/>
    </xf>
    <xf numFmtId="0" fontId="3" fillId="5" borderId="0" xfId="0" applyFont="1" applyFill="1" applyAlignment="1">
      <alignment horizontal="center"/>
    </xf>
    <xf numFmtId="0" fontId="7" fillId="3" borderId="12" xfId="3" applyFont="1" applyBorder="1" applyAlignment="1">
      <alignment horizontal="center" vertical="center"/>
    </xf>
    <xf numFmtId="0" fontId="7" fillId="3" borderId="13" xfId="3" applyFont="1" applyBorder="1" applyAlignment="1">
      <alignment horizontal="center" vertical="center"/>
    </xf>
    <xf numFmtId="0" fontId="7" fillId="3" borderId="8" xfId="3" applyFont="1" applyBorder="1" applyAlignment="1">
      <alignment horizontal="center" wrapText="1"/>
    </xf>
    <xf numFmtId="0" fontId="7" fillId="3" borderId="9" xfId="3" applyFont="1" applyBorder="1" applyAlignment="1">
      <alignment horizontal="center" wrapText="1"/>
    </xf>
    <xf numFmtId="0" fontId="7" fillId="3" borderId="7" xfId="3" applyFont="1" applyBorder="1" applyAlignment="1">
      <alignment horizontal="center" vertical="center" wrapText="1"/>
    </xf>
    <xf numFmtId="0" fontId="7" fillId="3" borderId="3" xfId="3" applyFont="1" applyBorder="1" applyAlignment="1">
      <alignment horizontal="center" vertical="center" wrapText="1"/>
    </xf>
    <xf numFmtId="0" fontId="7" fillId="3" borderId="7" xfId="3" applyFont="1" applyBorder="1" applyAlignment="1">
      <alignment horizontal="center" wrapText="1"/>
    </xf>
    <xf numFmtId="0" fontId="7" fillId="3" borderId="3" xfId="3" applyFont="1" applyBorder="1" applyAlignment="1">
      <alignment horizontal="center" wrapText="1"/>
    </xf>
    <xf numFmtId="0" fontId="10" fillId="3" borderId="10" xfId="3" applyFont="1" applyBorder="1" applyAlignment="1">
      <alignment horizontal="center" vertical="center" wrapText="1"/>
    </xf>
    <xf numFmtId="0" fontId="10" fillId="3" borderId="11" xfId="3" applyFont="1" applyBorder="1" applyAlignment="1">
      <alignment horizontal="center" vertical="center" wrapText="1"/>
    </xf>
    <xf numFmtId="165" fontId="2" fillId="10" borderId="0" xfId="0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4" fontId="19" fillId="16" borderId="25" xfId="1" applyNumberFormat="1" applyFont="1" applyFill="1" applyBorder="1" applyAlignment="1">
      <alignment horizontal="center"/>
    </xf>
    <xf numFmtId="164" fontId="19" fillId="16" borderId="26" xfId="1" applyNumberFormat="1" applyFont="1" applyFill="1" applyBorder="1" applyAlignment="1">
      <alignment horizontal="center"/>
    </xf>
    <xf numFmtId="49" fontId="19" fillId="16" borderId="25" xfId="1" applyNumberFormat="1" applyFont="1" applyFill="1" applyBorder="1" applyAlignment="1">
      <alignment horizontal="center"/>
    </xf>
    <xf numFmtId="49" fontId="19" fillId="16" borderId="27" xfId="1" applyNumberFormat="1" applyFont="1" applyFill="1" applyBorder="1" applyAlignment="1">
      <alignment horizontal="center"/>
    </xf>
    <xf numFmtId="49" fontId="19" fillId="16" borderId="26" xfId="1" applyNumberFormat="1" applyFont="1" applyFill="1" applyBorder="1" applyAlignment="1">
      <alignment horizontal="center"/>
    </xf>
    <xf numFmtId="167" fontId="19" fillId="16" borderId="25" xfId="1" applyNumberFormat="1" applyFont="1" applyFill="1" applyBorder="1" applyAlignment="1">
      <alignment horizontal="center"/>
    </xf>
    <xf numFmtId="167" fontId="19" fillId="16" borderId="27" xfId="1" applyNumberFormat="1" applyFont="1" applyFill="1" applyBorder="1" applyAlignment="1">
      <alignment horizontal="center"/>
    </xf>
    <xf numFmtId="167" fontId="19" fillId="16" borderId="26" xfId="1" applyNumberFormat="1" applyFont="1" applyFill="1" applyBorder="1" applyAlignment="1">
      <alignment horizontal="center"/>
    </xf>
    <xf numFmtId="164" fontId="19" fillId="0" borderId="25" xfId="1" applyNumberFormat="1" applyFont="1" applyBorder="1" applyAlignment="1">
      <alignment horizontal="center"/>
    </xf>
    <xf numFmtId="164" fontId="19" fillId="0" borderId="27" xfId="1" applyNumberFormat="1" applyFont="1" applyBorder="1" applyAlignment="1">
      <alignment horizontal="center"/>
    </xf>
    <xf numFmtId="164" fontId="19" fillId="0" borderId="26" xfId="1" applyNumberFormat="1" applyFont="1" applyBorder="1" applyAlignment="1">
      <alignment horizontal="center"/>
    </xf>
    <xf numFmtId="0" fontId="19" fillId="13" borderId="25" xfId="0" applyFont="1" applyFill="1" applyBorder="1" applyAlignment="1">
      <alignment horizontal="center"/>
    </xf>
    <xf numFmtId="0" fontId="19" fillId="13" borderId="27" xfId="0" applyFont="1" applyFill="1" applyBorder="1" applyAlignment="1">
      <alignment horizontal="center"/>
    </xf>
    <xf numFmtId="0" fontId="19" fillId="16" borderId="31" xfId="0" applyFont="1" applyFill="1" applyBorder="1" applyAlignment="1">
      <alignment horizontal="center"/>
    </xf>
    <xf numFmtId="0" fontId="19" fillId="16" borderId="0" xfId="0" applyFont="1" applyFill="1" applyBorder="1" applyAlignment="1">
      <alignment horizontal="center"/>
    </xf>
    <xf numFmtId="0" fontId="19" fillId="0" borderId="30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7" fontId="21" fillId="0" borderId="25" xfId="0" applyNumberFormat="1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13" fillId="13" borderId="18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164" fontId="0" fillId="12" borderId="30" xfId="1" applyNumberFormat="1" applyFont="1" applyFill="1" applyBorder="1" applyAlignment="1">
      <alignment horizontal="center" wrapText="1"/>
    </xf>
    <xf numFmtId="164" fontId="0" fillId="12" borderId="32" xfId="1" applyNumberFormat="1" applyFont="1" applyFill="1" applyBorder="1" applyAlignment="1">
      <alignment horizontal="center" wrapText="1"/>
    </xf>
    <xf numFmtId="164" fontId="0" fillId="12" borderId="29" xfId="1" applyNumberFormat="1" applyFont="1" applyFill="1" applyBorder="1" applyAlignment="1">
      <alignment horizontal="center" wrapText="1"/>
    </xf>
    <xf numFmtId="0" fontId="6" fillId="0" borderId="2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164" fontId="20" fillId="0" borderId="18" xfId="1" applyNumberFormat="1" applyFont="1" applyBorder="1"/>
  </cellXfs>
  <cellStyles count="5">
    <cellStyle name="Calcul" xfId="4" builtinId="22"/>
    <cellStyle name="Milliers" xfId="1" builtinId="3"/>
    <cellStyle name="Normal" xfId="0" builtinId="0"/>
    <cellStyle name="Note" xfId="3" builtinId="10"/>
    <cellStyle name="Sortie" xfId="2" builtinId="21"/>
  </cellStyles>
  <dxfs count="0"/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7"/>
  <sheetViews>
    <sheetView tabSelected="1" workbookViewId="0">
      <pane xSplit="7" ySplit="9" topLeftCell="AF16" activePane="bottomRight" state="frozen"/>
      <selection pane="topRight" activeCell="H1" sqref="H1"/>
      <selection pane="bottomLeft" activeCell="A10" sqref="A10"/>
      <selection pane="bottomRight" activeCell="AF16" sqref="AF16"/>
    </sheetView>
  </sheetViews>
  <sheetFormatPr baseColWidth="10" defaultRowHeight="15" x14ac:dyDescent="0.25"/>
  <cols>
    <col min="1" max="1" width="21.140625" customWidth="1"/>
    <col min="2" max="2" width="31.5703125" customWidth="1"/>
    <col min="3" max="7" width="12.7109375" customWidth="1"/>
    <col min="8" max="19" width="12.85546875" customWidth="1"/>
    <col min="20" max="58" width="12.42578125" customWidth="1"/>
  </cols>
  <sheetData>
    <row r="1" spans="1:59" ht="15.75" x14ac:dyDescent="0.3">
      <c r="A1" s="82"/>
      <c r="B1" s="260" t="s">
        <v>52</v>
      </c>
      <c r="C1" s="261"/>
      <c r="D1" s="261"/>
      <c r="E1" s="262"/>
      <c r="F1" s="263" t="s">
        <v>52</v>
      </c>
      <c r="G1" s="263"/>
      <c r="H1" s="263"/>
      <c r="I1" s="263"/>
      <c r="J1" s="263"/>
      <c r="K1" s="263" t="s">
        <v>52</v>
      </c>
      <c r="L1" s="263"/>
      <c r="M1" s="263"/>
      <c r="N1" s="263"/>
      <c r="O1" s="263"/>
      <c r="P1" s="263" t="s">
        <v>53</v>
      </c>
      <c r="Q1" s="263"/>
      <c r="R1" s="263"/>
      <c r="S1" s="263"/>
      <c r="T1" s="263"/>
      <c r="U1" s="263"/>
      <c r="V1" s="263" t="s">
        <v>52</v>
      </c>
      <c r="W1" s="263"/>
      <c r="X1" s="263"/>
      <c r="Y1" s="263"/>
      <c r="Z1" s="263"/>
      <c r="AA1" s="263"/>
      <c r="AB1" s="263" t="s">
        <v>52</v>
      </c>
      <c r="AC1" s="263"/>
      <c r="AD1" s="263"/>
      <c r="AE1" s="263"/>
      <c r="AF1" s="263"/>
      <c r="AG1" s="263"/>
      <c r="AH1" s="263"/>
      <c r="AI1" s="263" t="s">
        <v>52</v>
      </c>
      <c r="AJ1" s="263"/>
      <c r="AK1" s="263"/>
      <c r="AL1" s="263"/>
      <c r="AM1" s="263"/>
      <c r="AN1" s="263"/>
      <c r="AO1" s="263"/>
      <c r="AP1" s="263" t="s">
        <v>54</v>
      </c>
      <c r="AQ1" s="263"/>
      <c r="AR1" s="263"/>
      <c r="AS1" s="263"/>
      <c r="AT1" s="263"/>
      <c r="AU1" s="263"/>
      <c r="AV1" s="264" t="s">
        <v>54</v>
      </c>
      <c r="AW1" s="264"/>
      <c r="AX1" s="264"/>
      <c r="AY1" s="264"/>
      <c r="AZ1" s="264"/>
      <c r="BA1" s="264"/>
      <c r="BB1" s="264" t="s">
        <v>54</v>
      </c>
      <c r="BC1" s="264"/>
      <c r="BD1" s="264"/>
      <c r="BE1" s="264"/>
      <c r="BF1" s="264"/>
    </row>
    <row r="2" spans="1:59" ht="30" x14ac:dyDescent="0.3">
      <c r="A2" s="141" t="s">
        <v>55</v>
      </c>
      <c r="B2" s="141" t="s">
        <v>56</v>
      </c>
      <c r="C2" s="141" t="s">
        <v>57</v>
      </c>
      <c r="D2" s="142" t="s">
        <v>58</v>
      </c>
      <c r="E2" s="143" t="s">
        <v>0</v>
      </c>
      <c r="F2" s="265" t="s">
        <v>59</v>
      </c>
      <c r="G2" s="266"/>
      <c r="H2" s="267" t="s">
        <v>60</v>
      </c>
      <c r="I2" s="268"/>
      <c r="J2" s="269"/>
      <c r="K2" s="270" t="s">
        <v>61</v>
      </c>
      <c r="L2" s="271"/>
      <c r="M2" s="272"/>
      <c r="N2" s="267" t="s">
        <v>62</v>
      </c>
      <c r="O2" s="268"/>
      <c r="P2" s="269"/>
      <c r="Q2" s="267" t="s">
        <v>63</v>
      </c>
      <c r="R2" s="268"/>
      <c r="S2" s="269"/>
      <c r="T2" s="267" t="s">
        <v>64</v>
      </c>
      <c r="U2" s="268"/>
      <c r="V2" s="269"/>
      <c r="W2" s="267" t="s">
        <v>65</v>
      </c>
      <c r="X2" s="268"/>
      <c r="Y2" s="269"/>
      <c r="Z2" s="267" t="s">
        <v>66</v>
      </c>
      <c r="AA2" s="268"/>
      <c r="AB2" s="269"/>
      <c r="AC2" s="267" t="s">
        <v>67</v>
      </c>
      <c r="AD2" s="268"/>
      <c r="AE2" s="269"/>
      <c r="AF2" s="267" t="s">
        <v>68</v>
      </c>
      <c r="AG2" s="268"/>
      <c r="AH2" s="269"/>
      <c r="AI2" s="267" t="s">
        <v>69</v>
      </c>
      <c r="AJ2" s="268"/>
      <c r="AK2" s="269"/>
      <c r="AL2" s="267" t="s">
        <v>70</v>
      </c>
      <c r="AM2" s="268"/>
      <c r="AN2" s="269"/>
      <c r="AO2" s="267" t="s">
        <v>71</v>
      </c>
      <c r="AP2" s="268"/>
      <c r="AQ2" s="269"/>
      <c r="AR2" s="267" t="s">
        <v>72</v>
      </c>
      <c r="AS2" s="268"/>
      <c r="AT2" s="268"/>
      <c r="AU2" s="268"/>
      <c r="AV2" s="269"/>
      <c r="AW2" s="278" t="s">
        <v>199</v>
      </c>
      <c r="AX2" s="279"/>
      <c r="AY2" s="279"/>
      <c r="AZ2" s="279"/>
      <c r="BA2" s="279"/>
      <c r="BB2" s="279"/>
      <c r="BC2" s="279"/>
      <c r="BD2" s="279"/>
      <c r="BE2" s="279"/>
      <c r="BF2" s="279"/>
    </row>
    <row r="3" spans="1:59" ht="15.75" customHeight="1" x14ac:dyDescent="0.3">
      <c r="A3" s="83"/>
      <c r="B3" s="83"/>
      <c r="C3" s="83"/>
      <c r="D3" s="84"/>
      <c r="E3" s="85"/>
      <c r="F3" s="273">
        <v>1268000</v>
      </c>
      <c r="G3" s="275"/>
      <c r="H3" s="273">
        <v>0</v>
      </c>
      <c r="I3" s="274"/>
      <c r="J3" s="275"/>
      <c r="K3" s="273">
        <f>30000+0</f>
        <v>30000</v>
      </c>
      <c r="L3" s="274"/>
      <c r="M3" s="275"/>
      <c r="N3" s="273">
        <f>0+6000</f>
        <v>6000</v>
      </c>
      <c r="O3" s="274"/>
      <c r="P3" s="275"/>
      <c r="Q3" s="273">
        <f>10000+80000+12000+42000+60000</f>
        <v>204000</v>
      </c>
      <c r="R3" s="274"/>
      <c r="S3" s="275"/>
      <c r="T3" s="273">
        <v>30000</v>
      </c>
      <c r="U3" s="274"/>
      <c r="V3" s="275"/>
      <c r="W3" s="273">
        <v>74200</v>
      </c>
      <c r="X3" s="274"/>
      <c r="Y3" s="275"/>
      <c r="Z3" s="273">
        <v>50000</v>
      </c>
      <c r="AA3" s="274"/>
      <c r="AB3" s="275"/>
      <c r="AC3" s="273">
        <v>64000</v>
      </c>
      <c r="AD3" s="274"/>
      <c r="AE3" s="275"/>
      <c r="AF3" s="273">
        <v>0</v>
      </c>
      <c r="AG3" s="274"/>
      <c r="AH3" s="275"/>
      <c r="AI3" s="273">
        <v>20000</v>
      </c>
      <c r="AJ3" s="274"/>
      <c r="AK3" s="275"/>
      <c r="AL3" s="273">
        <v>0</v>
      </c>
      <c r="AM3" s="274"/>
      <c r="AN3" s="275"/>
      <c r="AO3" s="273"/>
      <c r="AP3" s="274"/>
      <c r="AQ3" s="275"/>
      <c r="AR3" s="273">
        <f>+F3+H3+K3+N3+Q3+T3+W3+Z3+AC3+AF3+AI3+AL3+AO3</f>
        <v>1746200</v>
      </c>
      <c r="AS3" s="274"/>
      <c r="AT3" s="274"/>
      <c r="AU3" s="274"/>
      <c r="AV3" s="275"/>
      <c r="AW3" s="83"/>
      <c r="AX3" s="83"/>
      <c r="AY3" s="83"/>
      <c r="AZ3" s="83"/>
      <c r="BA3" s="83"/>
      <c r="BB3" s="83"/>
      <c r="BC3" s="83"/>
      <c r="BD3" s="83"/>
      <c r="BE3" s="280" t="s">
        <v>86</v>
      </c>
      <c r="BF3" s="282" t="s">
        <v>87</v>
      </c>
    </row>
    <row r="4" spans="1:59" ht="30" customHeight="1" x14ac:dyDescent="0.3">
      <c r="A4" s="86"/>
      <c r="B4" s="86"/>
      <c r="C4" s="86"/>
      <c r="D4" s="84"/>
      <c r="E4" s="85"/>
      <c r="F4" s="87" t="s">
        <v>73</v>
      </c>
      <c r="G4" s="87" t="s">
        <v>74</v>
      </c>
      <c r="H4" s="87" t="s">
        <v>75</v>
      </c>
      <c r="I4" s="87" t="s">
        <v>73</v>
      </c>
      <c r="J4" s="87" t="s">
        <v>74</v>
      </c>
      <c r="K4" s="87" t="s">
        <v>75</v>
      </c>
      <c r="L4" s="87" t="s">
        <v>73</v>
      </c>
      <c r="M4" s="87" t="s">
        <v>74</v>
      </c>
      <c r="N4" s="87" t="s">
        <v>75</v>
      </c>
      <c r="O4" s="87" t="s">
        <v>73</v>
      </c>
      <c r="P4" s="87" t="s">
        <v>74</v>
      </c>
      <c r="Q4" s="87" t="s">
        <v>75</v>
      </c>
      <c r="R4" s="87" t="s">
        <v>73</v>
      </c>
      <c r="S4" s="87" t="s">
        <v>74</v>
      </c>
      <c r="T4" s="87" t="s">
        <v>75</v>
      </c>
      <c r="U4" s="87" t="s">
        <v>73</v>
      </c>
      <c r="V4" s="87" t="s">
        <v>74</v>
      </c>
      <c r="W4" s="87" t="s">
        <v>75</v>
      </c>
      <c r="X4" s="87" t="s">
        <v>73</v>
      </c>
      <c r="Y4" s="87" t="s">
        <v>74</v>
      </c>
      <c r="Z4" s="87" t="s">
        <v>75</v>
      </c>
      <c r="AA4" s="87" t="s">
        <v>73</v>
      </c>
      <c r="AB4" s="87" t="s">
        <v>74</v>
      </c>
      <c r="AC4" s="87" t="s">
        <v>75</v>
      </c>
      <c r="AD4" s="87" t="s">
        <v>73</v>
      </c>
      <c r="AE4" s="87" t="s">
        <v>74</v>
      </c>
      <c r="AF4" s="87" t="s">
        <v>75</v>
      </c>
      <c r="AG4" s="87" t="s">
        <v>73</v>
      </c>
      <c r="AH4" s="87" t="s">
        <v>74</v>
      </c>
      <c r="AI4" s="87" t="s">
        <v>75</v>
      </c>
      <c r="AJ4" s="87" t="s">
        <v>73</v>
      </c>
      <c r="AK4" s="87" t="s">
        <v>74</v>
      </c>
      <c r="AL4" s="87" t="s">
        <v>75</v>
      </c>
      <c r="AM4" s="87" t="s">
        <v>73</v>
      </c>
      <c r="AN4" s="87" t="s">
        <v>74</v>
      </c>
      <c r="AO4" s="87" t="s">
        <v>75</v>
      </c>
      <c r="AP4" s="87" t="s">
        <v>73</v>
      </c>
      <c r="AQ4" s="87" t="s">
        <v>74</v>
      </c>
      <c r="AR4" s="87" t="s">
        <v>57</v>
      </c>
      <c r="AS4" s="87" t="s">
        <v>76</v>
      </c>
      <c r="AT4" s="87" t="s">
        <v>77</v>
      </c>
      <c r="AU4" s="87" t="s">
        <v>73</v>
      </c>
      <c r="AV4" s="87" t="s">
        <v>74</v>
      </c>
      <c r="AW4" s="86" t="s">
        <v>78</v>
      </c>
      <c r="AX4" s="86" t="s">
        <v>79</v>
      </c>
      <c r="AY4" s="86" t="s">
        <v>80</v>
      </c>
      <c r="AZ4" s="86" t="s">
        <v>81</v>
      </c>
      <c r="BA4" s="86" t="s">
        <v>82</v>
      </c>
      <c r="BB4" s="86" t="s">
        <v>83</v>
      </c>
      <c r="BC4" s="86" t="s">
        <v>84</v>
      </c>
      <c r="BD4" s="86" t="s">
        <v>85</v>
      </c>
      <c r="BE4" s="281"/>
      <c r="BF4" s="283"/>
    </row>
    <row r="5" spans="1:59" ht="15.75" x14ac:dyDescent="0.3">
      <c r="A5" s="208" t="s">
        <v>432</v>
      </c>
      <c r="B5" s="83" t="s">
        <v>88</v>
      </c>
      <c r="C5" s="88"/>
      <c r="D5" s="89">
        <f>736543.521348481+80000</f>
        <v>816543.52134848095</v>
      </c>
      <c r="E5" s="88">
        <f>+C5+D5</f>
        <v>816543.52134848095</v>
      </c>
      <c r="F5" s="88">
        <f>+(1268000/19961560)*E5</f>
        <v>51868.550607761812</v>
      </c>
      <c r="G5" s="88">
        <f>+E5+F5</f>
        <v>868412.07195624278</v>
      </c>
      <c r="H5" s="88">
        <v>0</v>
      </c>
      <c r="I5" s="88">
        <f>+(0/(21229560+1050000))*(G5+H5)</f>
        <v>0</v>
      </c>
      <c r="J5" s="88">
        <f>+G5+H5+I5</f>
        <v>868412.07195624278</v>
      </c>
      <c r="K5" s="88">
        <v>0</v>
      </c>
      <c r="L5" s="88">
        <f>+(30000/((21638859-36000)+(328000-36000))*(J5+K5))</f>
        <v>1189.8849021447127</v>
      </c>
      <c r="M5" s="88">
        <f>+J5+K5+L5</f>
        <v>869601.95685838745</v>
      </c>
      <c r="N5" s="88">
        <v>0</v>
      </c>
      <c r="O5" s="88">
        <f>+(6000/(21996859-72000+345000-18000-19000-44000))*(M5+N5)</f>
        <v>235.14556296699732</v>
      </c>
      <c r="P5" s="88">
        <f>+M5+N5+O5</f>
        <v>869837.1024213545</v>
      </c>
      <c r="Q5" s="88">
        <v>0</v>
      </c>
      <c r="R5" s="88">
        <f>+(204000/(22347859-54000-37000-62000+386000-18000-19000-66000))*(P5+Q5)</f>
        <v>7894.2913955442255</v>
      </c>
      <c r="S5" s="88">
        <f>+P5+Q5+R5</f>
        <v>877731.39381689869</v>
      </c>
      <c r="T5" s="88">
        <v>0</v>
      </c>
      <c r="U5" s="88">
        <f>+((30000/(22937859+882000-36000-36000-56000-128000-6000-9000-409000-69000))*(S5+T5))</f>
        <v>1141.3507323029005</v>
      </c>
      <c r="V5" s="88">
        <f>+S5+T5+U5</f>
        <v>878872.74454920157</v>
      </c>
      <c r="W5" s="88">
        <v>0</v>
      </c>
      <c r="X5" s="88">
        <f>+(74200/(23849859+426500-42000-45000-465000-197000-9000-9000-14000-69000))*(V5+W5)</f>
        <v>2783.7171643084084</v>
      </c>
      <c r="Y5" s="88">
        <f t="shared" ref="Y5:Y38" si="0">+V5+W5+X5</f>
        <v>881656.46171350998</v>
      </c>
      <c r="Z5" s="88">
        <v>0</v>
      </c>
      <c r="AA5" s="88">
        <f>+(50000/(24350559+561768-51000-54000-479000-266000-9000-9000-19000-69000-153468))*(Y5+Z5)</f>
        <v>1851.9969842982098</v>
      </c>
      <c r="AB5" s="88">
        <f t="shared" ref="AB5:AB31" si="1">+Y5+Z5+AA5</f>
        <v>883508.45869780821</v>
      </c>
      <c r="AC5" s="88">
        <v>0</v>
      </c>
      <c r="AD5" s="88">
        <f>+(64000/(24962327+403000-60000-63000-498000-335000-153468-9000-9000-19000-69000))*(AB5+AC5)</f>
        <v>2341.4025463527437</v>
      </c>
      <c r="AE5" s="88">
        <f t="shared" ref="AE5:AE31" si="2">+AB5+AC5+AD5</f>
        <v>885849.86124416091</v>
      </c>
      <c r="AF5" s="88">
        <v>0</v>
      </c>
      <c r="AG5" s="88">
        <f t="shared" ref="AG5:AG31" si="3">+(0/20256265)*(AE5+AF5)</f>
        <v>0</v>
      </c>
      <c r="AH5" s="88">
        <f t="shared" ref="AH5:AH31" si="4">+AE5+AF5+AG5</f>
        <v>885849.86124416091</v>
      </c>
      <c r="AI5" s="88">
        <v>0</v>
      </c>
      <c r="AJ5" s="88">
        <f>+((20000/(26194827+596000-60000-258500-9000-153468))*(AH5+AI5))</f>
        <v>673.39765009319194</v>
      </c>
      <c r="AK5" s="88">
        <f t="shared" ref="AK5:AK31" si="5">+AH5+AI5+AJ5</f>
        <v>886523.2588942541</v>
      </c>
      <c r="AL5" s="88">
        <v>0</v>
      </c>
      <c r="AM5" s="88">
        <f>+(0/(23068716+171000))*(AK5+AL5)</f>
        <v>0</v>
      </c>
      <c r="AN5" s="88">
        <f t="shared" ref="AN5:AN31" si="6">+AK5+AL5+AM5</f>
        <v>886523.2588942541</v>
      </c>
      <c r="AO5" s="88">
        <v>0</v>
      </c>
      <c r="AP5" s="88">
        <f>+(0/20000)*(AN5+AO5)</f>
        <v>0</v>
      </c>
      <c r="AQ5" s="88">
        <f>+AN5+AO5+AP5</f>
        <v>886523.2588942541</v>
      </c>
      <c r="AR5" s="88">
        <f>+C5</f>
        <v>0</v>
      </c>
      <c r="AS5" s="88">
        <f>+D5</f>
        <v>816543.52134848095</v>
      </c>
      <c r="AT5" s="88">
        <f>+H5+K5+N5+Q5+T5+W5+Z5+AC5+AF5+AI5+AL5+AO5</f>
        <v>0</v>
      </c>
      <c r="AU5" s="88">
        <f>+F5+I5+L5+O5+R5+U5+X5+AA5+AD5+AG5+AJ5+AM5+AP5</f>
        <v>69979.737545773198</v>
      </c>
      <c r="AV5" s="88">
        <f>+AN5+AO5+AP5</f>
        <v>886523.2588942541</v>
      </c>
      <c r="AW5" s="88"/>
      <c r="AX5" s="88"/>
      <c r="AY5" s="88"/>
      <c r="AZ5" s="88"/>
      <c r="BA5" s="88"/>
      <c r="BB5" s="88">
        <f>+AV5-AW5-AX5-AY5-AZ5-BA5</f>
        <v>886523.2588942541</v>
      </c>
      <c r="BC5" s="88"/>
      <c r="BD5" s="88">
        <f>+BB5-BC5</f>
        <v>886523.2588942541</v>
      </c>
      <c r="BE5" s="83">
        <v>0</v>
      </c>
      <c r="BF5" s="90">
        <f>+BD5-BE5</f>
        <v>886523.2588942541</v>
      </c>
      <c r="BG5" t="s">
        <v>117</v>
      </c>
    </row>
    <row r="6" spans="1:59" ht="15.75" x14ac:dyDescent="0.3">
      <c r="A6" s="208" t="s">
        <v>434</v>
      </c>
      <c r="B6" s="83" t="s">
        <v>39</v>
      </c>
      <c r="C6" s="144">
        <v>600000</v>
      </c>
      <c r="D6" s="89">
        <v>7023.6611389458412</v>
      </c>
      <c r="E6" s="88">
        <f t="shared" ref="E6:E31" si="7">+C6+D6</f>
        <v>607023.66113894584</v>
      </c>
      <c r="F6" s="88">
        <f t="shared" ref="F6:F31" si="8">+(1268000/19961560)*E6</f>
        <v>38559.411304736874</v>
      </c>
      <c r="G6" s="88">
        <f t="shared" ref="G6:G31" si="9">+E6+F6</f>
        <v>645583.0724436827</v>
      </c>
      <c r="H6" s="88">
        <v>9000</v>
      </c>
      <c r="I6" s="88">
        <f t="shared" ref="I6:I38" si="10">+(0/(21229560+1050000))*(G6+H6)</f>
        <v>0</v>
      </c>
      <c r="J6" s="88">
        <f t="shared" ref="J6:J38" si="11">+G6+H6+I6</f>
        <v>654583.0724436827</v>
      </c>
      <c r="K6" s="135">
        <v>9000</v>
      </c>
      <c r="L6" s="88">
        <f t="shared" ref="L6:L32" si="12">+(30000/((21638859-36000)+(328000-36000))*(J6+K6))</f>
        <v>909.2313484782195</v>
      </c>
      <c r="M6" s="88">
        <f t="shared" ref="M6:M36" si="13">+J6+K6+L6</f>
        <v>664492.30379216094</v>
      </c>
      <c r="N6" s="88">
        <v>9000</v>
      </c>
      <c r="O6" s="88">
        <f t="shared" ref="O6:O32" si="14">+(6000/(21996859-72000+345000-18000-19000-44000))*(M6+N6)</f>
        <v>182.11634148258665</v>
      </c>
      <c r="P6" s="88">
        <f t="shared" ref="P6:P36" si="15">+M6+N6+O6</f>
        <v>673674.42013364355</v>
      </c>
      <c r="Q6" s="88">
        <v>9000</v>
      </c>
      <c r="R6" s="88">
        <f t="shared" ref="R6:R32" si="16">+(204000/(22347859-54000-37000-62000+386000-18000-19000-66000))*(P6+Q6)</f>
        <v>6195.6782319554231</v>
      </c>
      <c r="S6" s="88">
        <f t="shared" ref="S6:S36" si="17">+P6+Q6+R6</f>
        <v>688870.09836559894</v>
      </c>
      <c r="T6" s="88">
        <v>9000</v>
      </c>
      <c r="U6" s="88">
        <f t="shared" ref="U6:U32" si="18">+((30000/(22937859+882000-36000-36000-56000-128000-6000-9000-409000-69000))*(S6+T6))</f>
        <v>907.46958970916376</v>
      </c>
      <c r="V6" s="88">
        <f t="shared" ref="V6:V31" si="19">+S6+T6+U6</f>
        <v>698777.56795530813</v>
      </c>
      <c r="W6" s="88">
        <v>9000</v>
      </c>
      <c r="X6" s="88">
        <f t="shared" ref="X6:X32" si="20">+(74200/(23849859+426500-42000-45000-465000-197000-9000-9000-14000-69000))*(V6+W6)</f>
        <v>2241.7950455845003</v>
      </c>
      <c r="Y6" s="88">
        <f t="shared" si="0"/>
        <v>710019.36300089268</v>
      </c>
      <c r="Z6" s="88">
        <v>9000</v>
      </c>
      <c r="AA6" s="88">
        <f t="shared" ref="AA6:AA32" si="21">+(50000/(24350559+561768-51000-54000-479000-266000-9000-9000-19000-69000-153468))*(Y6+Z6)</f>
        <v>1510.3634462584782</v>
      </c>
      <c r="AB6" s="88">
        <f t="shared" si="1"/>
        <v>720529.72644715116</v>
      </c>
      <c r="AC6" s="88">
        <v>9000</v>
      </c>
      <c r="AD6" s="88">
        <f t="shared" ref="AD6:AD32" si="22">+(64000/(24962327+403000-60000-63000-498000-335000-153468-9000-9000-19000-69000))*(AB6+AC6)</f>
        <v>1933.340583587576</v>
      </c>
      <c r="AE6" s="88">
        <f t="shared" si="2"/>
        <v>731463.06703073869</v>
      </c>
      <c r="AF6" s="88">
        <v>9000</v>
      </c>
      <c r="AG6" s="88">
        <f t="shared" si="3"/>
        <v>0</v>
      </c>
      <c r="AH6" s="88">
        <f t="shared" si="4"/>
        <v>740463.06703073869</v>
      </c>
      <c r="AI6" s="88">
        <v>9000</v>
      </c>
      <c r="AJ6" s="88">
        <f t="shared" ref="AJ6:AJ32" si="23">+((20000/(26194827+596000-60000-258500-9000-153468))*(AH6+AI6))</f>
        <v>569.72032197568114</v>
      </c>
      <c r="AK6" s="88">
        <f t="shared" si="5"/>
        <v>750032.78735271434</v>
      </c>
      <c r="AL6" s="88">
        <v>9000</v>
      </c>
      <c r="AM6" s="88">
        <f t="shared" ref="AM6:AM31" si="24">+(0/(23068716+171000))*(AK6+AL6)</f>
        <v>0</v>
      </c>
      <c r="AN6" s="88">
        <f t="shared" si="6"/>
        <v>759032.78735271434</v>
      </c>
      <c r="AO6" s="88">
        <v>9000</v>
      </c>
      <c r="AP6" s="88">
        <f t="shared" ref="AP6:AP31" si="25">+(0/20000)*(AN6+AO6)</f>
        <v>0</v>
      </c>
      <c r="AQ6" s="88">
        <f t="shared" ref="AQ6:AQ31" si="26">+AN6+AO6+AP6</f>
        <v>768032.78735271434</v>
      </c>
      <c r="AR6" s="88">
        <f t="shared" ref="AR6:AS31" si="27">+C6</f>
        <v>600000</v>
      </c>
      <c r="AS6" s="88">
        <f t="shared" si="27"/>
        <v>7023.6611389458412</v>
      </c>
      <c r="AT6" s="88">
        <f>+H6+K6+N6+Q6+T6+W6+Z6+AC6+AF6+AI6+AL6+AO6</f>
        <v>108000</v>
      </c>
      <c r="AU6" s="88">
        <f t="shared" ref="AU6:AU31" si="28">+F6+I6+L6+O6+R6+U6+X6+AA6+AD6+AG6+AJ6+AM6+AP6</f>
        <v>53009.126213768512</v>
      </c>
      <c r="AV6" s="88">
        <f t="shared" ref="AV6:AV31" si="29">+AN6+AO6+AP6</f>
        <v>768032.78735271434</v>
      </c>
      <c r="AW6" s="88">
        <v>630000</v>
      </c>
      <c r="AX6" s="88"/>
      <c r="AY6" s="88"/>
      <c r="AZ6" s="88"/>
      <c r="BA6" s="88"/>
      <c r="BB6" s="88">
        <f t="shared" ref="BB6:BB38" si="30">+AV6-AW6-AX6-AY6-AZ6-BA6</f>
        <v>138032.78735271434</v>
      </c>
      <c r="BC6" s="88"/>
      <c r="BD6" s="88">
        <f>+BB6</f>
        <v>138032.78735271434</v>
      </c>
      <c r="BE6" s="83">
        <v>0</v>
      </c>
      <c r="BF6" s="90">
        <f t="shared" ref="BF6:BF46" si="31">+BD6-BE6</f>
        <v>138032.78735271434</v>
      </c>
    </row>
    <row r="7" spans="1:59" ht="15.75" x14ac:dyDescent="0.3">
      <c r="A7" s="208" t="s">
        <v>435</v>
      </c>
      <c r="B7" s="83" t="s">
        <v>43</v>
      </c>
      <c r="C7" s="144">
        <v>600000</v>
      </c>
      <c r="D7" s="89">
        <v>4809.8069585817866</v>
      </c>
      <c r="E7" s="88">
        <f t="shared" si="7"/>
        <v>604809.80695858179</v>
      </c>
      <c r="F7" s="88">
        <f t="shared" si="8"/>
        <v>38418.78266144939</v>
      </c>
      <c r="G7" s="88">
        <f t="shared" si="9"/>
        <v>643228.58962003118</v>
      </c>
      <c r="H7" s="88">
        <v>29000</v>
      </c>
      <c r="I7" s="88">
        <f t="shared" si="10"/>
        <v>0</v>
      </c>
      <c r="J7" s="88">
        <f t="shared" si="11"/>
        <v>672228.58962003118</v>
      </c>
      <c r="K7" s="135">
        <v>17000</v>
      </c>
      <c r="L7" s="88">
        <f t="shared" si="12"/>
        <v>944.3704427875482</v>
      </c>
      <c r="M7" s="88">
        <f t="shared" si="13"/>
        <v>690172.96006281872</v>
      </c>
      <c r="N7" s="88">
        <v>9000</v>
      </c>
      <c r="O7" s="88">
        <f t="shared" si="14"/>
        <v>189.06054431987297</v>
      </c>
      <c r="P7" s="88">
        <f t="shared" si="15"/>
        <v>699362.02060713863</v>
      </c>
      <c r="Q7" s="88">
        <v>14000</v>
      </c>
      <c r="R7" s="88">
        <f t="shared" si="16"/>
        <v>6474.1865408024978</v>
      </c>
      <c r="S7" s="88">
        <f t="shared" si="17"/>
        <v>719836.20714794111</v>
      </c>
      <c r="T7" s="88">
        <v>14000</v>
      </c>
      <c r="U7" s="88">
        <f t="shared" si="18"/>
        <v>954.23782072606116</v>
      </c>
      <c r="V7" s="88">
        <f t="shared" si="19"/>
        <v>734790.44496866711</v>
      </c>
      <c r="W7" s="88">
        <v>9000</v>
      </c>
      <c r="X7" s="88">
        <f t="shared" si="20"/>
        <v>2355.8612337783734</v>
      </c>
      <c r="Y7" s="88">
        <f t="shared" si="0"/>
        <v>746146.30620244553</v>
      </c>
      <c r="Z7" s="88">
        <v>9000</v>
      </c>
      <c r="AA7" s="88">
        <f t="shared" si="21"/>
        <v>1586.2512696530396</v>
      </c>
      <c r="AB7" s="88">
        <f t="shared" si="1"/>
        <v>756732.55747209862</v>
      </c>
      <c r="AC7" s="88">
        <v>9000</v>
      </c>
      <c r="AD7" s="88">
        <f t="shared" si="22"/>
        <v>2029.282393665914</v>
      </c>
      <c r="AE7" s="88">
        <f t="shared" si="2"/>
        <v>767761.83986576449</v>
      </c>
      <c r="AF7" s="88">
        <v>7000</v>
      </c>
      <c r="AG7" s="88">
        <f t="shared" si="3"/>
        <v>0</v>
      </c>
      <c r="AH7" s="88">
        <f t="shared" si="4"/>
        <v>774761.83986576449</v>
      </c>
      <c r="AI7" s="88">
        <v>9000</v>
      </c>
      <c r="AJ7" s="88">
        <f t="shared" si="23"/>
        <v>595.7932650766121</v>
      </c>
      <c r="AK7" s="88">
        <f t="shared" si="5"/>
        <v>784357.63313084107</v>
      </c>
      <c r="AL7" s="88">
        <v>9000</v>
      </c>
      <c r="AM7" s="88">
        <f t="shared" si="24"/>
        <v>0</v>
      </c>
      <c r="AN7" s="88">
        <f t="shared" si="6"/>
        <v>793357.63313084107</v>
      </c>
      <c r="AO7" s="88">
        <v>9000</v>
      </c>
      <c r="AP7" s="88">
        <f t="shared" si="25"/>
        <v>0</v>
      </c>
      <c r="AQ7" s="88">
        <f t="shared" si="26"/>
        <v>802357.63313084107</v>
      </c>
      <c r="AR7" s="88">
        <f t="shared" si="27"/>
        <v>600000</v>
      </c>
      <c r="AS7" s="88">
        <f t="shared" si="27"/>
        <v>4809.8069585817866</v>
      </c>
      <c r="AT7" s="88">
        <f t="shared" ref="AT7:AT31" si="32">+H7+K7+N7+Q7+T7+W7+Z7+AC7+AF7+AI7+AL7+AO7</f>
        <v>144000</v>
      </c>
      <c r="AU7" s="88">
        <f t="shared" si="28"/>
        <v>53547.826172259302</v>
      </c>
      <c r="AV7" s="88">
        <f t="shared" si="29"/>
        <v>802357.63313084107</v>
      </c>
      <c r="AW7" s="88">
        <v>630000</v>
      </c>
      <c r="AX7" s="88"/>
      <c r="AY7" s="88"/>
      <c r="AZ7" s="88"/>
      <c r="BA7" s="88"/>
      <c r="BB7" s="88">
        <f t="shared" si="30"/>
        <v>172357.63313084107</v>
      </c>
      <c r="BC7" s="88"/>
      <c r="BD7" s="88">
        <f t="shared" ref="BD7:BD31" si="33">+BB7</f>
        <v>172357.63313084107</v>
      </c>
      <c r="BE7" s="83">
        <v>0</v>
      </c>
      <c r="BF7" s="90">
        <f t="shared" si="31"/>
        <v>172357.63313084107</v>
      </c>
    </row>
    <row r="8" spans="1:59" ht="15.75" x14ac:dyDescent="0.3">
      <c r="A8" s="208" t="s">
        <v>436</v>
      </c>
      <c r="B8" s="83" t="s">
        <v>89</v>
      </c>
      <c r="C8" s="144">
        <v>600000</v>
      </c>
      <c r="D8" s="89">
        <v>48710.412466726033</v>
      </c>
      <c r="E8" s="88">
        <f t="shared" si="7"/>
        <v>648710.41246672603</v>
      </c>
      <c r="F8" s="88">
        <f t="shared" si="8"/>
        <v>41207.440851707412</v>
      </c>
      <c r="G8" s="88">
        <f t="shared" si="9"/>
        <v>689917.85331843339</v>
      </c>
      <c r="H8" s="88">
        <v>9000</v>
      </c>
      <c r="I8" s="88">
        <f t="shared" si="10"/>
        <v>0</v>
      </c>
      <c r="J8" s="88">
        <f t="shared" si="11"/>
        <v>698917.85331843339</v>
      </c>
      <c r="K8" s="135">
        <v>9000</v>
      </c>
      <c r="L8" s="88">
        <f t="shared" si="12"/>
        <v>969.97818526956496</v>
      </c>
      <c r="M8" s="88">
        <f t="shared" si="13"/>
        <v>708887.83150370291</v>
      </c>
      <c r="N8" s="88">
        <v>10000</v>
      </c>
      <c r="O8" s="88">
        <f t="shared" si="14"/>
        <v>194.39156330761386</v>
      </c>
      <c r="P8" s="88">
        <f t="shared" si="15"/>
        <v>719082.22306701052</v>
      </c>
      <c r="Q8" s="88">
        <v>9000</v>
      </c>
      <c r="R8" s="88">
        <f t="shared" si="16"/>
        <v>6607.7811728274546</v>
      </c>
      <c r="S8" s="88">
        <f t="shared" si="17"/>
        <v>734690.00423983799</v>
      </c>
      <c r="T8" s="88">
        <v>9000</v>
      </c>
      <c r="U8" s="88">
        <f t="shared" si="18"/>
        <v>967.05112398264578</v>
      </c>
      <c r="V8" s="88">
        <f t="shared" si="19"/>
        <v>744657.05536382063</v>
      </c>
      <c r="W8" s="88">
        <v>9000</v>
      </c>
      <c r="X8" s="88">
        <f t="shared" si="20"/>
        <v>2387.1124619918742</v>
      </c>
      <c r="Y8" s="88">
        <f t="shared" si="0"/>
        <v>756044.16782581247</v>
      </c>
      <c r="Z8" s="88">
        <v>6000</v>
      </c>
      <c r="AA8" s="88">
        <f t="shared" si="21"/>
        <v>1600.7408350102241</v>
      </c>
      <c r="AB8" s="88">
        <f t="shared" si="1"/>
        <v>763644.90866082266</v>
      </c>
      <c r="AC8" s="88">
        <v>9000</v>
      </c>
      <c r="AD8" s="88">
        <f t="shared" si="22"/>
        <v>2047.6009468333814</v>
      </c>
      <c r="AE8" s="88">
        <f t="shared" si="2"/>
        <v>774692.50960765604</v>
      </c>
      <c r="AF8" s="88">
        <v>9000</v>
      </c>
      <c r="AG8" s="88">
        <f t="shared" si="3"/>
        <v>0</v>
      </c>
      <c r="AH8" s="88">
        <f t="shared" si="4"/>
        <v>783692.50960765604</v>
      </c>
      <c r="AI8" s="88">
        <v>9000</v>
      </c>
      <c r="AJ8" s="88">
        <f t="shared" si="23"/>
        <v>602.58210399961172</v>
      </c>
      <c r="AK8" s="88">
        <f t="shared" si="5"/>
        <v>793295.09171165561</v>
      </c>
      <c r="AL8" s="88">
        <v>9000</v>
      </c>
      <c r="AM8" s="88">
        <f t="shared" si="24"/>
        <v>0</v>
      </c>
      <c r="AN8" s="88">
        <f t="shared" si="6"/>
        <v>802295.09171165561</v>
      </c>
      <c r="AO8" s="88">
        <v>9000</v>
      </c>
      <c r="AP8" s="88">
        <f t="shared" si="25"/>
        <v>0</v>
      </c>
      <c r="AQ8" s="88">
        <f t="shared" si="26"/>
        <v>811295.09171165561</v>
      </c>
      <c r="AR8" s="88">
        <f t="shared" si="27"/>
        <v>600000</v>
      </c>
      <c r="AS8" s="88">
        <f t="shared" si="27"/>
        <v>48710.412466726033</v>
      </c>
      <c r="AT8" s="88">
        <f t="shared" si="32"/>
        <v>106000</v>
      </c>
      <c r="AU8" s="88">
        <f t="shared" si="28"/>
        <v>56584.679244929779</v>
      </c>
      <c r="AV8" s="88">
        <f t="shared" si="29"/>
        <v>811295.09171165561</v>
      </c>
      <c r="AW8" s="88">
        <v>630000</v>
      </c>
      <c r="AX8" s="88"/>
      <c r="AY8" s="88"/>
      <c r="AZ8" s="88"/>
      <c r="BA8" s="88"/>
      <c r="BB8" s="88">
        <f t="shared" si="30"/>
        <v>181295.09171165561</v>
      </c>
      <c r="BC8" s="88"/>
      <c r="BD8" s="88">
        <f t="shared" si="33"/>
        <v>181295.09171165561</v>
      </c>
      <c r="BE8" s="83">
        <v>0</v>
      </c>
      <c r="BF8" s="90">
        <f t="shared" si="31"/>
        <v>181295.09171165561</v>
      </c>
    </row>
    <row r="9" spans="1:59" ht="15.75" x14ac:dyDescent="0.3">
      <c r="A9" s="208" t="s">
        <v>437</v>
      </c>
      <c r="B9" s="83" t="s">
        <v>90</v>
      </c>
      <c r="C9" s="144">
        <v>600000</v>
      </c>
      <c r="D9" s="89">
        <v>4750.0783119258704</v>
      </c>
      <c r="E9" s="88">
        <f t="shared" si="7"/>
        <v>604750.07831192587</v>
      </c>
      <c r="F9" s="88">
        <f t="shared" si="8"/>
        <v>38414.988573013434</v>
      </c>
      <c r="G9" s="88">
        <f t="shared" si="9"/>
        <v>643165.06688493933</v>
      </c>
      <c r="H9" s="88">
        <v>9000</v>
      </c>
      <c r="I9" s="88">
        <f t="shared" si="10"/>
        <v>0</v>
      </c>
      <c r="J9" s="88">
        <f t="shared" si="11"/>
        <v>652165.06688493933</v>
      </c>
      <c r="K9" s="135">
        <v>9000</v>
      </c>
      <c r="L9" s="88">
        <f t="shared" si="12"/>
        <v>905.91823434661899</v>
      </c>
      <c r="M9" s="88">
        <f t="shared" si="13"/>
        <v>662070.98511928599</v>
      </c>
      <c r="N9" s="88">
        <v>14000</v>
      </c>
      <c r="O9" s="88">
        <f t="shared" si="14"/>
        <v>182.81363231501521</v>
      </c>
      <c r="P9" s="88">
        <f t="shared" si="15"/>
        <v>676253.79875160102</v>
      </c>
      <c r="Q9" s="88">
        <v>9000</v>
      </c>
      <c r="R9" s="88">
        <f t="shared" si="16"/>
        <v>6219.0876339835841</v>
      </c>
      <c r="S9" s="88">
        <f t="shared" si="17"/>
        <v>691472.8863855846</v>
      </c>
      <c r="T9" s="88">
        <v>9000</v>
      </c>
      <c r="U9" s="88">
        <f t="shared" si="18"/>
        <v>910.85410350639904</v>
      </c>
      <c r="V9" s="88">
        <f t="shared" si="19"/>
        <v>701383.74048909103</v>
      </c>
      <c r="W9" s="88">
        <v>13000</v>
      </c>
      <c r="X9" s="88">
        <f t="shared" si="20"/>
        <v>2262.7192533116458</v>
      </c>
      <c r="Y9" s="88">
        <f t="shared" si="0"/>
        <v>716646.45974240266</v>
      </c>
      <c r="Z9" s="88">
        <v>9000</v>
      </c>
      <c r="AA9" s="88">
        <f t="shared" si="21"/>
        <v>1524.2842461537975</v>
      </c>
      <c r="AB9" s="88">
        <f t="shared" si="1"/>
        <v>727170.74398855644</v>
      </c>
      <c r="AC9" s="88">
        <v>9000</v>
      </c>
      <c r="AD9" s="88">
        <f t="shared" si="22"/>
        <v>1950.9400703030033</v>
      </c>
      <c r="AE9" s="88">
        <f t="shared" si="2"/>
        <v>738121.68405885948</v>
      </c>
      <c r="AF9" s="88">
        <v>9500</v>
      </c>
      <c r="AG9" s="88">
        <f t="shared" si="3"/>
        <v>0</v>
      </c>
      <c r="AH9" s="88">
        <f t="shared" si="4"/>
        <v>747621.68405885948</v>
      </c>
      <c r="AI9" s="88">
        <v>9000</v>
      </c>
      <c r="AJ9" s="88">
        <f t="shared" si="23"/>
        <v>575.16209726464854</v>
      </c>
      <c r="AK9" s="88">
        <f t="shared" si="5"/>
        <v>757196.84615612414</v>
      </c>
      <c r="AL9" s="88">
        <v>9000</v>
      </c>
      <c r="AM9" s="88">
        <f t="shared" si="24"/>
        <v>0</v>
      </c>
      <c r="AN9" s="88">
        <f t="shared" si="6"/>
        <v>766196.84615612414</v>
      </c>
      <c r="AO9" s="88">
        <v>9000</v>
      </c>
      <c r="AP9" s="88">
        <f t="shared" si="25"/>
        <v>0</v>
      </c>
      <c r="AQ9" s="88">
        <f t="shared" si="26"/>
        <v>775196.84615612414</v>
      </c>
      <c r="AR9" s="88">
        <f t="shared" si="27"/>
        <v>600000</v>
      </c>
      <c r="AS9" s="88">
        <f t="shared" si="27"/>
        <v>4750.0783119258704</v>
      </c>
      <c r="AT9" s="88">
        <f t="shared" si="32"/>
        <v>117500</v>
      </c>
      <c r="AU9" s="88">
        <f t="shared" si="28"/>
        <v>52946.767844198141</v>
      </c>
      <c r="AV9" s="88">
        <f t="shared" si="29"/>
        <v>775196.84615612414</v>
      </c>
      <c r="AW9" s="88">
        <v>630000</v>
      </c>
      <c r="AX9" s="88"/>
      <c r="AY9" s="88"/>
      <c r="AZ9" s="88"/>
      <c r="BA9" s="88"/>
      <c r="BB9" s="88">
        <f t="shared" si="30"/>
        <v>145196.84615612414</v>
      </c>
      <c r="BC9" s="88"/>
      <c r="BD9" s="88">
        <f t="shared" si="33"/>
        <v>145196.84615612414</v>
      </c>
      <c r="BE9" s="83">
        <v>0</v>
      </c>
      <c r="BF9" s="90">
        <f t="shared" si="31"/>
        <v>145196.84615612414</v>
      </c>
    </row>
    <row r="10" spans="1:59" ht="15.75" x14ac:dyDescent="0.3">
      <c r="A10" s="208" t="s">
        <v>438</v>
      </c>
      <c r="B10" s="83" t="s">
        <v>91</v>
      </c>
      <c r="C10" s="144">
        <v>600000</v>
      </c>
      <c r="D10" s="89">
        <v>10718.850200936431</v>
      </c>
      <c r="E10" s="88">
        <f t="shared" si="7"/>
        <v>610718.85020093643</v>
      </c>
      <c r="F10" s="88">
        <f t="shared" si="8"/>
        <v>38794.137434889228</v>
      </c>
      <c r="G10" s="88">
        <f t="shared" si="9"/>
        <v>649512.98763582564</v>
      </c>
      <c r="H10" s="88">
        <v>14000</v>
      </c>
      <c r="I10" s="88">
        <f t="shared" si="10"/>
        <v>0</v>
      </c>
      <c r="J10" s="88">
        <f t="shared" si="11"/>
        <v>663512.98763582564</v>
      </c>
      <c r="K10" s="135">
        <v>14000</v>
      </c>
      <c r="L10" s="88">
        <f t="shared" si="12"/>
        <v>928.3179046311634</v>
      </c>
      <c r="M10" s="88">
        <f t="shared" si="13"/>
        <v>678441.30554045679</v>
      </c>
      <c r="N10" s="88">
        <v>14000</v>
      </c>
      <c r="O10" s="88">
        <f t="shared" si="14"/>
        <v>187.24026473117618</v>
      </c>
      <c r="P10" s="88">
        <f t="shared" si="15"/>
        <v>692628.54580518801</v>
      </c>
      <c r="Q10" s="88">
        <v>14000</v>
      </c>
      <c r="R10" s="88">
        <f t="shared" si="16"/>
        <v>6413.0762340069114</v>
      </c>
      <c r="S10" s="88">
        <f t="shared" si="17"/>
        <v>713041.62203919492</v>
      </c>
      <c r="T10" s="88">
        <v>114000</v>
      </c>
      <c r="U10" s="88">
        <f t="shared" si="18"/>
        <v>1075.4367083243778</v>
      </c>
      <c r="V10" s="88">
        <f t="shared" si="19"/>
        <v>828117.05874751927</v>
      </c>
      <c r="W10" s="88">
        <v>43500</v>
      </c>
      <c r="X10" s="88">
        <f t="shared" si="20"/>
        <v>2760.7357062642955</v>
      </c>
      <c r="Y10" s="88">
        <f t="shared" si="0"/>
        <v>874377.79445378354</v>
      </c>
      <c r="Z10" s="88">
        <v>25300</v>
      </c>
      <c r="AA10" s="88">
        <f t="shared" si="21"/>
        <v>1889.8523796107511</v>
      </c>
      <c r="AB10" s="88">
        <f t="shared" si="1"/>
        <v>901567.6468333943</v>
      </c>
      <c r="AC10" s="88">
        <v>14000</v>
      </c>
      <c r="AD10" s="88">
        <f t="shared" si="22"/>
        <v>2426.3632097122072</v>
      </c>
      <c r="AE10" s="88">
        <f t="shared" si="2"/>
        <v>917994.01004310651</v>
      </c>
      <c r="AF10" s="88">
        <v>14000</v>
      </c>
      <c r="AG10" s="88">
        <f t="shared" si="3"/>
        <v>0</v>
      </c>
      <c r="AH10" s="88">
        <f t="shared" si="4"/>
        <v>931994.01004310651</v>
      </c>
      <c r="AI10" s="88">
        <v>14000</v>
      </c>
      <c r="AJ10" s="88">
        <f t="shared" si="23"/>
        <v>719.11750651579428</v>
      </c>
      <c r="AK10" s="88">
        <f t="shared" si="5"/>
        <v>946713.12754962232</v>
      </c>
      <c r="AL10" s="88">
        <v>14000</v>
      </c>
      <c r="AM10" s="88">
        <f t="shared" si="24"/>
        <v>0</v>
      </c>
      <c r="AN10" s="88">
        <f t="shared" si="6"/>
        <v>960713.12754962232</v>
      </c>
      <c r="AO10" s="88">
        <v>14000</v>
      </c>
      <c r="AP10" s="88">
        <f t="shared" si="25"/>
        <v>0</v>
      </c>
      <c r="AQ10" s="88">
        <f t="shared" si="26"/>
        <v>974713.12754962232</v>
      </c>
      <c r="AR10" s="88">
        <f t="shared" si="27"/>
        <v>600000</v>
      </c>
      <c r="AS10" s="88">
        <f t="shared" si="27"/>
        <v>10718.850200936431</v>
      </c>
      <c r="AT10" s="88">
        <f t="shared" si="32"/>
        <v>308800</v>
      </c>
      <c r="AU10" s="88">
        <f t="shared" si="28"/>
        <v>55194.277348685908</v>
      </c>
      <c r="AV10" s="88">
        <f t="shared" si="29"/>
        <v>974713.12754962232</v>
      </c>
      <c r="AW10" s="88">
        <v>630000</v>
      </c>
      <c r="AX10" s="88"/>
      <c r="AY10" s="88"/>
      <c r="AZ10" s="88"/>
      <c r="BA10" s="88"/>
      <c r="BB10" s="88">
        <f t="shared" si="30"/>
        <v>344713.12754962232</v>
      </c>
      <c r="BC10" s="88"/>
      <c r="BD10" s="88">
        <f t="shared" si="33"/>
        <v>344713.12754962232</v>
      </c>
      <c r="BE10" s="83">
        <v>0</v>
      </c>
      <c r="BF10" s="90">
        <f t="shared" si="31"/>
        <v>344713.12754962232</v>
      </c>
    </row>
    <row r="11" spans="1:59" ht="15.75" x14ac:dyDescent="0.3">
      <c r="A11" s="208" t="s">
        <v>439</v>
      </c>
      <c r="B11" s="83" t="s">
        <v>92</v>
      </c>
      <c r="C11" s="144">
        <v>600000</v>
      </c>
      <c r="D11" s="89">
        <v>584.0460014406126</v>
      </c>
      <c r="E11" s="88">
        <f t="shared" si="7"/>
        <v>600584.04600144061</v>
      </c>
      <c r="F11" s="88">
        <f t="shared" si="8"/>
        <v>38150.353495910473</v>
      </c>
      <c r="G11" s="88">
        <f t="shared" si="9"/>
        <v>638734.39949735114</v>
      </c>
      <c r="H11" s="88">
        <v>9000</v>
      </c>
      <c r="I11" s="88">
        <f t="shared" si="10"/>
        <v>0</v>
      </c>
      <c r="J11" s="88">
        <f t="shared" si="11"/>
        <v>647734.39949735114</v>
      </c>
      <c r="K11" s="158">
        <v>9000</v>
      </c>
      <c r="L11" s="88">
        <f t="shared" si="12"/>
        <v>899.84740184536167</v>
      </c>
      <c r="M11" s="88">
        <f t="shared" si="13"/>
        <v>657634.24689919653</v>
      </c>
      <c r="N11" s="88">
        <v>9000</v>
      </c>
      <c r="O11" s="88">
        <f t="shared" si="14"/>
        <v>180.26188193792115</v>
      </c>
      <c r="P11" s="88">
        <f t="shared" si="15"/>
        <v>666814.5087811345</v>
      </c>
      <c r="Q11" s="88">
        <v>9000</v>
      </c>
      <c r="R11" s="88">
        <f t="shared" si="16"/>
        <v>6133.4204379229996</v>
      </c>
      <c r="S11" s="88">
        <f t="shared" si="17"/>
        <v>681947.92921905755</v>
      </c>
      <c r="T11" s="88">
        <v>9000</v>
      </c>
      <c r="U11" s="88">
        <f t="shared" si="18"/>
        <v>898.46840451721914</v>
      </c>
      <c r="V11" s="88">
        <f t="shared" si="19"/>
        <v>691846.39762357483</v>
      </c>
      <c r="W11" s="88">
        <v>9000</v>
      </c>
      <c r="X11" s="88">
        <f t="shared" si="20"/>
        <v>2219.8414488427011</v>
      </c>
      <c r="Y11" s="88">
        <f t="shared" si="0"/>
        <v>703066.23907241749</v>
      </c>
      <c r="Z11" s="88">
        <v>9000</v>
      </c>
      <c r="AA11" s="88">
        <f t="shared" si="21"/>
        <v>1495.7577975662873</v>
      </c>
      <c r="AB11" s="88">
        <f t="shared" si="1"/>
        <v>713561.99686998373</v>
      </c>
      <c r="AC11" s="88">
        <v>9000</v>
      </c>
      <c r="AD11" s="88">
        <f t="shared" si="22"/>
        <v>1914.8752711011257</v>
      </c>
      <c r="AE11" s="88">
        <f t="shared" si="2"/>
        <v>724476.87214108487</v>
      </c>
      <c r="AF11" s="88">
        <v>9000</v>
      </c>
      <c r="AG11" s="88">
        <f t="shared" si="3"/>
        <v>0</v>
      </c>
      <c r="AH11" s="88">
        <f t="shared" si="4"/>
        <v>733476.87214108487</v>
      </c>
      <c r="AI11" s="88">
        <v>9000</v>
      </c>
      <c r="AJ11" s="88">
        <f t="shared" si="23"/>
        <v>564.40961704970357</v>
      </c>
      <c r="AK11" s="88">
        <f t="shared" si="5"/>
        <v>743041.2817581346</v>
      </c>
      <c r="AL11" s="88">
        <v>9000</v>
      </c>
      <c r="AM11" s="88">
        <f t="shared" si="24"/>
        <v>0</v>
      </c>
      <c r="AN11" s="88">
        <f t="shared" si="6"/>
        <v>752041.2817581346</v>
      </c>
      <c r="AO11" s="88">
        <v>9000</v>
      </c>
      <c r="AP11" s="88">
        <f t="shared" si="25"/>
        <v>0</v>
      </c>
      <c r="AQ11" s="88">
        <f t="shared" si="26"/>
        <v>761041.2817581346</v>
      </c>
      <c r="AR11" s="88">
        <f t="shared" si="27"/>
        <v>600000</v>
      </c>
      <c r="AS11" s="88">
        <f t="shared" si="27"/>
        <v>584.0460014406126</v>
      </c>
      <c r="AT11" s="88">
        <f t="shared" si="32"/>
        <v>108000</v>
      </c>
      <c r="AU11" s="88">
        <f t="shared" si="28"/>
        <v>52457.235756693794</v>
      </c>
      <c r="AV11" s="88">
        <f t="shared" si="29"/>
        <v>761041.2817581346</v>
      </c>
      <c r="AW11" s="88">
        <v>630000</v>
      </c>
      <c r="AX11" s="88"/>
      <c r="AY11" s="88"/>
      <c r="AZ11" s="88"/>
      <c r="BA11" s="88"/>
      <c r="BB11" s="88">
        <f t="shared" si="30"/>
        <v>131041.2817581346</v>
      </c>
      <c r="BC11" s="88"/>
      <c r="BD11" s="88">
        <f t="shared" si="33"/>
        <v>131041.2817581346</v>
      </c>
      <c r="BE11" s="83">
        <v>0</v>
      </c>
      <c r="BF11" s="90">
        <f t="shared" si="31"/>
        <v>131041.2817581346</v>
      </c>
    </row>
    <row r="12" spans="1:59" ht="15.75" x14ac:dyDescent="0.3">
      <c r="A12" s="208" t="s">
        <v>440</v>
      </c>
      <c r="B12" s="83" t="s">
        <v>93</v>
      </c>
      <c r="C12" s="144">
        <v>600000</v>
      </c>
      <c r="D12" s="89">
        <v>458343.17855274049</v>
      </c>
      <c r="E12" s="88">
        <f t="shared" si="7"/>
        <v>1058343.1785527405</v>
      </c>
      <c r="F12" s="88">
        <f t="shared" si="8"/>
        <v>67228.170063105033</v>
      </c>
      <c r="G12" s="88">
        <f t="shared" si="9"/>
        <v>1125571.3486158454</v>
      </c>
      <c r="H12" s="88">
        <v>9000</v>
      </c>
      <c r="I12" s="88">
        <f t="shared" si="10"/>
        <v>0</v>
      </c>
      <c r="J12" s="88">
        <f t="shared" si="11"/>
        <v>1134571.3486158454</v>
      </c>
      <c r="K12" s="135">
        <v>9000</v>
      </c>
      <c r="L12" s="88">
        <f t="shared" si="12"/>
        <v>1566.9039229015068</v>
      </c>
      <c r="M12" s="88">
        <f t="shared" si="13"/>
        <v>1145138.2525387469</v>
      </c>
      <c r="N12" s="88">
        <v>9000</v>
      </c>
      <c r="O12" s="88">
        <f t="shared" si="14"/>
        <v>312.08587675610005</v>
      </c>
      <c r="P12" s="88">
        <f t="shared" si="15"/>
        <v>1154450.338415503</v>
      </c>
      <c r="Q12" s="88">
        <v>9000</v>
      </c>
      <c r="R12" s="88">
        <f t="shared" si="16"/>
        <v>10559.006933745897</v>
      </c>
      <c r="S12" s="88">
        <f t="shared" si="17"/>
        <v>1174009.345349249</v>
      </c>
      <c r="T12" s="88">
        <v>9000</v>
      </c>
      <c r="U12" s="88">
        <f t="shared" si="18"/>
        <v>1538.3163826053235</v>
      </c>
      <c r="V12" s="88">
        <f t="shared" si="19"/>
        <v>1184547.6617318543</v>
      </c>
      <c r="W12" s="88">
        <v>9000</v>
      </c>
      <c r="X12" s="88">
        <f t="shared" si="20"/>
        <v>3780.4097726199616</v>
      </c>
      <c r="Y12" s="88">
        <f t="shared" si="0"/>
        <v>1197328.0715044744</v>
      </c>
      <c r="Z12" s="88">
        <v>9000</v>
      </c>
      <c r="AA12" s="88">
        <f t="shared" si="21"/>
        <v>2533.9982720236976</v>
      </c>
      <c r="AB12" s="88">
        <f t="shared" si="1"/>
        <v>1208862.069776498</v>
      </c>
      <c r="AC12" s="88">
        <v>9000</v>
      </c>
      <c r="AD12" s="88">
        <f t="shared" si="22"/>
        <v>3227.4794012543048</v>
      </c>
      <c r="AE12" s="88">
        <f t="shared" si="2"/>
        <v>1221089.5491777523</v>
      </c>
      <c r="AF12" s="88">
        <v>9000</v>
      </c>
      <c r="AG12" s="88">
        <f t="shared" si="3"/>
        <v>0</v>
      </c>
      <c r="AH12" s="88">
        <f t="shared" si="4"/>
        <v>1230089.5491777523</v>
      </c>
      <c r="AI12" s="88">
        <v>9000</v>
      </c>
      <c r="AJ12" s="88">
        <f t="shared" si="23"/>
        <v>941.92032665606632</v>
      </c>
      <c r="AK12" s="88">
        <f t="shared" si="5"/>
        <v>1240031.4695044083</v>
      </c>
      <c r="AL12" s="88">
        <v>9000</v>
      </c>
      <c r="AM12" s="88">
        <f t="shared" si="24"/>
        <v>0</v>
      </c>
      <c r="AN12" s="88">
        <f t="shared" si="6"/>
        <v>1249031.4695044083</v>
      </c>
      <c r="AO12" s="88">
        <v>9000</v>
      </c>
      <c r="AP12" s="88">
        <f t="shared" si="25"/>
        <v>0</v>
      </c>
      <c r="AQ12" s="88">
        <f t="shared" si="26"/>
        <v>1258031.4695044083</v>
      </c>
      <c r="AR12" s="88">
        <f t="shared" si="27"/>
        <v>600000</v>
      </c>
      <c r="AS12" s="88">
        <f t="shared" si="27"/>
        <v>458343.17855274049</v>
      </c>
      <c r="AT12" s="88">
        <f t="shared" si="32"/>
        <v>108000</v>
      </c>
      <c r="AU12" s="88">
        <f t="shared" si="28"/>
        <v>91688.290951667877</v>
      </c>
      <c r="AV12" s="88">
        <f t="shared" si="29"/>
        <v>1258031.4695044083</v>
      </c>
      <c r="AW12" s="88">
        <v>630000</v>
      </c>
      <c r="AX12" s="88"/>
      <c r="AY12" s="88"/>
      <c r="AZ12" s="88"/>
      <c r="BA12" s="88"/>
      <c r="BB12" s="88">
        <f t="shared" si="30"/>
        <v>628031.46950440831</v>
      </c>
      <c r="BC12" s="88"/>
      <c r="BD12" s="88">
        <f t="shared" si="33"/>
        <v>628031.46950440831</v>
      </c>
      <c r="BE12" s="83">
        <v>0</v>
      </c>
      <c r="BF12" s="90">
        <f t="shared" si="31"/>
        <v>628031.46950440831</v>
      </c>
    </row>
    <row r="13" spans="1:59" ht="15.75" x14ac:dyDescent="0.3">
      <c r="A13" s="208" t="s">
        <v>441</v>
      </c>
      <c r="B13" s="83" t="s">
        <v>42</v>
      </c>
      <c r="C13" s="144">
        <v>600000</v>
      </c>
      <c r="D13" s="89">
        <v>51112.01036672492</v>
      </c>
      <c r="E13" s="88">
        <f t="shared" si="7"/>
        <v>651112.01036672492</v>
      </c>
      <c r="F13" s="88">
        <f t="shared" si="8"/>
        <v>41359.995368348325</v>
      </c>
      <c r="G13" s="88">
        <f t="shared" si="9"/>
        <v>692472.00573507324</v>
      </c>
      <c r="H13" s="88">
        <v>9000</v>
      </c>
      <c r="I13" s="88">
        <f t="shared" si="10"/>
        <v>0</v>
      </c>
      <c r="J13" s="88">
        <f t="shared" si="11"/>
        <v>701472.00573507324</v>
      </c>
      <c r="K13" s="135">
        <v>9000</v>
      </c>
      <c r="L13" s="88">
        <f t="shared" si="12"/>
        <v>973.47784573776869</v>
      </c>
      <c r="M13" s="88">
        <f t="shared" si="13"/>
        <v>711445.48358081095</v>
      </c>
      <c r="N13" s="88">
        <v>9000</v>
      </c>
      <c r="O13" s="88">
        <f t="shared" si="14"/>
        <v>194.81276173258237</v>
      </c>
      <c r="P13" s="88">
        <f t="shared" si="15"/>
        <v>720640.29634254356</v>
      </c>
      <c r="Q13" s="88">
        <v>9000</v>
      </c>
      <c r="R13" s="88">
        <f t="shared" si="16"/>
        <v>6621.9216186861431</v>
      </c>
      <c r="S13" s="88">
        <f t="shared" si="17"/>
        <v>736262.21796122973</v>
      </c>
      <c r="T13" s="88">
        <v>9000</v>
      </c>
      <c r="U13" s="88">
        <f t="shared" si="18"/>
        <v>969.09553904503048</v>
      </c>
      <c r="V13" s="88">
        <f t="shared" si="19"/>
        <v>746231.31350027479</v>
      </c>
      <c r="W13" s="88">
        <v>9000</v>
      </c>
      <c r="X13" s="88">
        <f t="shared" si="20"/>
        <v>2392.0987235669186</v>
      </c>
      <c r="Y13" s="88">
        <f t="shared" si="0"/>
        <v>757623.41222384176</v>
      </c>
      <c r="Z13" s="88">
        <v>9000</v>
      </c>
      <c r="AA13" s="88">
        <f t="shared" si="21"/>
        <v>1610.3599408454293</v>
      </c>
      <c r="AB13" s="88">
        <f t="shared" si="1"/>
        <v>768233.77216468717</v>
      </c>
      <c r="AC13" s="88">
        <v>9000</v>
      </c>
      <c r="AD13" s="88">
        <f t="shared" si="22"/>
        <v>2059.7619811585641</v>
      </c>
      <c r="AE13" s="88">
        <f t="shared" si="2"/>
        <v>779293.53414584568</v>
      </c>
      <c r="AF13" s="88">
        <v>9000</v>
      </c>
      <c r="AG13" s="88">
        <f t="shared" si="3"/>
        <v>0</v>
      </c>
      <c r="AH13" s="88">
        <f t="shared" si="4"/>
        <v>788293.53414584568</v>
      </c>
      <c r="AI13" s="88">
        <v>9000</v>
      </c>
      <c r="AJ13" s="88">
        <f t="shared" si="23"/>
        <v>606.07967085330688</v>
      </c>
      <c r="AK13" s="88">
        <f t="shared" si="5"/>
        <v>797899.61381669901</v>
      </c>
      <c r="AL13" s="88">
        <v>9000</v>
      </c>
      <c r="AM13" s="88">
        <f t="shared" si="24"/>
        <v>0</v>
      </c>
      <c r="AN13" s="88">
        <f t="shared" si="6"/>
        <v>806899.61381669901</v>
      </c>
      <c r="AO13" s="88">
        <v>9000</v>
      </c>
      <c r="AP13" s="88">
        <f t="shared" si="25"/>
        <v>0</v>
      </c>
      <c r="AQ13" s="88">
        <f t="shared" si="26"/>
        <v>815899.61381669901</v>
      </c>
      <c r="AR13" s="88">
        <f t="shared" si="27"/>
        <v>600000</v>
      </c>
      <c r="AS13" s="88">
        <f t="shared" si="27"/>
        <v>51112.01036672492</v>
      </c>
      <c r="AT13" s="88">
        <f t="shared" si="32"/>
        <v>108000</v>
      </c>
      <c r="AU13" s="88">
        <f t="shared" si="28"/>
        <v>56787.603449974071</v>
      </c>
      <c r="AV13" s="88">
        <f t="shared" si="29"/>
        <v>815899.61381669901</v>
      </c>
      <c r="AW13" s="88">
        <v>630000</v>
      </c>
      <c r="AX13" s="88"/>
      <c r="AY13" s="88"/>
      <c r="AZ13" s="88"/>
      <c r="BA13" s="88"/>
      <c r="BB13" s="88">
        <f t="shared" si="30"/>
        <v>185899.61381669901</v>
      </c>
      <c r="BC13" s="88"/>
      <c r="BD13" s="88">
        <f t="shared" si="33"/>
        <v>185899.61381669901</v>
      </c>
      <c r="BE13" s="83">
        <v>0</v>
      </c>
      <c r="BF13" s="90">
        <f t="shared" si="31"/>
        <v>185899.61381669901</v>
      </c>
    </row>
    <row r="14" spans="1:59" ht="15.75" x14ac:dyDescent="0.3">
      <c r="A14" s="208" t="s">
        <v>442</v>
      </c>
      <c r="B14" s="83" t="s">
        <v>37</v>
      </c>
      <c r="C14" s="144">
        <v>600000</v>
      </c>
      <c r="D14" s="89">
        <v>16229.566345777828</v>
      </c>
      <c r="E14" s="88">
        <f t="shared" si="7"/>
        <v>616229.56634577783</v>
      </c>
      <c r="F14" s="88">
        <f t="shared" si="8"/>
        <v>39144.189638808108</v>
      </c>
      <c r="G14" s="88">
        <f t="shared" si="9"/>
        <v>655373.75598458597</v>
      </c>
      <c r="H14" s="88">
        <v>44000</v>
      </c>
      <c r="I14" s="88">
        <f t="shared" si="10"/>
        <v>0</v>
      </c>
      <c r="J14" s="88">
        <f t="shared" si="11"/>
        <v>699373.75598458597</v>
      </c>
      <c r="K14" s="158">
        <v>44000</v>
      </c>
      <c r="L14" s="88">
        <f t="shared" si="12"/>
        <v>1018.5593193149853</v>
      </c>
      <c r="M14" s="88">
        <f t="shared" si="13"/>
        <v>744392.31530390098</v>
      </c>
      <c r="N14" s="88">
        <v>44000</v>
      </c>
      <c r="O14" s="88">
        <f t="shared" si="14"/>
        <v>213.18599085349121</v>
      </c>
      <c r="P14" s="88">
        <f t="shared" si="15"/>
        <v>788605.50129475445</v>
      </c>
      <c r="Q14" s="88">
        <v>44000</v>
      </c>
      <c r="R14" s="88">
        <f t="shared" si="16"/>
        <v>7556.3923710051704</v>
      </c>
      <c r="S14" s="88">
        <f t="shared" si="17"/>
        <v>840161.89366575959</v>
      </c>
      <c r="T14" s="88">
        <v>24000</v>
      </c>
      <c r="U14" s="88">
        <f t="shared" si="18"/>
        <v>1123.705745415582</v>
      </c>
      <c r="V14" s="88">
        <f t="shared" si="19"/>
        <v>865285.59941117512</v>
      </c>
      <c r="W14" s="88">
        <v>44000</v>
      </c>
      <c r="X14" s="88">
        <f t="shared" si="20"/>
        <v>2880.0459976007878</v>
      </c>
      <c r="Y14" s="88">
        <f t="shared" si="0"/>
        <v>912165.64540877589</v>
      </c>
      <c r="Z14" s="88">
        <v>44000</v>
      </c>
      <c r="AA14" s="88">
        <f t="shared" si="21"/>
        <v>2008.5100815174681</v>
      </c>
      <c r="AB14" s="88">
        <f t="shared" si="1"/>
        <v>958174.1554902934</v>
      </c>
      <c r="AC14" s="88">
        <v>44000</v>
      </c>
      <c r="AD14" s="88">
        <f t="shared" si="22"/>
        <v>2655.8807631704508</v>
      </c>
      <c r="AE14" s="88">
        <f t="shared" si="2"/>
        <v>1004830.0362534638</v>
      </c>
      <c r="AF14" s="88">
        <v>44000</v>
      </c>
      <c r="AG14" s="88">
        <f t="shared" si="3"/>
        <v>0</v>
      </c>
      <c r="AH14" s="88">
        <f t="shared" si="4"/>
        <v>1048830.0362534639</v>
      </c>
      <c r="AI14" s="88">
        <v>44000</v>
      </c>
      <c r="AJ14" s="88">
        <f t="shared" si="23"/>
        <v>830.73804101607982</v>
      </c>
      <c r="AK14" s="88">
        <f t="shared" si="5"/>
        <v>1093660.77429448</v>
      </c>
      <c r="AL14" s="88">
        <v>44000</v>
      </c>
      <c r="AM14" s="88">
        <f t="shared" si="24"/>
        <v>0</v>
      </c>
      <c r="AN14" s="88">
        <f t="shared" si="6"/>
        <v>1137660.77429448</v>
      </c>
      <c r="AO14" s="88">
        <v>44000</v>
      </c>
      <c r="AP14" s="88">
        <f t="shared" si="25"/>
        <v>0</v>
      </c>
      <c r="AQ14" s="88">
        <f t="shared" si="26"/>
        <v>1181660.77429448</v>
      </c>
      <c r="AR14" s="88">
        <f t="shared" si="27"/>
        <v>600000</v>
      </c>
      <c r="AS14" s="88">
        <f t="shared" si="27"/>
        <v>16229.566345777828</v>
      </c>
      <c r="AT14" s="88">
        <f t="shared" si="32"/>
        <v>508000</v>
      </c>
      <c r="AU14" s="88">
        <f t="shared" si="28"/>
        <v>57431.207948702111</v>
      </c>
      <c r="AV14" s="88">
        <f t="shared" si="29"/>
        <v>1181660.77429448</v>
      </c>
      <c r="AW14" s="88">
        <v>630000</v>
      </c>
      <c r="AX14" s="88"/>
      <c r="AY14" s="88"/>
      <c r="AZ14" s="88"/>
      <c r="BA14" s="88"/>
      <c r="BB14" s="88">
        <f t="shared" si="30"/>
        <v>551660.77429447998</v>
      </c>
      <c r="BC14" s="88"/>
      <c r="BD14" s="88">
        <f t="shared" si="33"/>
        <v>551660.77429447998</v>
      </c>
      <c r="BE14" s="83">
        <v>0</v>
      </c>
      <c r="BF14" s="90">
        <f t="shared" si="31"/>
        <v>551660.77429447998</v>
      </c>
    </row>
    <row r="15" spans="1:59" ht="15.75" x14ac:dyDescent="0.3">
      <c r="A15" s="208" t="s">
        <v>443</v>
      </c>
      <c r="B15" s="83" t="s">
        <v>94</v>
      </c>
      <c r="C15" s="144">
        <v>600000</v>
      </c>
      <c r="D15" s="89">
        <v>53292.832106360001</v>
      </c>
      <c r="E15" s="88">
        <f t="shared" si="7"/>
        <v>653292.83210636</v>
      </c>
      <c r="F15" s="88">
        <f t="shared" si="8"/>
        <v>41498.52572198087</v>
      </c>
      <c r="G15" s="88">
        <f t="shared" si="9"/>
        <v>694791.35782834084</v>
      </c>
      <c r="H15" s="88">
        <v>9000</v>
      </c>
      <c r="I15" s="88">
        <f t="shared" si="10"/>
        <v>0</v>
      </c>
      <c r="J15" s="88">
        <f t="shared" si="11"/>
        <v>703791.35782834084</v>
      </c>
      <c r="K15" s="158">
        <v>9000</v>
      </c>
      <c r="L15" s="88">
        <f t="shared" si="12"/>
        <v>976.65578640402407</v>
      </c>
      <c r="M15" s="88">
        <f t="shared" si="13"/>
        <v>713768.01361474488</v>
      </c>
      <c r="N15" s="88">
        <v>9000</v>
      </c>
      <c r="O15" s="88">
        <f t="shared" si="14"/>
        <v>195.44078772542875</v>
      </c>
      <c r="P15" s="88">
        <f t="shared" si="15"/>
        <v>722963.45440247026</v>
      </c>
      <c r="Q15" s="88">
        <v>9000</v>
      </c>
      <c r="R15" s="88">
        <f t="shared" si="16"/>
        <v>6643.0056660691725</v>
      </c>
      <c r="S15" s="88">
        <f t="shared" si="17"/>
        <v>738606.46006853948</v>
      </c>
      <c r="T15" s="88">
        <v>9000</v>
      </c>
      <c r="U15" s="88">
        <f t="shared" si="18"/>
        <v>972.14385481078898</v>
      </c>
      <c r="V15" s="88">
        <f t="shared" si="19"/>
        <v>748578.60392335022</v>
      </c>
      <c r="W15" s="88">
        <v>9000</v>
      </c>
      <c r="X15" s="88">
        <f t="shared" si="20"/>
        <v>2399.5334661742609</v>
      </c>
      <c r="Y15" s="88">
        <f t="shared" si="0"/>
        <v>759978.13738952449</v>
      </c>
      <c r="Z15" s="88">
        <v>9000</v>
      </c>
      <c r="AA15" s="88">
        <f t="shared" si="21"/>
        <v>1615.3062482736309</v>
      </c>
      <c r="AB15" s="88">
        <f t="shared" si="1"/>
        <v>770593.44363779807</v>
      </c>
      <c r="AC15" s="88">
        <v>9000</v>
      </c>
      <c r="AD15" s="88">
        <f t="shared" si="22"/>
        <v>2066.0153913453109</v>
      </c>
      <c r="AE15" s="88">
        <f t="shared" si="2"/>
        <v>781659.45902914344</v>
      </c>
      <c r="AF15" s="88">
        <v>9000</v>
      </c>
      <c r="AG15" s="88">
        <f t="shared" si="3"/>
        <v>0</v>
      </c>
      <c r="AH15" s="88">
        <f t="shared" si="4"/>
        <v>790659.45902914344</v>
      </c>
      <c r="AI15" s="88">
        <v>9000</v>
      </c>
      <c r="AJ15" s="88">
        <f t="shared" si="23"/>
        <v>607.87817907282852</v>
      </c>
      <c r="AK15" s="88">
        <f t="shared" si="5"/>
        <v>800267.33720821631</v>
      </c>
      <c r="AL15" s="88">
        <v>9000</v>
      </c>
      <c r="AM15" s="88">
        <f t="shared" si="24"/>
        <v>0</v>
      </c>
      <c r="AN15" s="88">
        <f t="shared" si="6"/>
        <v>809267.33720821631</v>
      </c>
      <c r="AO15" s="88">
        <v>9000</v>
      </c>
      <c r="AP15" s="88">
        <f t="shared" si="25"/>
        <v>0</v>
      </c>
      <c r="AQ15" s="88">
        <f t="shared" si="26"/>
        <v>818267.33720821631</v>
      </c>
      <c r="AR15" s="88">
        <f t="shared" si="27"/>
        <v>600000</v>
      </c>
      <c r="AS15" s="88">
        <f t="shared" si="27"/>
        <v>53292.832106360001</v>
      </c>
      <c r="AT15" s="88">
        <f t="shared" si="32"/>
        <v>108000</v>
      </c>
      <c r="AU15" s="88">
        <f t="shared" si="28"/>
        <v>56974.50510185631</v>
      </c>
      <c r="AV15" s="88">
        <f t="shared" si="29"/>
        <v>818267.33720821631</v>
      </c>
      <c r="AW15" s="88">
        <v>630000</v>
      </c>
      <c r="AX15" s="88"/>
      <c r="AY15" s="88"/>
      <c r="AZ15" s="88"/>
      <c r="BA15" s="88"/>
      <c r="BB15" s="88">
        <f t="shared" si="30"/>
        <v>188267.33720821631</v>
      </c>
      <c r="BC15" s="88"/>
      <c r="BD15" s="88">
        <f t="shared" si="33"/>
        <v>188267.33720821631</v>
      </c>
      <c r="BE15" s="83">
        <v>0</v>
      </c>
      <c r="BF15" s="90">
        <f t="shared" si="31"/>
        <v>188267.33720821631</v>
      </c>
    </row>
    <row r="16" spans="1:59" ht="15.75" x14ac:dyDescent="0.3">
      <c r="A16" s="208" t="s">
        <v>444</v>
      </c>
      <c r="B16" s="83" t="s">
        <v>95</v>
      </c>
      <c r="C16" s="144">
        <v>600000</v>
      </c>
      <c r="D16" s="89">
        <v>6459.0432257176144</v>
      </c>
      <c r="E16" s="88">
        <f t="shared" si="7"/>
        <v>606459.04322571761</v>
      </c>
      <c r="F16" s="88">
        <f t="shared" si="8"/>
        <v>38523.545595144366</v>
      </c>
      <c r="G16" s="88">
        <f t="shared" si="9"/>
        <v>644982.588820862</v>
      </c>
      <c r="H16" s="88">
        <v>9000</v>
      </c>
      <c r="I16" s="88">
        <f t="shared" si="10"/>
        <v>0</v>
      </c>
      <c r="J16" s="88">
        <f t="shared" si="11"/>
        <v>653982.588820862</v>
      </c>
      <c r="K16" s="158">
        <v>9000</v>
      </c>
      <c r="L16" s="88">
        <f t="shared" si="12"/>
        <v>908.40857502785741</v>
      </c>
      <c r="M16" s="88">
        <f t="shared" si="13"/>
        <v>663890.99739588983</v>
      </c>
      <c r="N16" s="88">
        <v>8000</v>
      </c>
      <c r="O16" s="88">
        <f t="shared" si="14"/>
        <v>181.68333866898425</v>
      </c>
      <c r="P16" s="88">
        <f t="shared" si="15"/>
        <v>672072.68073455885</v>
      </c>
      <c r="Q16" s="88">
        <v>11000</v>
      </c>
      <c r="R16" s="88">
        <f t="shared" si="16"/>
        <v>6199.2926848526813</v>
      </c>
      <c r="S16" s="88">
        <f t="shared" si="17"/>
        <v>689271.97341941157</v>
      </c>
      <c r="T16" s="88">
        <v>8000</v>
      </c>
      <c r="U16" s="88">
        <f t="shared" si="18"/>
        <v>906.69182290015067</v>
      </c>
      <c r="V16" s="88">
        <f t="shared" si="19"/>
        <v>698178.66524231178</v>
      </c>
      <c r="W16" s="88">
        <v>9000</v>
      </c>
      <c r="X16" s="88">
        <f t="shared" si="20"/>
        <v>2239.8980977359538</v>
      </c>
      <c r="Y16" s="88">
        <f t="shared" si="0"/>
        <v>709418.56334004772</v>
      </c>
      <c r="Z16" s="88">
        <v>9000</v>
      </c>
      <c r="AA16" s="88">
        <f t="shared" si="21"/>
        <v>1509.1014137000261</v>
      </c>
      <c r="AB16" s="88">
        <f t="shared" si="1"/>
        <v>719927.66475374775</v>
      </c>
      <c r="AC16" s="88">
        <v>9000</v>
      </c>
      <c r="AD16" s="88">
        <f t="shared" si="22"/>
        <v>1931.7450484592835</v>
      </c>
      <c r="AE16" s="88">
        <f t="shared" si="2"/>
        <v>730859.40980220702</v>
      </c>
      <c r="AF16" s="88">
        <v>9000</v>
      </c>
      <c r="AG16" s="88">
        <f t="shared" si="3"/>
        <v>0</v>
      </c>
      <c r="AH16" s="88">
        <f t="shared" si="4"/>
        <v>739859.40980220702</v>
      </c>
      <c r="AI16" s="88">
        <v>9000</v>
      </c>
      <c r="AJ16" s="88">
        <f t="shared" si="23"/>
        <v>569.26143906906304</v>
      </c>
      <c r="AK16" s="88">
        <f t="shared" si="5"/>
        <v>749428.67124127608</v>
      </c>
      <c r="AL16" s="88">
        <v>9000</v>
      </c>
      <c r="AM16" s="88">
        <f t="shared" si="24"/>
        <v>0</v>
      </c>
      <c r="AN16" s="88">
        <f t="shared" si="6"/>
        <v>758428.67124127608</v>
      </c>
      <c r="AO16" s="88">
        <v>9000</v>
      </c>
      <c r="AP16" s="88">
        <f t="shared" si="25"/>
        <v>0</v>
      </c>
      <c r="AQ16" s="88">
        <f t="shared" si="26"/>
        <v>767428.67124127608</v>
      </c>
      <c r="AR16" s="88">
        <f t="shared" si="27"/>
        <v>600000</v>
      </c>
      <c r="AS16" s="88">
        <f t="shared" si="27"/>
        <v>6459.0432257176144</v>
      </c>
      <c r="AT16" s="88">
        <f t="shared" si="32"/>
        <v>108000</v>
      </c>
      <c r="AU16" s="88">
        <f t="shared" si="28"/>
        <v>52969.628015558374</v>
      </c>
      <c r="AV16" s="88">
        <f t="shared" si="29"/>
        <v>767428.67124127608</v>
      </c>
      <c r="AW16" s="88">
        <v>630000</v>
      </c>
      <c r="AX16" s="88"/>
      <c r="AY16" s="88"/>
      <c r="AZ16" s="88"/>
      <c r="BA16" s="88"/>
      <c r="BB16" s="88">
        <f t="shared" si="30"/>
        <v>137428.67124127608</v>
      </c>
      <c r="BC16" s="88"/>
      <c r="BD16" s="88">
        <f t="shared" si="33"/>
        <v>137428.67124127608</v>
      </c>
      <c r="BE16" s="83">
        <v>0</v>
      </c>
      <c r="BF16" s="90">
        <f t="shared" si="31"/>
        <v>137428.67124127608</v>
      </c>
    </row>
    <row r="17" spans="1:58" ht="15.75" x14ac:dyDescent="0.3">
      <c r="A17" s="208" t="s">
        <v>445</v>
      </c>
      <c r="B17" s="83" t="s">
        <v>96</v>
      </c>
      <c r="C17" s="144">
        <v>600000</v>
      </c>
      <c r="D17" s="89">
        <v>746.1759009861853</v>
      </c>
      <c r="E17" s="88">
        <f t="shared" si="7"/>
        <v>600746.17590098619</v>
      </c>
      <c r="F17" s="88">
        <f t="shared" si="8"/>
        <v>38160.652325892894</v>
      </c>
      <c r="G17" s="88">
        <f t="shared" si="9"/>
        <v>638906.82822687912</v>
      </c>
      <c r="H17" s="88">
        <v>9000</v>
      </c>
      <c r="I17" s="88">
        <f t="shared" si="10"/>
        <v>0</v>
      </c>
      <c r="J17" s="88">
        <f t="shared" si="11"/>
        <v>647906.82822687912</v>
      </c>
      <c r="K17" s="135">
        <v>9000</v>
      </c>
      <c r="L17" s="88">
        <f t="shared" si="12"/>
        <v>900.08366104601873</v>
      </c>
      <c r="M17" s="88">
        <f t="shared" si="13"/>
        <v>657806.91188792512</v>
      </c>
      <c r="N17" s="88">
        <v>9000</v>
      </c>
      <c r="O17" s="88">
        <f t="shared" si="14"/>
        <v>180.30857158214178</v>
      </c>
      <c r="P17" s="88">
        <f t="shared" si="15"/>
        <v>666987.22045950731</v>
      </c>
      <c r="Q17" s="88">
        <v>9000</v>
      </c>
      <c r="R17" s="88">
        <f t="shared" si="16"/>
        <v>6134.9878995921936</v>
      </c>
      <c r="S17" s="88">
        <f t="shared" si="17"/>
        <v>682122.20835909946</v>
      </c>
      <c r="T17" s="88">
        <v>9000</v>
      </c>
      <c r="U17" s="88">
        <f t="shared" si="18"/>
        <v>898.69502695036124</v>
      </c>
      <c r="V17" s="88">
        <f t="shared" si="19"/>
        <v>692020.90338604979</v>
      </c>
      <c r="W17" s="88">
        <v>9000</v>
      </c>
      <c r="X17" s="88">
        <f t="shared" si="20"/>
        <v>2220.3941735565863</v>
      </c>
      <c r="Y17" s="88">
        <f t="shared" si="0"/>
        <v>703241.29755960638</v>
      </c>
      <c r="Z17" s="88">
        <v>9000</v>
      </c>
      <c r="AA17" s="88">
        <f t="shared" si="21"/>
        <v>1496.1255233239133</v>
      </c>
      <c r="AB17" s="88">
        <f t="shared" si="1"/>
        <v>713737.42308293027</v>
      </c>
      <c r="AC17" s="88">
        <v>9000</v>
      </c>
      <c r="AD17" s="88">
        <f t="shared" si="22"/>
        <v>1915.3401714398226</v>
      </c>
      <c r="AE17" s="88">
        <f t="shared" si="2"/>
        <v>724652.76325437007</v>
      </c>
      <c r="AF17" s="88">
        <v>9000</v>
      </c>
      <c r="AG17" s="88">
        <f t="shared" si="3"/>
        <v>0</v>
      </c>
      <c r="AH17" s="88">
        <f t="shared" si="4"/>
        <v>733652.76325437007</v>
      </c>
      <c r="AI17" s="88">
        <v>9000</v>
      </c>
      <c r="AJ17" s="88">
        <f t="shared" si="23"/>
        <v>564.54332442782766</v>
      </c>
      <c r="AK17" s="88">
        <f t="shared" si="5"/>
        <v>743217.30657879787</v>
      </c>
      <c r="AL17" s="88">
        <v>9000</v>
      </c>
      <c r="AM17" s="88">
        <f t="shared" si="24"/>
        <v>0</v>
      </c>
      <c r="AN17" s="88">
        <f t="shared" si="6"/>
        <v>752217.30657879787</v>
      </c>
      <c r="AO17" s="88">
        <v>9000</v>
      </c>
      <c r="AP17" s="88">
        <f t="shared" si="25"/>
        <v>0</v>
      </c>
      <c r="AQ17" s="88">
        <f t="shared" si="26"/>
        <v>761217.30657879787</v>
      </c>
      <c r="AR17" s="88">
        <f t="shared" si="27"/>
        <v>600000</v>
      </c>
      <c r="AS17" s="88">
        <f t="shared" si="27"/>
        <v>746.1759009861853</v>
      </c>
      <c r="AT17" s="88">
        <f t="shared" si="32"/>
        <v>108000</v>
      </c>
      <c r="AU17" s="88">
        <f t="shared" si="28"/>
        <v>52471.130677811751</v>
      </c>
      <c r="AV17" s="88">
        <f t="shared" si="29"/>
        <v>761217.30657879787</v>
      </c>
      <c r="AW17" s="88">
        <v>630000</v>
      </c>
      <c r="AX17" s="88"/>
      <c r="AY17" s="88"/>
      <c r="AZ17" s="88"/>
      <c r="BA17" s="88"/>
      <c r="BB17" s="88">
        <f t="shared" si="30"/>
        <v>131217.30657879787</v>
      </c>
      <c r="BC17" s="88"/>
      <c r="BD17" s="88">
        <f t="shared" si="33"/>
        <v>131217.30657879787</v>
      </c>
      <c r="BE17" s="83">
        <v>0</v>
      </c>
      <c r="BF17" s="90">
        <f t="shared" si="31"/>
        <v>131217.30657879787</v>
      </c>
    </row>
    <row r="18" spans="1:58" ht="15.75" x14ac:dyDescent="0.3">
      <c r="A18" s="208" t="s">
        <v>446</v>
      </c>
      <c r="B18" s="83" t="s">
        <v>97</v>
      </c>
      <c r="C18" s="144">
        <v>600000</v>
      </c>
      <c r="D18" s="89">
        <v>47746</v>
      </c>
      <c r="E18" s="88">
        <f t="shared" si="7"/>
        <v>647746</v>
      </c>
      <c r="F18" s="88">
        <f t="shared" si="8"/>
        <v>41146.179356723624</v>
      </c>
      <c r="G18" s="88">
        <f t="shared" si="9"/>
        <v>688892.17935672367</v>
      </c>
      <c r="H18" s="88">
        <v>9000</v>
      </c>
      <c r="I18" s="88">
        <f t="shared" si="10"/>
        <v>0</v>
      </c>
      <c r="J18" s="88">
        <f t="shared" si="11"/>
        <v>697892.17935672367</v>
      </c>
      <c r="K18" s="135">
        <v>9000</v>
      </c>
      <c r="L18" s="88">
        <f t="shared" si="12"/>
        <v>968.57282253800815</v>
      </c>
      <c r="M18" s="88">
        <f t="shared" si="13"/>
        <v>707860.75217926165</v>
      </c>
      <c r="N18" s="88">
        <v>2000</v>
      </c>
      <c r="O18" s="88">
        <f t="shared" si="14"/>
        <v>191.95058714265434</v>
      </c>
      <c r="P18" s="88">
        <f t="shared" si="15"/>
        <v>710052.70276640425</v>
      </c>
      <c r="Q18" s="88">
        <v>14000</v>
      </c>
      <c r="R18" s="88">
        <f t="shared" si="16"/>
        <v>6571.2108686306146</v>
      </c>
      <c r="S18" s="88">
        <f t="shared" si="17"/>
        <v>730623.91363503481</v>
      </c>
      <c r="T18" s="88">
        <v>9000</v>
      </c>
      <c r="U18" s="88">
        <f t="shared" si="18"/>
        <v>961.76381681544865</v>
      </c>
      <c r="V18" s="88">
        <f t="shared" si="19"/>
        <v>740585.67745185026</v>
      </c>
      <c r="W18" s="88">
        <v>8000</v>
      </c>
      <c r="X18" s="88">
        <f t="shared" si="20"/>
        <v>2371.0495201976241</v>
      </c>
      <c r="Y18" s="88">
        <f t="shared" si="0"/>
        <v>750956.72697204794</v>
      </c>
      <c r="Z18" s="88">
        <v>9000</v>
      </c>
      <c r="AA18" s="88">
        <f t="shared" si="21"/>
        <v>1596.3559818004383</v>
      </c>
      <c r="AB18" s="88">
        <f t="shared" si="1"/>
        <v>761553.08295384841</v>
      </c>
      <c r="AC18" s="88">
        <v>13000</v>
      </c>
      <c r="AD18" s="88">
        <f t="shared" si="22"/>
        <v>2052.6578357681633</v>
      </c>
      <c r="AE18" s="88">
        <f t="shared" si="2"/>
        <v>776605.7407896166</v>
      </c>
      <c r="AF18" s="88">
        <v>9000</v>
      </c>
      <c r="AG18" s="88">
        <f t="shared" si="3"/>
        <v>0</v>
      </c>
      <c r="AH18" s="88">
        <f t="shared" si="4"/>
        <v>785605.7407896166</v>
      </c>
      <c r="AI18" s="88">
        <v>9000</v>
      </c>
      <c r="AJ18" s="88">
        <f t="shared" si="23"/>
        <v>604.03648745484838</v>
      </c>
      <c r="AK18" s="88">
        <f t="shared" si="5"/>
        <v>795209.77727707149</v>
      </c>
      <c r="AL18" s="88">
        <v>9000</v>
      </c>
      <c r="AM18" s="88">
        <f t="shared" si="24"/>
        <v>0</v>
      </c>
      <c r="AN18" s="88">
        <f t="shared" si="6"/>
        <v>804209.77727707149</v>
      </c>
      <c r="AO18" s="88">
        <v>9000</v>
      </c>
      <c r="AP18" s="88">
        <f t="shared" si="25"/>
        <v>0</v>
      </c>
      <c r="AQ18" s="88">
        <f t="shared" si="26"/>
        <v>813209.77727707149</v>
      </c>
      <c r="AR18" s="88">
        <f t="shared" si="27"/>
        <v>600000</v>
      </c>
      <c r="AS18" s="88">
        <f t="shared" si="27"/>
        <v>47746</v>
      </c>
      <c r="AT18" s="88">
        <f t="shared" si="32"/>
        <v>109000</v>
      </c>
      <c r="AU18" s="88">
        <f t="shared" si="28"/>
        <v>56463.777277071422</v>
      </c>
      <c r="AV18" s="88">
        <f t="shared" si="29"/>
        <v>813209.77727707149</v>
      </c>
      <c r="AW18" s="88">
        <v>630000</v>
      </c>
      <c r="AX18" s="88"/>
      <c r="AY18" s="88"/>
      <c r="AZ18" s="88"/>
      <c r="BA18" s="88"/>
      <c r="BB18" s="88">
        <f t="shared" si="30"/>
        <v>183209.77727707149</v>
      </c>
      <c r="BC18" s="88"/>
      <c r="BD18" s="88">
        <f t="shared" si="33"/>
        <v>183209.77727707149</v>
      </c>
      <c r="BE18" s="83">
        <v>0</v>
      </c>
      <c r="BF18" s="90">
        <f t="shared" si="31"/>
        <v>183209.77727707149</v>
      </c>
    </row>
    <row r="19" spans="1:58" ht="15.75" x14ac:dyDescent="0.3">
      <c r="A19" s="208" t="s">
        <v>447</v>
      </c>
      <c r="B19" s="83" t="s">
        <v>98</v>
      </c>
      <c r="C19" s="144">
        <v>600000</v>
      </c>
      <c r="D19" s="89">
        <v>51342.559108640766</v>
      </c>
      <c r="E19" s="88">
        <f t="shared" si="7"/>
        <v>651342.55910864077</v>
      </c>
      <c r="F19" s="88">
        <f t="shared" si="8"/>
        <v>41374.64030615626</v>
      </c>
      <c r="G19" s="88">
        <f t="shared" si="9"/>
        <v>692717.19941479701</v>
      </c>
      <c r="H19" s="88">
        <v>9000</v>
      </c>
      <c r="I19" s="88">
        <f t="shared" si="10"/>
        <v>0</v>
      </c>
      <c r="J19" s="88">
        <f t="shared" si="11"/>
        <v>701717.19941479701</v>
      </c>
      <c r="K19" s="135">
        <v>9000</v>
      </c>
      <c r="L19" s="88">
        <f t="shared" si="12"/>
        <v>973.81380635718688</v>
      </c>
      <c r="M19" s="88">
        <f t="shared" si="13"/>
        <v>711691.01322115422</v>
      </c>
      <c r="N19" s="88">
        <v>9000</v>
      </c>
      <c r="O19" s="88">
        <f t="shared" si="14"/>
        <v>194.87915441379502</v>
      </c>
      <c r="P19" s="88">
        <f t="shared" si="15"/>
        <v>720885.89237556804</v>
      </c>
      <c r="Q19" s="88">
        <v>9000</v>
      </c>
      <c r="R19" s="88">
        <f t="shared" si="16"/>
        <v>6624.150549419137</v>
      </c>
      <c r="S19" s="88">
        <f t="shared" si="17"/>
        <v>736510.04292498715</v>
      </c>
      <c r="T19" s="88">
        <v>9000</v>
      </c>
      <c r="U19" s="88">
        <f t="shared" si="18"/>
        <v>969.4177961795707</v>
      </c>
      <c r="V19" s="88">
        <f t="shared" si="19"/>
        <v>746479.46072116669</v>
      </c>
      <c r="W19" s="88">
        <v>9000</v>
      </c>
      <c r="X19" s="88">
        <f t="shared" si="20"/>
        <v>2392.8846981944812</v>
      </c>
      <c r="Y19" s="88">
        <f t="shared" si="0"/>
        <v>757872.34541936114</v>
      </c>
      <c r="Z19" s="88">
        <v>9000</v>
      </c>
      <c r="AA19" s="88">
        <f t="shared" si="21"/>
        <v>1610.8828469289365</v>
      </c>
      <c r="AB19" s="88">
        <f t="shared" si="1"/>
        <v>768483.22826629004</v>
      </c>
      <c r="AC19" s="88">
        <v>9000</v>
      </c>
      <c r="AD19" s="88">
        <f t="shared" si="22"/>
        <v>2060.4230695111955</v>
      </c>
      <c r="AE19" s="88">
        <f t="shared" si="2"/>
        <v>779543.65133580123</v>
      </c>
      <c r="AF19" s="88">
        <v>9000</v>
      </c>
      <c r="AG19" s="88">
        <f t="shared" si="3"/>
        <v>0</v>
      </c>
      <c r="AH19" s="88">
        <f t="shared" si="4"/>
        <v>788543.65133580123</v>
      </c>
      <c r="AI19" s="88">
        <v>9000</v>
      </c>
      <c r="AJ19" s="88">
        <f t="shared" si="23"/>
        <v>606.26980276542054</v>
      </c>
      <c r="AK19" s="88">
        <f t="shared" si="5"/>
        <v>798149.92113856669</v>
      </c>
      <c r="AL19" s="88">
        <v>9000</v>
      </c>
      <c r="AM19" s="88">
        <f t="shared" si="24"/>
        <v>0</v>
      </c>
      <c r="AN19" s="88">
        <f t="shared" si="6"/>
        <v>807149.92113856669</v>
      </c>
      <c r="AO19" s="88">
        <v>9000</v>
      </c>
      <c r="AP19" s="88">
        <f t="shared" si="25"/>
        <v>0</v>
      </c>
      <c r="AQ19" s="88">
        <f t="shared" si="26"/>
        <v>816149.92113856669</v>
      </c>
      <c r="AR19" s="88">
        <f t="shared" si="27"/>
        <v>600000</v>
      </c>
      <c r="AS19" s="88">
        <f t="shared" si="27"/>
        <v>51342.559108640766</v>
      </c>
      <c r="AT19" s="88">
        <f t="shared" si="32"/>
        <v>108000</v>
      </c>
      <c r="AU19" s="88">
        <f t="shared" si="28"/>
        <v>56807.362029925986</v>
      </c>
      <c r="AV19" s="88">
        <f t="shared" si="29"/>
        <v>816149.92113856669</v>
      </c>
      <c r="AW19" s="88">
        <v>630000</v>
      </c>
      <c r="AX19" s="88"/>
      <c r="AY19" s="88"/>
      <c r="AZ19" s="88"/>
      <c r="BA19" s="88"/>
      <c r="BB19" s="88">
        <f t="shared" si="30"/>
        <v>186149.92113856669</v>
      </c>
      <c r="BC19" s="88"/>
      <c r="BD19" s="88">
        <f t="shared" si="33"/>
        <v>186149.92113856669</v>
      </c>
      <c r="BE19" s="83">
        <v>0</v>
      </c>
      <c r="BF19" s="90">
        <f t="shared" si="31"/>
        <v>186149.92113856669</v>
      </c>
    </row>
    <row r="20" spans="1:58" ht="15.75" x14ac:dyDescent="0.3">
      <c r="A20" s="208" t="s">
        <v>448</v>
      </c>
      <c r="B20" s="83" t="s">
        <v>99</v>
      </c>
      <c r="C20" s="144">
        <v>600000</v>
      </c>
      <c r="D20" s="89">
        <v>140918.4930248888</v>
      </c>
      <c r="E20" s="88">
        <f t="shared" si="7"/>
        <v>740918.4930248888</v>
      </c>
      <c r="F20" s="88">
        <f t="shared" si="8"/>
        <v>47064.690793483023</v>
      </c>
      <c r="G20" s="88">
        <f t="shared" si="9"/>
        <v>787983.18381837185</v>
      </c>
      <c r="H20" s="88">
        <v>9000</v>
      </c>
      <c r="I20" s="88">
        <f t="shared" si="10"/>
        <v>0</v>
      </c>
      <c r="J20" s="88">
        <f t="shared" si="11"/>
        <v>796983.18381837185</v>
      </c>
      <c r="K20" s="135">
        <v>9000</v>
      </c>
      <c r="L20" s="88">
        <f t="shared" si="12"/>
        <v>1104.3457970910501</v>
      </c>
      <c r="M20" s="88">
        <f t="shared" si="13"/>
        <v>807087.52961546287</v>
      </c>
      <c r="N20" s="88">
        <v>9000</v>
      </c>
      <c r="O20" s="88">
        <f t="shared" si="14"/>
        <v>220.67494221729822</v>
      </c>
      <c r="P20" s="88">
        <f t="shared" si="15"/>
        <v>816308.20455768018</v>
      </c>
      <c r="Q20" s="88">
        <v>9000</v>
      </c>
      <c r="R20" s="88">
        <f t="shared" si="16"/>
        <v>7490.1650432884535</v>
      </c>
      <c r="S20" s="88">
        <f t="shared" si="17"/>
        <v>832798.36960096867</v>
      </c>
      <c r="T20" s="88">
        <v>9000</v>
      </c>
      <c r="U20" s="88">
        <f t="shared" si="18"/>
        <v>1094.6255225273173</v>
      </c>
      <c r="V20" s="88">
        <f t="shared" si="19"/>
        <v>842892.99512349593</v>
      </c>
      <c r="W20" s="88">
        <v>9000</v>
      </c>
      <c r="X20" s="88">
        <f t="shared" si="20"/>
        <v>2698.2622539918989</v>
      </c>
      <c r="Y20" s="88">
        <f t="shared" si="0"/>
        <v>854591.25737748784</v>
      </c>
      <c r="Z20" s="88">
        <v>9000</v>
      </c>
      <c r="AA20" s="88">
        <f t="shared" si="21"/>
        <v>1814.0494328380635</v>
      </c>
      <c r="AB20" s="88">
        <f t="shared" si="1"/>
        <v>865405.30681032594</v>
      </c>
      <c r="AC20" s="88">
        <v>9000</v>
      </c>
      <c r="AD20" s="88">
        <f t="shared" si="22"/>
        <v>2317.2781106449056</v>
      </c>
      <c r="AE20" s="88">
        <f t="shared" si="2"/>
        <v>876722.58492097084</v>
      </c>
      <c r="AF20" s="88">
        <v>9000</v>
      </c>
      <c r="AG20" s="88">
        <f t="shared" si="3"/>
        <v>0</v>
      </c>
      <c r="AH20" s="88">
        <f t="shared" si="4"/>
        <v>885722.58492097084</v>
      </c>
      <c r="AI20" s="88">
        <v>9000</v>
      </c>
      <c r="AJ20" s="88">
        <f t="shared" si="23"/>
        <v>680.14244007994932</v>
      </c>
      <c r="AK20" s="88">
        <f t="shared" si="5"/>
        <v>895402.72736105078</v>
      </c>
      <c r="AL20" s="88">
        <v>9000</v>
      </c>
      <c r="AM20" s="88">
        <f t="shared" si="24"/>
        <v>0</v>
      </c>
      <c r="AN20" s="88">
        <f t="shared" si="6"/>
        <v>904402.72736105078</v>
      </c>
      <c r="AO20" s="88">
        <v>9000</v>
      </c>
      <c r="AP20" s="88">
        <f t="shared" si="25"/>
        <v>0</v>
      </c>
      <c r="AQ20" s="88">
        <f t="shared" si="26"/>
        <v>913402.72736105078</v>
      </c>
      <c r="AR20" s="88">
        <f t="shared" si="27"/>
        <v>600000</v>
      </c>
      <c r="AS20" s="88">
        <f t="shared" si="27"/>
        <v>140918.4930248888</v>
      </c>
      <c r="AT20" s="88">
        <f t="shared" si="32"/>
        <v>108000</v>
      </c>
      <c r="AU20" s="88">
        <f t="shared" si="28"/>
        <v>64484.234336161971</v>
      </c>
      <c r="AV20" s="88">
        <f t="shared" si="29"/>
        <v>913402.72736105078</v>
      </c>
      <c r="AW20" s="88">
        <v>630000</v>
      </c>
      <c r="AX20" s="88"/>
      <c r="AY20" s="88"/>
      <c r="AZ20" s="88"/>
      <c r="BA20" s="88"/>
      <c r="BB20" s="88">
        <f t="shared" si="30"/>
        <v>283402.72736105078</v>
      </c>
      <c r="BC20" s="88"/>
      <c r="BD20" s="88">
        <f t="shared" si="33"/>
        <v>283402.72736105078</v>
      </c>
      <c r="BE20" s="83">
        <v>0</v>
      </c>
      <c r="BF20" s="90">
        <f t="shared" si="31"/>
        <v>283402.72736105078</v>
      </c>
    </row>
    <row r="21" spans="1:58" ht="15.75" x14ac:dyDescent="0.3">
      <c r="A21" s="208" t="s">
        <v>449</v>
      </c>
      <c r="B21" s="83" t="s">
        <v>100</v>
      </c>
      <c r="C21" s="144">
        <v>600000</v>
      </c>
      <c r="D21" s="89">
        <v>283210.4580118584</v>
      </c>
      <c r="E21" s="88">
        <f t="shared" si="7"/>
        <v>883210.4580118584</v>
      </c>
      <c r="F21" s="88">
        <f t="shared" si="8"/>
        <v>56103.373722245982</v>
      </c>
      <c r="G21" s="88">
        <f t="shared" si="9"/>
        <v>939313.83173410443</v>
      </c>
      <c r="H21" s="88">
        <v>19000</v>
      </c>
      <c r="I21" s="88">
        <f t="shared" si="10"/>
        <v>0</v>
      </c>
      <c r="J21" s="88">
        <f t="shared" si="11"/>
        <v>958313.83173410443</v>
      </c>
      <c r="K21" s="135">
        <v>19000</v>
      </c>
      <c r="L21" s="88">
        <f t="shared" si="12"/>
        <v>1339.1004231643205</v>
      </c>
      <c r="M21" s="88">
        <f t="shared" si="13"/>
        <v>978652.93215726875</v>
      </c>
      <c r="N21" s="88">
        <v>19000</v>
      </c>
      <c r="O21" s="88">
        <f t="shared" si="14"/>
        <v>269.77131149211471</v>
      </c>
      <c r="P21" s="88">
        <f t="shared" si="15"/>
        <v>997922.70346876082</v>
      </c>
      <c r="Q21" s="88">
        <v>19000</v>
      </c>
      <c r="R21" s="88">
        <f t="shared" si="16"/>
        <v>9229.1811025074585</v>
      </c>
      <c r="S21" s="88">
        <f t="shared" si="17"/>
        <v>1026151.8845712683</v>
      </c>
      <c r="T21" s="88">
        <v>19000</v>
      </c>
      <c r="U21" s="88">
        <f t="shared" si="18"/>
        <v>1359.0545777744144</v>
      </c>
      <c r="V21" s="88">
        <f t="shared" si="19"/>
        <v>1046510.9391490427</v>
      </c>
      <c r="W21" s="88">
        <v>19000</v>
      </c>
      <c r="X21" s="88">
        <f t="shared" si="20"/>
        <v>3374.8698073336518</v>
      </c>
      <c r="Y21" s="88">
        <f t="shared" si="0"/>
        <v>1068885.8089563763</v>
      </c>
      <c r="Z21" s="88">
        <v>19000</v>
      </c>
      <c r="AA21" s="88">
        <f t="shared" si="21"/>
        <v>2285.1998765282278</v>
      </c>
      <c r="AB21" s="88">
        <f t="shared" si="1"/>
        <v>1090171.0088329045</v>
      </c>
      <c r="AC21" s="88">
        <v>15000</v>
      </c>
      <c r="AD21" s="88">
        <f t="shared" si="22"/>
        <v>2928.834680372498</v>
      </c>
      <c r="AE21" s="88">
        <f t="shared" si="2"/>
        <v>1108099.8435132769</v>
      </c>
      <c r="AF21" s="88">
        <v>19000</v>
      </c>
      <c r="AG21" s="88">
        <f t="shared" si="3"/>
        <v>0</v>
      </c>
      <c r="AH21" s="88">
        <f t="shared" si="4"/>
        <v>1127099.8435132769</v>
      </c>
      <c r="AI21" s="88">
        <v>19000</v>
      </c>
      <c r="AJ21" s="88">
        <f t="shared" si="23"/>
        <v>871.23222022077493</v>
      </c>
      <c r="AK21" s="88">
        <f t="shared" si="5"/>
        <v>1146971.0757334977</v>
      </c>
      <c r="AL21" s="88">
        <v>19000</v>
      </c>
      <c r="AM21" s="88">
        <f t="shared" si="24"/>
        <v>0</v>
      </c>
      <c r="AN21" s="88">
        <f t="shared" si="6"/>
        <v>1165971.0757334977</v>
      </c>
      <c r="AO21" s="88">
        <v>19000</v>
      </c>
      <c r="AP21" s="88">
        <f t="shared" si="25"/>
        <v>0</v>
      </c>
      <c r="AQ21" s="88">
        <f t="shared" si="26"/>
        <v>1184971.0757334977</v>
      </c>
      <c r="AR21" s="88">
        <f t="shared" si="27"/>
        <v>600000</v>
      </c>
      <c r="AS21" s="88">
        <f t="shared" si="27"/>
        <v>283210.4580118584</v>
      </c>
      <c r="AT21" s="88">
        <f t="shared" si="32"/>
        <v>224000</v>
      </c>
      <c r="AU21" s="88">
        <f t="shared" si="28"/>
        <v>77760.617721639457</v>
      </c>
      <c r="AV21" s="88">
        <f t="shared" si="29"/>
        <v>1184971.0757334977</v>
      </c>
      <c r="AW21" s="88">
        <v>630000</v>
      </c>
      <c r="AX21" s="88"/>
      <c r="AY21" s="88"/>
      <c r="AZ21" s="88"/>
      <c r="BA21" s="88"/>
      <c r="BB21" s="88">
        <f t="shared" si="30"/>
        <v>554971.07573349774</v>
      </c>
      <c r="BC21" s="88"/>
      <c r="BD21" s="88">
        <f t="shared" si="33"/>
        <v>554971.07573349774</v>
      </c>
      <c r="BE21" s="83">
        <v>0</v>
      </c>
      <c r="BF21" s="90">
        <f t="shared" si="31"/>
        <v>554971.07573349774</v>
      </c>
    </row>
    <row r="22" spans="1:58" ht="15.75" x14ac:dyDescent="0.3">
      <c r="A22" s="208" t="s">
        <v>450</v>
      </c>
      <c r="B22" s="83" t="s">
        <v>38</v>
      </c>
      <c r="C22" s="144">
        <v>600000</v>
      </c>
      <c r="D22" s="89">
        <v>39787.038443138823</v>
      </c>
      <c r="E22" s="88">
        <f t="shared" si="7"/>
        <v>639787.03844313882</v>
      </c>
      <c r="F22" s="88">
        <f t="shared" si="8"/>
        <v>40640.609488732349</v>
      </c>
      <c r="G22" s="88">
        <f t="shared" si="9"/>
        <v>680427.64793187112</v>
      </c>
      <c r="H22" s="88">
        <v>9000</v>
      </c>
      <c r="I22" s="88">
        <f t="shared" si="10"/>
        <v>0</v>
      </c>
      <c r="J22" s="88">
        <f t="shared" si="11"/>
        <v>689427.64793187112</v>
      </c>
      <c r="K22" s="135">
        <v>9000</v>
      </c>
      <c r="L22" s="88">
        <f t="shared" si="12"/>
        <v>956.97485140032791</v>
      </c>
      <c r="M22" s="88">
        <f t="shared" si="13"/>
        <v>699384.62278327148</v>
      </c>
      <c r="N22" s="88">
        <v>6000</v>
      </c>
      <c r="O22" s="88">
        <f t="shared" si="14"/>
        <v>190.74021501960192</v>
      </c>
      <c r="P22" s="88">
        <f t="shared" si="15"/>
        <v>705575.36299829104</v>
      </c>
      <c r="Q22" s="88">
        <v>14000</v>
      </c>
      <c r="R22" s="88">
        <f t="shared" si="16"/>
        <v>6530.5763352128588</v>
      </c>
      <c r="S22" s="88">
        <f t="shared" si="17"/>
        <v>726105.93933350395</v>
      </c>
      <c r="T22" s="88">
        <v>4000</v>
      </c>
      <c r="U22" s="88">
        <f t="shared" si="18"/>
        <v>949.38719793680502</v>
      </c>
      <c r="V22" s="88">
        <f t="shared" si="19"/>
        <v>731055.32653144072</v>
      </c>
      <c r="W22" s="88">
        <v>9000</v>
      </c>
      <c r="X22" s="88">
        <f t="shared" si="20"/>
        <v>2344.030723196588</v>
      </c>
      <c r="Y22" s="88">
        <f t="shared" si="0"/>
        <v>742399.35725463729</v>
      </c>
      <c r="Z22" s="88">
        <v>14000</v>
      </c>
      <c r="AA22" s="88">
        <f t="shared" si="21"/>
        <v>1588.8834136576563</v>
      </c>
      <c r="AB22" s="88">
        <f t="shared" si="1"/>
        <v>757988.24066829495</v>
      </c>
      <c r="AC22" s="88">
        <v>13000</v>
      </c>
      <c r="AD22" s="88">
        <f t="shared" si="22"/>
        <v>2043.2105795222606</v>
      </c>
      <c r="AE22" s="88">
        <f t="shared" si="2"/>
        <v>773031.45124781725</v>
      </c>
      <c r="AF22" s="88">
        <v>9000</v>
      </c>
      <c r="AG22" s="88">
        <f t="shared" si="3"/>
        <v>0</v>
      </c>
      <c r="AH22" s="88">
        <f t="shared" si="4"/>
        <v>782031.45124781725</v>
      </c>
      <c r="AI22" s="88">
        <v>9000</v>
      </c>
      <c r="AJ22" s="88">
        <f t="shared" si="23"/>
        <v>601.31941508908676</v>
      </c>
      <c r="AK22" s="88">
        <f t="shared" si="5"/>
        <v>791632.77066290635</v>
      </c>
      <c r="AL22" s="88">
        <v>12000</v>
      </c>
      <c r="AM22" s="88">
        <f t="shared" si="24"/>
        <v>0</v>
      </c>
      <c r="AN22" s="88">
        <f t="shared" si="6"/>
        <v>803632.77066290635</v>
      </c>
      <c r="AO22" s="88">
        <v>9000</v>
      </c>
      <c r="AP22" s="88">
        <f t="shared" si="25"/>
        <v>0</v>
      </c>
      <c r="AQ22" s="88">
        <f t="shared" si="26"/>
        <v>812632.77066290635</v>
      </c>
      <c r="AR22" s="88">
        <f t="shared" si="27"/>
        <v>600000</v>
      </c>
      <c r="AS22" s="88">
        <f t="shared" si="27"/>
        <v>39787.038443138823</v>
      </c>
      <c r="AT22" s="88">
        <f t="shared" si="32"/>
        <v>117000</v>
      </c>
      <c r="AU22" s="88">
        <f t="shared" si="28"/>
        <v>55845.732219767524</v>
      </c>
      <c r="AV22" s="88">
        <f t="shared" si="29"/>
        <v>812632.77066290635</v>
      </c>
      <c r="AW22" s="88">
        <v>630000</v>
      </c>
      <c r="AX22" s="88"/>
      <c r="AY22" s="88"/>
      <c r="AZ22" s="88"/>
      <c r="BA22" s="88"/>
      <c r="BB22" s="88">
        <f t="shared" si="30"/>
        <v>182632.77066290635</v>
      </c>
      <c r="BC22" s="88"/>
      <c r="BD22" s="88">
        <f t="shared" si="33"/>
        <v>182632.77066290635</v>
      </c>
      <c r="BE22" s="83">
        <v>0</v>
      </c>
      <c r="BF22" s="90">
        <f t="shared" si="31"/>
        <v>182632.77066290635</v>
      </c>
    </row>
    <row r="23" spans="1:58" ht="15.75" x14ac:dyDescent="0.3">
      <c r="A23" s="208" t="s">
        <v>451</v>
      </c>
      <c r="B23" s="83" t="s">
        <v>101</v>
      </c>
      <c r="C23" s="144">
        <v>600000</v>
      </c>
      <c r="D23" s="89">
        <v>13695.736143450369</v>
      </c>
      <c r="E23" s="88">
        <f t="shared" si="7"/>
        <v>613695.73614345037</v>
      </c>
      <c r="F23" s="88">
        <f t="shared" si="8"/>
        <v>38983.235450029715</v>
      </c>
      <c r="G23" s="88">
        <f t="shared" si="9"/>
        <v>652678.97159348009</v>
      </c>
      <c r="H23" s="88">
        <v>9000</v>
      </c>
      <c r="I23" s="88">
        <f t="shared" si="10"/>
        <v>0</v>
      </c>
      <c r="J23" s="88">
        <f t="shared" si="11"/>
        <v>661678.97159348009</v>
      </c>
      <c r="K23" s="135">
        <v>9000</v>
      </c>
      <c r="L23" s="88">
        <f t="shared" si="12"/>
        <v>918.95404066335402</v>
      </c>
      <c r="M23" s="88">
        <f t="shared" si="13"/>
        <v>671597.92563414341</v>
      </c>
      <c r="N23" s="88">
        <v>0</v>
      </c>
      <c r="O23" s="88">
        <f t="shared" si="14"/>
        <v>181.6040903141915</v>
      </c>
      <c r="P23" s="88">
        <f t="shared" si="15"/>
        <v>671779.52972445765</v>
      </c>
      <c r="Q23" s="88">
        <v>0</v>
      </c>
      <c r="R23" s="88">
        <f t="shared" si="16"/>
        <v>6096.8005922534421</v>
      </c>
      <c r="S23" s="88">
        <f t="shared" si="17"/>
        <v>677876.3303167111</v>
      </c>
      <c r="T23" s="88">
        <v>27000</v>
      </c>
      <c r="U23" s="88">
        <f t="shared" si="18"/>
        <v>916.58008527126503</v>
      </c>
      <c r="V23" s="88">
        <f t="shared" si="19"/>
        <v>705792.91040198237</v>
      </c>
      <c r="W23" s="88">
        <v>18000</v>
      </c>
      <c r="X23" s="88">
        <f t="shared" si="20"/>
        <v>2292.5215972241822</v>
      </c>
      <c r="Y23" s="88">
        <f t="shared" si="0"/>
        <v>726085.43199920654</v>
      </c>
      <c r="Z23" s="88">
        <v>17000</v>
      </c>
      <c r="AA23" s="88">
        <f t="shared" si="21"/>
        <v>1560.9163420226255</v>
      </c>
      <c r="AB23" s="88">
        <f t="shared" si="1"/>
        <v>744646.34834122914</v>
      </c>
      <c r="AC23" s="88">
        <v>18000</v>
      </c>
      <c r="AD23" s="88">
        <f t="shared" si="22"/>
        <v>2021.1035722336378</v>
      </c>
      <c r="AE23" s="88">
        <f t="shared" si="2"/>
        <v>764667.45191346272</v>
      </c>
      <c r="AF23" s="88">
        <v>159000</v>
      </c>
      <c r="AG23" s="88">
        <f t="shared" si="3"/>
        <v>0</v>
      </c>
      <c r="AH23" s="88">
        <f t="shared" si="4"/>
        <v>923667.45191346272</v>
      </c>
      <c r="AI23" s="88">
        <v>17000</v>
      </c>
      <c r="AJ23" s="88">
        <f t="shared" si="23"/>
        <v>715.06840984093662</v>
      </c>
      <c r="AK23" s="88">
        <f t="shared" si="5"/>
        <v>941382.52032330364</v>
      </c>
      <c r="AL23" s="88">
        <v>17000</v>
      </c>
      <c r="AM23" s="88">
        <f t="shared" si="24"/>
        <v>0</v>
      </c>
      <c r="AN23" s="88">
        <f t="shared" si="6"/>
        <v>958382.52032330364</v>
      </c>
      <c r="AO23" s="88">
        <v>17000</v>
      </c>
      <c r="AP23" s="88">
        <f t="shared" si="25"/>
        <v>0</v>
      </c>
      <c r="AQ23" s="88">
        <f t="shared" si="26"/>
        <v>975382.52032330364</v>
      </c>
      <c r="AR23" s="88">
        <f t="shared" si="27"/>
        <v>600000</v>
      </c>
      <c r="AS23" s="88">
        <f t="shared" si="27"/>
        <v>13695.736143450369</v>
      </c>
      <c r="AT23" s="88">
        <f t="shared" si="32"/>
        <v>308000</v>
      </c>
      <c r="AU23" s="88">
        <f t="shared" si="28"/>
        <v>53686.784179853348</v>
      </c>
      <c r="AV23" s="88">
        <f t="shared" si="29"/>
        <v>975382.52032330364</v>
      </c>
      <c r="AW23" s="88">
        <v>630000</v>
      </c>
      <c r="AX23" s="88"/>
      <c r="AY23" s="88"/>
      <c r="AZ23" s="88"/>
      <c r="BA23" s="88"/>
      <c r="BB23" s="88">
        <f t="shared" si="30"/>
        <v>345382.52032330364</v>
      </c>
      <c r="BC23" s="88"/>
      <c r="BD23" s="88">
        <f t="shared" si="33"/>
        <v>345382.52032330364</v>
      </c>
      <c r="BE23" s="83">
        <v>0</v>
      </c>
      <c r="BF23" s="90">
        <f t="shared" si="31"/>
        <v>345382.52032330364</v>
      </c>
    </row>
    <row r="24" spans="1:58" ht="15.75" x14ac:dyDescent="0.3">
      <c r="A24" s="208" t="s">
        <v>452</v>
      </c>
      <c r="B24" s="83" t="s">
        <v>102</v>
      </c>
      <c r="C24" s="144">
        <v>600000</v>
      </c>
      <c r="D24" s="89">
        <v>575.28052728832699</v>
      </c>
      <c r="E24" s="88">
        <f t="shared" si="7"/>
        <v>600575.28052728833</v>
      </c>
      <c r="F24" s="88">
        <f t="shared" si="8"/>
        <v>38149.79669467725</v>
      </c>
      <c r="G24" s="88">
        <f t="shared" si="9"/>
        <v>638725.07722196553</v>
      </c>
      <c r="H24" s="88">
        <v>9000</v>
      </c>
      <c r="I24" s="88">
        <f t="shared" si="10"/>
        <v>0</v>
      </c>
      <c r="J24" s="88">
        <f t="shared" si="11"/>
        <v>647725.07722196553</v>
      </c>
      <c r="K24" s="158">
        <v>9000</v>
      </c>
      <c r="L24" s="88">
        <f t="shared" si="12"/>
        <v>899.83462860660416</v>
      </c>
      <c r="M24" s="88">
        <f t="shared" si="13"/>
        <v>657624.9118505721</v>
      </c>
      <c r="N24" s="88">
        <v>9000</v>
      </c>
      <c r="O24" s="88">
        <f t="shared" si="14"/>
        <v>180.2593576850181</v>
      </c>
      <c r="P24" s="88">
        <f t="shared" si="15"/>
        <v>666805.17120825709</v>
      </c>
      <c r="Q24" s="88">
        <v>9000</v>
      </c>
      <c r="R24" s="88">
        <f t="shared" si="16"/>
        <v>6133.33569387033</v>
      </c>
      <c r="S24" s="88">
        <f t="shared" si="17"/>
        <v>681938.50690212741</v>
      </c>
      <c r="T24" s="88">
        <v>9000</v>
      </c>
      <c r="U24" s="88">
        <f t="shared" si="18"/>
        <v>898.45615228560939</v>
      </c>
      <c r="V24" s="88">
        <f t="shared" si="19"/>
        <v>691836.96305441298</v>
      </c>
      <c r="W24" s="88">
        <v>9000</v>
      </c>
      <c r="X24" s="88">
        <f t="shared" si="20"/>
        <v>2219.811566049912</v>
      </c>
      <c r="Y24" s="88">
        <f t="shared" si="0"/>
        <v>703056.77462046291</v>
      </c>
      <c r="Z24" s="88">
        <v>9000</v>
      </c>
      <c r="AA24" s="88">
        <f t="shared" si="21"/>
        <v>1495.7379166520773</v>
      </c>
      <c r="AB24" s="88">
        <f t="shared" si="1"/>
        <v>713552.51253711502</v>
      </c>
      <c r="AC24" s="88">
        <v>9000</v>
      </c>
      <c r="AD24" s="88">
        <f t="shared" si="22"/>
        <v>1914.85013649046</v>
      </c>
      <c r="AE24" s="88">
        <f t="shared" si="2"/>
        <v>724467.36267360544</v>
      </c>
      <c r="AF24" s="88">
        <v>9000</v>
      </c>
      <c r="AG24" s="88">
        <f t="shared" si="3"/>
        <v>0</v>
      </c>
      <c r="AH24" s="88">
        <f t="shared" si="4"/>
        <v>733467.36267360544</v>
      </c>
      <c r="AI24" s="88">
        <v>9000</v>
      </c>
      <c r="AJ24" s="88">
        <f t="shared" si="23"/>
        <v>564.40238822534582</v>
      </c>
      <c r="AK24" s="88">
        <f t="shared" si="5"/>
        <v>743031.76506183075</v>
      </c>
      <c r="AL24" s="88">
        <v>7000</v>
      </c>
      <c r="AM24" s="88">
        <f t="shared" si="24"/>
        <v>0</v>
      </c>
      <c r="AN24" s="88">
        <f t="shared" si="6"/>
        <v>750031.76506183075</v>
      </c>
      <c r="AO24" s="88">
        <v>9000</v>
      </c>
      <c r="AP24" s="88">
        <f t="shared" si="25"/>
        <v>0</v>
      </c>
      <c r="AQ24" s="88">
        <f t="shared" si="26"/>
        <v>759031.76506183075</v>
      </c>
      <c r="AR24" s="88">
        <f t="shared" si="27"/>
        <v>600000</v>
      </c>
      <c r="AS24" s="88">
        <f t="shared" si="27"/>
        <v>575.28052728832699</v>
      </c>
      <c r="AT24" s="88">
        <f t="shared" si="32"/>
        <v>106000</v>
      </c>
      <c r="AU24" s="88">
        <f t="shared" si="28"/>
        <v>52456.4845345426</v>
      </c>
      <c r="AV24" s="88">
        <f t="shared" si="29"/>
        <v>759031.76506183075</v>
      </c>
      <c r="AW24" s="88">
        <v>630000</v>
      </c>
      <c r="AX24" s="88"/>
      <c r="AY24" s="88"/>
      <c r="AZ24" s="88"/>
      <c r="BA24" s="88"/>
      <c r="BB24" s="88">
        <f t="shared" si="30"/>
        <v>129031.76506183075</v>
      </c>
      <c r="BC24" s="88"/>
      <c r="BD24" s="88">
        <f t="shared" si="33"/>
        <v>129031.76506183075</v>
      </c>
      <c r="BE24" s="83">
        <v>0</v>
      </c>
      <c r="BF24" s="90">
        <f t="shared" si="31"/>
        <v>129031.76506183075</v>
      </c>
    </row>
    <row r="25" spans="1:58" ht="15.75" x14ac:dyDescent="0.3">
      <c r="A25" s="208"/>
      <c r="B25" s="83" t="s">
        <v>103</v>
      </c>
      <c r="C25" s="144">
        <v>600000</v>
      </c>
      <c r="D25" s="89">
        <v>2433.3710003618617</v>
      </c>
      <c r="E25" s="88">
        <f t="shared" si="7"/>
        <v>602433.37100036186</v>
      </c>
      <c r="F25" s="88">
        <f t="shared" si="8"/>
        <v>38267.826483925048</v>
      </c>
      <c r="G25" s="88">
        <f t="shared" si="9"/>
        <v>640701.19748428697</v>
      </c>
      <c r="H25" s="88">
        <v>-640701</v>
      </c>
      <c r="I25" s="88">
        <f t="shared" si="10"/>
        <v>0</v>
      </c>
      <c r="J25" s="88">
        <f t="shared" si="11"/>
        <v>0.19748428696766496</v>
      </c>
      <c r="K25" s="158">
        <v>0</v>
      </c>
      <c r="L25" s="88">
        <f t="shared" si="12"/>
        <v>2.7058994118345079E-4</v>
      </c>
      <c r="M25" s="88">
        <f t="shared" si="13"/>
        <v>0.19775487690884841</v>
      </c>
      <c r="N25" s="88">
        <v>0</v>
      </c>
      <c r="O25" s="88">
        <f t="shared" si="14"/>
        <v>5.3474099837810067E-5</v>
      </c>
      <c r="P25" s="88">
        <f t="shared" si="15"/>
        <v>0.19780835100868621</v>
      </c>
      <c r="Q25" s="88">
        <v>0</v>
      </c>
      <c r="R25" s="88">
        <f t="shared" si="16"/>
        <v>1.7952289675707987E-3</v>
      </c>
      <c r="S25" s="88">
        <f t="shared" si="17"/>
        <v>0.19960357997625702</v>
      </c>
      <c r="T25" s="88">
        <v>0</v>
      </c>
      <c r="U25" s="88">
        <f t="shared" si="18"/>
        <v>2.5955285840408937E-4</v>
      </c>
      <c r="V25" s="88">
        <f t="shared" si="19"/>
        <v>0.19986313283466112</v>
      </c>
      <c r="W25" s="88">
        <v>0</v>
      </c>
      <c r="X25" s="88">
        <f t="shared" si="20"/>
        <v>6.3304094572835053E-4</v>
      </c>
      <c r="Y25" s="88">
        <f t="shared" si="0"/>
        <v>0.20049617378038948</v>
      </c>
      <c r="Z25" s="88">
        <v>0</v>
      </c>
      <c r="AA25" s="88">
        <f t="shared" si="21"/>
        <v>4.211598568482666E-4</v>
      </c>
      <c r="AB25" s="88">
        <f t="shared" si="1"/>
        <v>0.20091733363723774</v>
      </c>
      <c r="AC25" s="88">
        <v>0</v>
      </c>
      <c r="AD25" s="88">
        <f t="shared" si="22"/>
        <v>5.3245484177705618E-4</v>
      </c>
      <c r="AE25" s="88">
        <f t="shared" si="2"/>
        <v>0.20144978847901479</v>
      </c>
      <c r="AF25" s="88">
        <v>0</v>
      </c>
      <c r="AG25" s="88">
        <f t="shared" si="3"/>
        <v>0</v>
      </c>
      <c r="AH25" s="88">
        <f t="shared" si="4"/>
        <v>0.20144978847901479</v>
      </c>
      <c r="AI25" s="88">
        <v>0</v>
      </c>
      <c r="AJ25" s="88">
        <f t="shared" si="23"/>
        <v>1.531363497455572E-4</v>
      </c>
      <c r="AK25" s="88">
        <f t="shared" si="5"/>
        <v>0.20160292482876035</v>
      </c>
      <c r="AL25" s="88">
        <v>0</v>
      </c>
      <c r="AM25" s="88">
        <f t="shared" si="24"/>
        <v>0</v>
      </c>
      <c r="AN25" s="88">
        <f t="shared" si="6"/>
        <v>0.20160292482876035</v>
      </c>
      <c r="AO25" s="88">
        <v>0</v>
      </c>
      <c r="AP25" s="88">
        <f t="shared" si="25"/>
        <v>0</v>
      </c>
      <c r="AQ25" s="88">
        <f t="shared" si="26"/>
        <v>0.20160292482876035</v>
      </c>
      <c r="AR25" s="88">
        <f t="shared" si="27"/>
        <v>600000</v>
      </c>
      <c r="AS25" s="88">
        <f t="shared" si="27"/>
        <v>2433.3710003618617</v>
      </c>
      <c r="AT25" s="88">
        <f t="shared" si="32"/>
        <v>-640701</v>
      </c>
      <c r="AU25" s="88">
        <f t="shared" si="28"/>
        <v>38267.830602562906</v>
      </c>
      <c r="AV25" s="88">
        <f t="shared" si="29"/>
        <v>0.20160292482876035</v>
      </c>
      <c r="AW25" s="88">
        <v>0</v>
      </c>
      <c r="AX25" s="88"/>
      <c r="AY25" s="88"/>
      <c r="AZ25" s="88"/>
      <c r="BA25" s="88"/>
      <c r="BB25" s="88">
        <f t="shared" si="30"/>
        <v>0.20160292482876035</v>
      </c>
      <c r="BC25" s="88"/>
      <c r="BD25" s="88">
        <f t="shared" si="33"/>
        <v>0.20160292482876035</v>
      </c>
      <c r="BE25" s="83">
        <v>0</v>
      </c>
      <c r="BF25" s="90">
        <f t="shared" si="31"/>
        <v>0.20160292482876035</v>
      </c>
    </row>
    <row r="26" spans="1:58" ht="15.75" x14ac:dyDescent="0.3">
      <c r="A26" s="208" t="s">
        <v>454</v>
      </c>
      <c r="B26" s="83" t="s">
        <v>41</v>
      </c>
      <c r="C26" s="144">
        <v>600000</v>
      </c>
      <c r="D26" s="89">
        <v>21451.962695348077</v>
      </c>
      <c r="E26" s="88">
        <f t="shared" si="7"/>
        <v>621451.96269534808</v>
      </c>
      <c r="F26" s="88">
        <f t="shared" si="8"/>
        <v>39475.927166899848</v>
      </c>
      <c r="G26" s="88">
        <f t="shared" si="9"/>
        <v>660927.88986224798</v>
      </c>
      <c r="H26" s="88">
        <v>9000</v>
      </c>
      <c r="I26" s="88">
        <f t="shared" si="10"/>
        <v>0</v>
      </c>
      <c r="J26" s="88">
        <f t="shared" si="11"/>
        <v>669927.88986224798</v>
      </c>
      <c r="K26" s="135">
        <v>9000</v>
      </c>
      <c r="L26" s="88">
        <f t="shared" si="12"/>
        <v>930.25658196142933</v>
      </c>
      <c r="M26" s="88">
        <f t="shared" si="13"/>
        <v>679858.14644420939</v>
      </c>
      <c r="N26" s="88">
        <v>9000</v>
      </c>
      <c r="O26" s="88">
        <f t="shared" si="14"/>
        <v>186.27135711057772</v>
      </c>
      <c r="P26" s="88">
        <f t="shared" si="15"/>
        <v>689044.41780131997</v>
      </c>
      <c r="Q26" s="88">
        <v>9000</v>
      </c>
      <c r="R26" s="88">
        <f t="shared" si="16"/>
        <v>6335.170143716502</v>
      </c>
      <c r="S26" s="88">
        <f t="shared" si="17"/>
        <v>704379.58794503647</v>
      </c>
      <c r="T26" s="88">
        <v>9000</v>
      </c>
      <c r="U26" s="88">
        <f t="shared" si="18"/>
        <v>927.63722574660505</v>
      </c>
      <c r="V26" s="88">
        <f t="shared" si="19"/>
        <v>714307.22517078312</v>
      </c>
      <c r="W26" s="88">
        <v>9000</v>
      </c>
      <c r="X26" s="88">
        <f t="shared" si="20"/>
        <v>2290.9832512885214</v>
      </c>
      <c r="Y26" s="88">
        <f t="shared" si="0"/>
        <v>725598.20842207165</v>
      </c>
      <c r="Z26" s="88">
        <v>9000</v>
      </c>
      <c r="AA26" s="88">
        <f t="shared" si="21"/>
        <v>1543.088182016437</v>
      </c>
      <c r="AB26" s="88">
        <f t="shared" si="1"/>
        <v>736141.29660408804</v>
      </c>
      <c r="AC26" s="88">
        <v>9000</v>
      </c>
      <c r="AD26" s="88">
        <f t="shared" si="22"/>
        <v>1974.7131021618652</v>
      </c>
      <c r="AE26" s="88">
        <f t="shared" si="2"/>
        <v>747116.00970624993</v>
      </c>
      <c r="AF26" s="88">
        <v>9000</v>
      </c>
      <c r="AG26" s="88">
        <f t="shared" si="3"/>
        <v>0</v>
      </c>
      <c r="AH26" s="88">
        <f t="shared" si="4"/>
        <v>756116.00970624993</v>
      </c>
      <c r="AI26" s="88">
        <v>9000</v>
      </c>
      <c r="AJ26" s="88">
        <f t="shared" si="23"/>
        <v>581.61923992542108</v>
      </c>
      <c r="AK26" s="88">
        <f t="shared" si="5"/>
        <v>765697.62894617533</v>
      </c>
      <c r="AL26" s="88">
        <v>9000</v>
      </c>
      <c r="AM26" s="88">
        <f t="shared" si="24"/>
        <v>0</v>
      </c>
      <c r="AN26" s="88">
        <f t="shared" si="6"/>
        <v>774697.62894617533</v>
      </c>
      <c r="AO26" s="88">
        <v>9000</v>
      </c>
      <c r="AP26" s="88">
        <f t="shared" si="25"/>
        <v>0</v>
      </c>
      <c r="AQ26" s="88">
        <f t="shared" si="26"/>
        <v>783697.62894617533</v>
      </c>
      <c r="AR26" s="88">
        <f t="shared" si="27"/>
        <v>600000</v>
      </c>
      <c r="AS26" s="88">
        <f t="shared" si="27"/>
        <v>21451.962695348077</v>
      </c>
      <c r="AT26" s="88">
        <f t="shared" si="32"/>
        <v>108000</v>
      </c>
      <c r="AU26" s="88">
        <f t="shared" si="28"/>
        <v>54245.666250827206</v>
      </c>
      <c r="AV26" s="88">
        <f t="shared" si="29"/>
        <v>783697.62894617533</v>
      </c>
      <c r="AW26" s="88">
        <v>630000</v>
      </c>
      <c r="AX26" s="88"/>
      <c r="AY26" s="88"/>
      <c r="AZ26" s="88"/>
      <c r="BA26" s="88"/>
      <c r="BB26" s="88">
        <f t="shared" si="30"/>
        <v>153697.62894617533</v>
      </c>
      <c r="BC26" s="88"/>
      <c r="BD26" s="88">
        <f t="shared" si="33"/>
        <v>153697.62894617533</v>
      </c>
      <c r="BE26" s="83">
        <v>0</v>
      </c>
      <c r="BF26" s="90">
        <f t="shared" si="31"/>
        <v>153697.62894617533</v>
      </c>
    </row>
    <row r="27" spans="1:58" ht="15.75" x14ac:dyDescent="0.3">
      <c r="A27" s="208" t="s">
        <v>455</v>
      </c>
      <c r="B27" s="83" t="s">
        <v>46</v>
      </c>
      <c r="C27" s="144">
        <v>600000</v>
      </c>
      <c r="D27" s="89">
        <v>200752.48017057346</v>
      </c>
      <c r="E27" s="88">
        <f t="shared" si="7"/>
        <v>800752.48017057346</v>
      </c>
      <c r="F27" s="88">
        <f t="shared" si="8"/>
        <v>50865.470677456433</v>
      </c>
      <c r="G27" s="88">
        <f t="shared" si="9"/>
        <v>851617.95084802993</v>
      </c>
      <c r="H27" s="88">
        <v>9000</v>
      </c>
      <c r="I27" s="88">
        <f t="shared" si="10"/>
        <v>0</v>
      </c>
      <c r="J27" s="88">
        <f t="shared" si="11"/>
        <v>860617.95084802993</v>
      </c>
      <c r="K27" s="158">
        <v>9000</v>
      </c>
      <c r="L27" s="88">
        <f t="shared" si="12"/>
        <v>1191.5371789076557</v>
      </c>
      <c r="M27" s="88">
        <f t="shared" si="13"/>
        <v>870809.48802693759</v>
      </c>
      <c r="N27" s="88">
        <v>9000</v>
      </c>
      <c r="O27" s="88">
        <f t="shared" si="14"/>
        <v>237.9057403610355</v>
      </c>
      <c r="P27" s="88">
        <f t="shared" si="15"/>
        <v>880047.39376729866</v>
      </c>
      <c r="Q27" s="88">
        <v>9000</v>
      </c>
      <c r="R27" s="88">
        <f t="shared" si="16"/>
        <v>8068.6362668494776</v>
      </c>
      <c r="S27" s="88">
        <f t="shared" si="17"/>
        <v>897116.03003414813</v>
      </c>
      <c r="T27" s="88">
        <v>9000</v>
      </c>
      <c r="U27" s="88">
        <f t="shared" si="18"/>
        <v>1178.260458400116</v>
      </c>
      <c r="V27" s="88">
        <f t="shared" si="19"/>
        <v>907294.29049254826</v>
      </c>
      <c r="W27" s="88">
        <v>9000</v>
      </c>
      <c r="X27" s="88">
        <f t="shared" si="20"/>
        <v>2902.2451314157306</v>
      </c>
      <c r="Y27" s="88">
        <f t="shared" si="0"/>
        <v>919196.53562396404</v>
      </c>
      <c r="Z27" s="88">
        <v>9000</v>
      </c>
      <c r="AA27" s="88">
        <f t="shared" si="21"/>
        <v>1949.7585051105923</v>
      </c>
      <c r="AB27" s="88">
        <f t="shared" si="1"/>
        <v>930146.29412907467</v>
      </c>
      <c r="AC27" s="88">
        <v>9000</v>
      </c>
      <c r="AD27" s="88">
        <f t="shared" si="22"/>
        <v>2488.8494307259011</v>
      </c>
      <c r="AE27" s="88">
        <f t="shared" si="2"/>
        <v>941635.14355980058</v>
      </c>
      <c r="AF27" s="88">
        <v>9000</v>
      </c>
      <c r="AG27" s="88">
        <f t="shared" si="3"/>
        <v>0</v>
      </c>
      <c r="AH27" s="88">
        <f t="shared" si="4"/>
        <v>950635.14355980058</v>
      </c>
      <c r="AI27" s="88">
        <v>9000</v>
      </c>
      <c r="AJ27" s="88">
        <f t="shared" si="23"/>
        <v>729.48710486042557</v>
      </c>
      <c r="AK27" s="88">
        <f t="shared" si="5"/>
        <v>960364.63066466106</v>
      </c>
      <c r="AL27" s="88">
        <v>9000</v>
      </c>
      <c r="AM27" s="88">
        <f t="shared" si="24"/>
        <v>0</v>
      </c>
      <c r="AN27" s="88">
        <f t="shared" si="6"/>
        <v>969364.63066466106</v>
      </c>
      <c r="AO27" s="88">
        <v>9000</v>
      </c>
      <c r="AP27" s="88">
        <f t="shared" si="25"/>
        <v>0</v>
      </c>
      <c r="AQ27" s="88">
        <f t="shared" si="26"/>
        <v>978364.63066466106</v>
      </c>
      <c r="AR27" s="88">
        <f t="shared" si="27"/>
        <v>600000</v>
      </c>
      <c r="AS27" s="88">
        <f t="shared" si="27"/>
        <v>200752.48017057346</v>
      </c>
      <c r="AT27" s="88">
        <f t="shared" si="32"/>
        <v>108000</v>
      </c>
      <c r="AU27" s="88">
        <f t="shared" si="28"/>
        <v>69612.150494087356</v>
      </c>
      <c r="AV27" s="88">
        <f t="shared" si="29"/>
        <v>978364.63066466106</v>
      </c>
      <c r="AW27" s="88">
        <v>630000</v>
      </c>
      <c r="AX27" s="88"/>
      <c r="AY27" s="88"/>
      <c r="AZ27" s="88"/>
      <c r="BA27" s="88"/>
      <c r="BB27" s="88">
        <f t="shared" si="30"/>
        <v>348364.63066466106</v>
      </c>
      <c r="BC27" s="88"/>
      <c r="BD27" s="88">
        <f t="shared" si="33"/>
        <v>348364.63066466106</v>
      </c>
      <c r="BE27" s="83">
        <v>0</v>
      </c>
      <c r="BF27" s="90">
        <f t="shared" si="31"/>
        <v>348364.63066466106</v>
      </c>
    </row>
    <row r="28" spans="1:58" ht="15.75" x14ac:dyDescent="0.3">
      <c r="A28" s="208" t="s">
        <v>456</v>
      </c>
      <c r="B28" s="83" t="s">
        <v>40</v>
      </c>
      <c r="C28" s="144">
        <v>600000</v>
      </c>
      <c r="D28" s="89">
        <v>103606.47183067317</v>
      </c>
      <c r="E28" s="88">
        <f t="shared" si="7"/>
        <v>703606.47183067317</v>
      </c>
      <c r="F28" s="88">
        <f t="shared" si="8"/>
        <v>44694.553245402341</v>
      </c>
      <c r="G28" s="88">
        <f t="shared" si="9"/>
        <v>748301.02507607546</v>
      </c>
      <c r="H28" s="88">
        <v>119000</v>
      </c>
      <c r="I28" s="88">
        <f t="shared" si="10"/>
        <v>0</v>
      </c>
      <c r="J28" s="88">
        <f t="shared" si="11"/>
        <v>867301.02507607546</v>
      </c>
      <c r="K28" s="158">
        <v>9000</v>
      </c>
      <c r="L28" s="88">
        <f t="shared" si="12"/>
        <v>1200.6942247165082</v>
      </c>
      <c r="M28" s="88">
        <f t="shared" si="13"/>
        <v>877501.71930079197</v>
      </c>
      <c r="N28" s="88">
        <v>9000</v>
      </c>
      <c r="O28" s="88">
        <f t="shared" si="14"/>
        <v>239.7153596678744</v>
      </c>
      <c r="P28" s="88">
        <f t="shared" si="15"/>
        <v>886741.43466045987</v>
      </c>
      <c r="Q28" s="88">
        <v>9000</v>
      </c>
      <c r="R28" s="88">
        <f t="shared" si="16"/>
        <v>8129.388687362698</v>
      </c>
      <c r="S28" s="88">
        <f t="shared" si="17"/>
        <v>903870.82334782253</v>
      </c>
      <c r="T28" s="88">
        <v>9000</v>
      </c>
      <c r="U28" s="88">
        <f t="shared" si="18"/>
        <v>1187.0439978171023</v>
      </c>
      <c r="V28" s="88">
        <f t="shared" si="19"/>
        <v>914057.86734563962</v>
      </c>
      <c r="W28" s="88">
        <v>9000</v>
      </c>
      <c r="X28" s="88">
        <f t="shared" si="20"/>
        <v>2923.6678972198138</v>
      </c>
      <c r="Y28" s="88">
        <f t="shared" si="0"/>
        <v>925981.53524285939</v>
      </c>
      <c r="Z28" s="88">
        <v>9000</v>
      </c>
      <c r="AA28" s="88">
        <f t="shared" si="21"/>
        <v>1964.0109938954381</v>
      </c>
      <c r="AB28" s="88">
        <f t="shared" si="1"/>
        <v>936945.54623675486</v>
      </c>
      <c r="AC28" s="88">
        <v>9000</v>
      </c>
      <c r="AD28" s="88">
        <f t="shared" si="22"/>
        <v>2506.8682578706698</v>
      </c>
      <c r="AE28" s="88">
        <f t="shared" si="2"/>
        <v>948452.41449462553</v>
      </c>
      <c r="AF28" s="88">
        <v>9000</v>
      </c>
      <c r="AG28" s="88">
        <f t="shared" si="3"/>
        <v>0</v>
      </c>
      <c r="AH28" s="88">
        <f t="shared" si="4"/>
        <v>957452.41449462553</v>
      </c>
      <c r="AI28" s="88">
        <v>9000</v>
      </c>
      <c r="AJ28" s="88">
        <f t="shared" si="23"/>
        <v>734.66939864225458</v>
      </c>
      <c r="AK28" s="88">
        <f t="shared" si="5"/>
        <v>967187.08389326779</v>
      </c>
      <c r="AL28" s="88">
        <v>9500</v>
      </c>
      <c r="AM28" s="88">
        <f t="shared" si="24"/>
        <v>0</v>
      </c>
      <c r="AN28" s="88">
        <f t="shared" si="6"/>
        <v>976687.08389326779</v>
      </c>
      <c r="AO28" s="88">
        <v>9000</v>
      </c>
      <c r="AP28" s="88">
        <f t="shared" si="25"/>
        <v>0</v>
      </c>
      <c r="AQ28" s="88">
        <f t="shared" si="26"/>
        <v>985687.08389326779</v>
      </c>
      <c r="AR28" s="88">
        <f t="shared" si="27"/>
        <v>600000</v>
      </c>
      <c r="AS28" s="88">
        <f t="shared" si="27"/>
        <v>103606.47183067317</v>
      </c>
      <c r="AT28" s="88">
        <f t="shared" si="32"/>
        <v>218500</v>
      </c>
      <c r="AU28" s="88">
        <f t="shared" si="28"/>
        <v>63580.612062594708</v>
      </c>
      <c r="AV28" s="88">
        <f t="shared" si="29"/>
        <v>985687.08389326779</v>
      </c>
      <c r="AW28" s="88">
        <v>630000</v>
      </c>
      <c r="AX28" s="88"/>
      <c r="AY28" s="88"/>
      <c r="AZ28" s="88"/>
      <c r="BA28" s="88"/>
      <c r="BB28" s="88">
        <f t="shared" si="30"/>
        <v>355687.08389326779</v>
      </c>
      <c r="BC28" s="88"/>
      <c r="BD28" s="88">
        <f t="shared" si="33"/>
        <v>355687.08389326779</v>
      </c>
      <c r="BE28" s="83">
        <v>0</v>
      </c>
      <c r="BF28" s="90">
        <f t="shared" si="31"/>
        <v>355687.08389326779</v>
      </c>
    </row>
    <row r="29" spans="1:58" ht="15.75" x14ac:dyDescent="0.3">
      <c r="A29" s="208" t="s">
        <v>457</v>
      </c>
      <c r="B29" s="83" t="s">
        <v>105</v>
      </c>
      <c r="C29" s="144">
        <v>600000</v>
      </c>
      <c r="D29" s="89">
        <v>4207.8699443503283</v>
      </c>
      <c r="E29" s="88">
        <f t="shared" si="7"/>
        <v>604207.86994435033</v>
      </c>
      <c r="F29" s="88">
        <f t="shared" si="8"/>
        <v>38380.546364584545</v>
      </c>
      <c r="G29" s="88">
        <f t="shared" si="9"/>
        <v>642588.41630893492</v>
      </c>
      <c r="H29" s="88">
        <v>9000</v>
      </c>
      <c r="I29" s="88">
        <f t="shared" si="10"/>
        <v>0</v>
      </c>
      <c r="J29" s="88">
        <f t="shared" si="11"/>
        <v>651588.41630893492</v>
      </c>
      <c r="K29" s="135">
        <v>9000</v>
      </c>
      <c r="L29" s="88">
        <f t="shared" si="12"/>
        <v>905.12811657147677</v>
      </c>
      <c r="M29" s="88">
        <f t="shared" si="13"/>
        <v>661493.54442550638</v>
      </c>
      <c r="N29" s="88">
        <v>9000</v>
      </c>
      <c r="O29" s="88">
        <f t="shared" si="14"/>
        <v>181.30545903928808</v>
      </c>
      <c r="P29" s="88">
        <f t="shared" si="15"/>
        <v>670674.84988454566</v>
      </c>
      <c r="Q29" s="88">
        <v>9000</v>
      </c>
      <c r="R29" s="88">
        <f t="shared" si="16"/>
        <v>6168.4553398278422</v>
      </c>
      <c r="S29" s="88">
        <f t="shared" si="17"/>
        <v>685843.30522437347</v>
      </c>
      <c r="T29" s="88">
        <v>9000</v>
      </c>
      <c r="U29" s="88">
        <f t="shared" si="18"/>
        <v>903.53372437199687</v>
      </c>
      <c r="V29" s="88">
        <f t="shared" si="19"/>
        <v>695746.83894874551</v>
      </c>
      <c r="W29" s="88">
        <v>9000</v>
      </c>
      <c r="X29" s="88">
        <f t="shared" si="20"/>
        <v>2232.1955985561785</v>
      </c>
      <c r="Y29" s="88">
        <f t="shared" si="0"/>
        <v>706979.03454730171</v>
      </c>
      <c r="Z29" s="88">
        <v>9000</v>
      </c>
      <c r="AA29" s="88">
        <f t="shared" si="21"/>
        <v>1503.9769687903915</v>
      </c>
      <c r="AB29" s="88">
        <f t="shared" si="1"/>
        <v>717483.01151609211</v>
      </c>
      <c r="AC29" s="88">
        <v>9000</v>
      </c>
      <c r="AD29" s="88">
        <f t="shared" si="22"/>
        <v>1925.2664264843079</v>
      </c>
      <c r="AE29" s="88">
        <f t="shared" si="2"/>
        <v>728408.27794257645</v>
      </c>
      <c r="AF29" s="88">
        <v>9000</v>
      </c>
      <c r="AG29" s="88">
        <f t="shared" si="3"/>
        <v>0</v>
      </c>
      <c r="AH29" s="88">
        <f t="shared" si="4"/>
        <v>737408.27794257645</v>
      </c>
      <c r="AI29" s="88">
        <v>9000</v>
      </c>
      <c r="AJ29" s="88">
        <f t="shared" si="23"/>
        <v>567.39815895066283</v>
      </c>
      <c r="AK29" s="88">
        <f t="shared" si="5"/>
        <v>746975.67610152706</v>
      </c>
      <c r="AL29" s="88">
        <v>9000</v>
      </c>
      <c r="AM29" s="88">
        <f t="shared" si="24"/>
        <v>0</v>
      </c>
      <c r="AN29" s="88">
        <f t="shared" si="6"/>
        <v>755975.67610152706</v>
      </c>
      <c r="AO29" s="88">
        <v>9000</v>
      </c>
      <c r="AP29" s="88">
        <f t="shared" si="25"/>
        <v>0</v>
      </c>
      <c r="AQ29" s="88">
        <f t="shared" si="26"/>
        <v>764975.67610152706</v>
      </c>
      <c r="AR29" s="88">
        <f t="shared" si="27"/>
        <v>600000</v>
      </c>
      <c r="AS29" s="88">
        <f t="shared" si="27"/>
        <v>4207.8699443503283</v>
      </c>
      <c r="AT29" s="88">
        <f t="shared" si="32"/>
        <v>108000</v>
      </c>
      <c r="AU29" s="88">
        <f t="shared" si="28"/>
        <v>52767.806157176696</v>
      </c>
      <c r="AV29" s="88">
        <f t="shared" si="29"/>
        <v>764975.67610152706</v>
      </c>
      <c r="AW29" s="88">
        <v>630000</v>
      </c>
      <c r="AX29" s="88"/>
      <c r="AY29" s="88"/>
      <c r="AZ29" s="88"/>
      <c r="BA29" s="88"/>
      <c r="BB29" s="88">
        <f t="shared" si="30"/>
        <v>134975.67610152706</v>
      </c>
      <c r="BC29" s="88"/>
      <c r="BD29" s="88">
        <f t="shared" si="33"/>
        <v>134975.67610152706</v>
      </c>
      <c r="BE29" s="83">
        <v>0</v>
      </c>
      <c r="BF29" s="90">
        <f t="shared" si="31"/>
        <v>134975.67610152706</v>
      </c>
    </row>
    <row r="30" spans="1:58" ht="15.75" x14ac:dyDescent="0.3">
      <c r="A30" s="208" t="s">
        <v>458</v>
      </c>
      <c r="B30" s="83" t="s">
        <v>106</v>
      </c>
      <c r="C30" s="144">
        <v>600000</v>
      </c>
      <c r="D30" s="89">
        <v>914734.42229355336</v>
      </c>
      <c r="E30" s="88">
        <f t="shared" si="7"/>
        <v>1514734.4222935534</v>
      </c>
      <c r="F30" s="88">
        <f t="shared" si="8"/>
        <v>96219.095474914066</v>
      </c>
      <c r="G30" s="88">
        <f t="shared" si="9"/>
        <v>1610953.5177684673</v>
      </c>
      <c r="H30" s="88">
        <v>9000</v>
      </c>
      <c r="I30" s="88">
        <f t="shared" si="10"/>
        <v>0</v>
      </c>
      <c r="J30" s="88">
        <f t="shared" si="11"/>
        <v>1619953.5177684673</v>
      </c>
      <c r="K30" s="135">
        <v>9000</v>
      </c>
      <c r="L30" s="88">
        <f t="shared" si="12"/>
        <v>2231.9671267603972</v>
      </c>
      <c r="M30" s="88">
        <f t="shared" si="13"/>
        <v>1631185.4848952277</v>
      </c>
      <c r="N30" s="88">
        <v>3000</v>
      </c>
      <c r="O30" s="88">
        <f t="shared" si="14"/>
        <v>441.89351554180263</v>
      </c>
      <c r="P30" s="88">
        <f t="shared" si="15"/>
        <v>1634627.3784107696</v>
      </c>
      <c r="Q30" s="88">
        <v>0</v>
      </c>
      <c r="R30" s="88">
        <f t="shared" si="16"/>
        <v>14835.220080159637</v>
      </c>
      <c r="S30" s="88">
        <f t="shared" si="17"/>
        <v>1649462.5984909292</v>
      </c>
      <c r="T30" s="88">
        <v>17000</v>
      </c>
      <c r="U30" s="88">
        <f t="shared" si="18"/>
        <v>2166.9708074037417</v>
      </c>
      <c r="V30" s="88">
        <f t="shared" si="19"/>
        <v>1668629.569298333</v>
      </c>
      <c r="W30" s="88">
        <v>9000</v>
      </c>
      <c r="X30" s="88">
        <f t="shared" si="20"/>
        <v>5313.6773854586754</v>
      </c>
      <c r="Y30" s="88">
        <f t="shared" si="0"/>
        <v>1682943.2466837917</v>
      </c>
      <c r="Z30" s="88">
        <v>9000</v>
      </c>
      <c r="AA30" s="88">
        <f t="shared" si="21"/>
        <v>3554.0756820090223</v>
      </c>
      <c r="AB30" s="88">
        <f t="shared" si="1"/>
        <v>1695497.3223658009</v>
      </c>
      <c r="AC30" s="88">
        <v>9000</v>
      </c>
      <c r="AD30" s="88">
        <f t="shared" si="22"/>
        <v>4517.1207265189942</v>
      </c>
      <c r="AE30" s="88">
        <f t="shared" si="2"/>
        <v>1709014.4430923199</v>
      </c>
      <c r="AF30" s="88">
        <v>9000</v>
      </c>
      <c r="AG30" s="88">
        <f t="shared" si="3"/>
        <v>0</v>
      </c>
      <c r="AH30" s="88">
        <f t="shared" si="4"/>
        <v>1718014.4430923199</v>
      </c>
      <c r="AI30" s="88">
        <v>9000</v>
      </c>
      <c r="AJ30" s="88">
        <f t="shared" si="23"/>
        <v>1312.8268327795447</v>
      </c>
      <c r="AK30" s="88">
        <f t="shared" si="5"/>
        <v>1728327.2699250993</v>
      </c>
      <c r="AL30" s="88">
        <v>6000</v>
      </c>
      <c r="AM30" s="88">
        <f t="shared" si="24"/>
        <v>0</v>
      </c>
      <c r="AN30" s="88">
        <f t="shared" si="6"/>
        <v>1734327.2699250993</v>
      </c>
      <c r="AO30" s="88">
        <v>9000</v>
      </c>
      <c r="AP30" s="88">
        <f t="shared" si="25"/>
        <v>0</v>
      </c>
      <c r="AQ30" s="88">
        <f t="shared" si="26"/>
        <v>1743327.2699250993</v>
      </c>
      <c r="AR30" s="88">
        <f t="shared" si="27"/>
        <v>600000</v>
      </c>
      <c r="AS30" s="88">
        <f t="shared" si="27"/>
        <v>914734.42229355336</v>
      </c>
      <c r="AT30" s="88">
        <f t="shared" si="32"/>
        <v>98000</v>
      </c>
      <c r="AU30" s="88">
        <f t="shared" si="28"/>
        <v>130592.84763154587</v>
      </c>
      <c r="AV30" s="88">
        <f t="shared" si="29"/>
        <v>1743327.2699250993</v>
      </c>
      <c r="AW30" s="88">
        <v>630000</v>
      </c>
      <c r="AX30" s="88"/>
      <c r="AY30" s="88"/>
      <c r="AZ30" s="88"/>
      <c r="BA30" s="88"/>
      <c r="BB30" s="88">
        <f t="shared" si="30"/>
        <v>1113327.2699250993</v>
      </c>
      <c r="BC30" s="88"/>
      <c r="BD30" s="88">
        <f t="shared" si="33"/>
        <v>1113327.2699250993</v>
      </c>
      <c r="BE30" s="83">
        <v>0</v>
      </c>
      <c r="BF30" s="90">
        <f t="shared" si="31"/>
        <v>1113327.2699250993</v>
      </c>
    </row>
    <row r="31" spans="1:58" ht="15.75" x14ac:dyDescent="0.3">
      <c r="A31" s="208" t="s">
        <v>459</v>
      </c>
      <c r="B31" s="83" t="s">
        <v>107</v>
      </c>
      <c r="C31" s="144">
        <v>600000</v>
      </c>
      <c r="D31" s="89">
        <v>1057774.2356918815</v>
      </c>
      <c r="E31" s="88">
        <f t="shared" si="7"/>
        <v>1657774.2356918815</v>
      </c>
      <c r="F31" s="88">
        <f t="shared" si="8"/>
        <v>105305.28329736282</v>
      </c>
      <c r="G31" s="88">
        <f t="shared" si="9"/>
        <v>1763079.5189892442</v>
      </c>
      <c r="H31" s="88">
        <v>9000</v>
      </c>
      <c r="I31" s="88">
        <f t="shared" si="10"/>
        <v>0</v>
      </c>
      <c r="J31" s="88">
        <f t="shared" si="11"/>
        <v>1772079.5189892442</v>
      </c>
      <c r="K31" s="135">
        <v>9000</v>
      </c>
      <c r="L31" s="88">
        <f t="shared" si="12"/>
        <v>2440.4078404742104</v>
      </c>
      <c r="M31" s="88">
        <f t="shared" si="13"/>
        <v>1783519.9268297185</v>
      </c>
      <c r="N31" s="88">
        <v>9000</v>
      </c>
      <c r="O31" s="88">
        <f t="shared" si="14"/>
        <v>484.70809431788769</v>
      </c>
      <c r="P31" s="88">
        <f t="shared" si="15"/>
        <v>1793004.6349240365</v>
      </c>
      <c r="Q31" s="88">
        <v>9000</v>
      </c>
      <c r="R31" s="88">
        <f t="shared" si="16"/>
        <v>16354.268683885926</v>
      </c>
      <c r="S31" s="88">
        <f t="shared" si="17"/>
        <v>1818358.9036079224</v>
      </c>
      <c r="T31" s="88">
        <v>9000</v>
      </c>
      <c r="U31" s="88">
        <f t="shared" si="18"/>
        <v>2376.1909822359744</v>
      </c>
      <c r="V31" s="88">
        <f t="shared" si="19"/>
        <v>1829735.0945901584</v>
      </c>
      <c r="W31" s="88">
        <v>9000</v>
      </c>
      <c r="X31" s="88">
        <f t="shared" si="20"/>
        <v>5823.9585596118359</v>
      </c>
      <c r="Y31" s="88">
        <f t="shared" si="0"/>
        <v>1844559.0531497702</v>
      </c>
      <c r="Z31" s="88">
        <v>9000</v>
      </c>
      <c r="AA31" s="88">
        <f t="shared" si="21"/>
        <v>3893.5639058101601</v>
      </c>
      <c r="AB31" s="88">
        <f t="shared" si="1"/>
        <v>1857452.6170555805</v>
      </c>
      <c r="AC31" s="88">
        <v>9000</v>
      </c>
      <c r="AD31" s="88">
        <f t="shared" si="22"/>
        <v>4946.3215288982501</v>
      </c>
      <c r="AE31" s="88">
        <f t="shared" si="2"/>
        <v>1871398.9385844788</v>
      </c>
      <c r="AF31" s="88">
        <v>9000</v>
      </c>
      <c r="AG31" s="88">
        <f t="shared" si="3"/>
        <v>0</v>
      </c>
      <c r="AH31" s="88">
        <f t="shared" si="4"/>
        <v>1880398.9385844788</v>
      </c>
      <c r="AI31" s="88">
        <v>9000</v>
      </c>
      <c r="AJ31" s="88">
        <f t="shared" si="23"/>
        <v>1436.2668675529419</v>
      </c>
      <c r="AK31" s="88">
        <f t="shared" si="5"/>
        <v>1890835.2054520317</v>
      </c>
      <c r="AL31" s="88">
        <v>9000</v>
      </c>
      <c r="AM31" s="88">
        <f t="shared" si="24"/>
        <v>0</v>
      </c>
      <c r="AN31" s="88">
        <f t="shared" si="6"/>
        <v>1899835.2054520317</v>
      </c>
      <c r="AO31" s="88">
        <v>9000</v>
      </c>
      <c r="AP31" s="88">
        <f t="shared" si="25"/>
        <v>0</v>
      </c>
      <c r="AQ31" s="88">
        <f t="shared" si="26"/>
        <v>1908835.2054520317</v>
      </c>
      <c r="AR31" s="88">
        <f t="shared" si="27"/>
        <v>600000</v>
      </c>
      <c r="AS31" s="88">
        <f t="shared" si="27"/>
        <v>1057774.2356918815</v>
      </c>
      <c r="AT31" s="88">
        <f t="shared" si="32"/>
        <v>108000</v>
      </c>
      <c r="AU31" s="88">
        <f t="shared" si="28"/>
        <v>143060.96976015001</v>
      </c>
      <c r="AV31" s="88">
        <f t="shared" si="29"/>
        <v>1908835.2054520317</v>
      </c>
      <c r="AW31" s="88">
        <v>630000</v>
      </c>
      <c r="AX31" s="88"/>
      <c r="AY31" s="88"/>
      <c r="AZ31" s="88"/>
      <c r="BA31" s="88"/>
      <c r="BB31" s="88">
        <f t="shared" si="30"/>
        <v>1278835.2054520317</v>
      </c>
      <c r="BC31" s="88"/>
      <c r="BD31" s="88">
        <f t="shared" si="33"/>
        <v>1278835.2054520317</v>
      </c>
      <c r="BE31" s="83">
        <v>0</v>
      </c>
      <c r="BF31" s="90">
        <f t="shared" si="31"/>
        <v>1278835.2054520317</v>
      </c>
    </row>
    <row r="32" spans="1:58" s="16" customFormat="1" ht="15.75" x14ac:dyDescent="0.3">
      <c r="A32" s="208" t="s">
        <v>433</v>
      </c>
      <c r="B32" s="145" t="s">
        <v>111</v>
      </c>
      <c r="C32" s="146">
        <v>0</v>
      </c>
      <c r="D32" s="89"/>
      <c r="E32" s="88"/>
      <c r="F32" s="88"/>
      <c r="G32" s="88"/>
      <c r="H32" s="88">
        <v>609000</v>
      </c>
      <c r="I32" s="88">
        <f t="shared" si="10"/>
        <v>0</v>
      </c>
      <c r="J32" s="88">
        <f t="shared" si="11"/>
        <v>609000</v>
      </c>
      <c r="K32" s="158">
        <v>9000</v>
      </c>
      <c r="L32" s="88">
        <f t="shared" si="12"/>
        <v>846.77412172419099</v>
      </c>
      <c r="M32" s="88">
        <f t="shared" si="13"/>
        <v>618846.77412172419</v>
      </c>
      <c r="N32" s="88">
        <v>9000</v>
      </c>
      <c r="O32" s="88">
        <f t="shared" si="14"/>
        <v>169.77351763469881</v>
      </c>
      <c r="P32" s="88">
        <f t="shared" si="15"/>
        <v>628016.54763935891</v>
      </c>
      <c r="Q32" s="88">
        <v>9000</v>
      </c>
      <c r="R32" s="88">
        <f t="shared" si="16"/>
        <v>5781.3057604120222</v>
      </c>
      <c r="S32" s="88">
        <f t="shared" si="17"/>
        <v>642797.85339977092</v>
      </c>
      <c r="T32" s="88">
        <v>9000</v>
      </c>
      <c r="U32" s="88">
        <f t="shared" si="18"/>
        <v>847.5599283924854</v>
      </c>
      <c r="V32" s="88">
        <f t="shared" ref="V32:V38" si="34">+S32+T32+U32</f>
        <v>652645.41332816344</v>
      </c>
      <c r="W32" s="88">
        <v>9000</v>
      </c>
      <c r="X32" s="88">
        <f t="shared" si="20"/>
        <v>2095.6773380340383</v>
      </c>
      <c r="Y32" s="88">
        <f t="shared" si="0"/>
        <v>663741.09066619747</v>
      </c>
      <c r="Z32" s="88">
        <v>6000</v>
      </c>
      <c r="AA32" s="88">
        <f t="shared" si="21"/>
        <v>1406.8500986923409</v>
      </c>
      <c r="AB32" s="88">
        <f t="shared" ref="AB32:AB38" si="35">+Y32+Z32+AA32</f>
        <v>671147.94076488982</v>
      </c>
      <c r="AC32" s="88">
        <v>9000</v>
      </c>
      <c r="AD32" s="88">
        <f t="shared" si="22"/>
        <v>1802.4729754717389</v>
      </c>
      <c r="AE32" s="88">
        <f t="shared" ref="AE32:AE38" si="36">+AB32+AC32+AD32</f>
        <v>681950.41374036158</v>
      </c>
      <c r="AF32" s="88">
        <v>9000</v>
      </c>
      <c r="AG32" s="88">
        <f t="shared" ref="AG32:AG38" si="37">+(0/20256265)*(AE32+AF32)</f>
        <v>0</v>
      </c>
      <c r="AH32" s="88">
        <f t="shared" ref="AH32:AH38" si="38">+AE32+AF32+AG32</f>
        <v>690950.41374036158</v>
      </c>
      <c r="AI32" s="88">
        <v>9000</v>
      </c>
      <c r="AJ32" s="88">
        <f t="shared" si="23"/>
        <v>532.08222342838212</v>
      </c>
      <c r="AK32" s="88">
        <f t="shared" ref="AK32:AK38" si="39">+AH32+AI32+AJ32</f>
        <v>700482.49596378999</v>
      </c>
      <c r="AL32" s="88">
        <v>9000</v>
      </c>
      <c r="AM32" s="88">
        <f t="shared" ref="AM32:AM38" si="40">+(0/(23068716+171000))*(AK32+AL32)</f>
        <v>0</v>
      </c>
      <c r="AN32" s="88">
        <f t="shared" ref="AN32:AN38" si="41">+AK32+AL32+AM32</f>
        <v>709482.49596378999</v>
      </c>
      <c r="AO32" s="88">
        <v>9000</v>
      </c>
      <c r="AP32" s="88">
        <f t="shared" ref="AP32:AP38" si="42">+(0/20000)*(AN32+AO32)</f>
        <v>0</v>
      </c>
      <c r="AQ32" s="88">
        <f t="shared" ref="AQ32:AQ38" si="43">+AN32+AO32+AP32</f>
        <v>718482.49596378999</v>
      </c>
      <c r="AR32" s="88">
        <f t="shared" ref="AR32:AR38" si="44">+C32</f>
        <v>0</v>
      </c>
      <c r="AS32" s="88">
        <f t="shared" ref="AS32:AS38" si="45">+D32</f>
        <v>0</v>
      </c>
      <c r="AT32" s="88">
        <f t="shared" ref="AT32:AT38" si="46">+H32+K32+N32+Q32+T32+W32+Z32+AC32+AF32+AI32+AL32+AO32</f>
        <v>705000</v>
      </c>
      <c r="AU32" s="88">
        <f t="shared" ref="AU32:AU38" si="47">+F32+I32+L32+O32+R32+U32+X32+AA32+AD32+AG32+AJ32+AM32+AP32</f>
        <v>13482.495963789899</v>
      </c>
      <c r="AV32" s="88">
        <f t="shared" ref="AV32:AV38" si="48">+AN32+AO32+AP32</f>
        <v>718482.49596378999</v>
      </c>
      <c r="AW32" s="88">
        <v>630000</v>
      </c>
      <c r="AX32" s="88"/>
      <c r="AY32" s="88"/>
      <c r="AZ32" s="88"/>
      <c r="BA32" s="88"/>
      <c r="BB32" s="88">
        <f t="shared" si="30"/>
        <v>88482.495963789988</v>
      </c>
      <c r="BC32" s="88"/>
      <c r="BD32" s="88">
        <f t="shared" ref="BD32:BD38" si="49">+BB32</f>
        <v>88482.495963789988</v>
      </c>
      <c r="BE32" s="83">
        <v>0</v>
      </c>
      <c r="BF32" s="90">
        <f t="shared" ref="BF32:BF38" si="50">+BD32-BE32</f>
        <v>88482.495963789988</v>
      </c>
    </row>
    <row r="33" spans="1:58" s="16" customFormat="1" ht="15.75" x14ac:dyDescent="0.3">
      <c r="A33" s="208" t="s">
        <v>460</v>
      </c>
      <c r="B33" s="145" t="s">
        <v>187</v>
      </c>
      <c r="C33" s="146">
        <v>0</v>
      </c>
      <c r="D33" s="89"/>
      <c r="E33" s="88"/>
      <c r="F33" s="88"/>
      <c r="G33" s="88"/>
      <c r="H33" s="88">
        <v>9000</v>
      </c>
      <c r="I33" s="88">
        <f t="shared" si="10"/>
        <v>0</v>
      </c>
      <c r="J33" s="88">
        <f t="shared" si="11"/>
        <v>9000</v>
      </c>
      <c r="K33" s="135">
        <v>9000</v>
      </c>
      <c r="L33" s="88"/>
      <c r="M33" s="88">
        <f t="shared" si="13"/>
        <v>18000</v>
      </c>
      <c r="N33" s="88">
        <v>9000</v>
      </c>
      <c r="O33" s="88">
        <f t="shared" ref="O33:O36" si="51">+(0/(20587216+246000))*(M33+N33)</f>
        <v>0</v>
      </c>
      <c r="P33" s="88">
        <f t="shared" si="15"/>
        <v>27000</v>
      </c>
      <c r="Q33" s="88">
        <v>9000</v>
      </c>
      <c r="R33" s="88">
        <f t="shared" ref="R33:R36" si="52">+(0/20256265)*(P33+Q33)</f>
        <v>0</v>
      </c>
      <c r="S33" s="88">
        <f t="shared" si="17"/>
        <v>36000</v>
      </c>
      <c r="T33" s="88">
        <v>6000</v>
      </c>
      <c r="U33" s="88">
        <f t="shared" ref="U33:U38" si="53">+(0/20256265)*(S33+T33)</f>
        <v>0</v>
      </c>
      <c r="V33" s="88">
        <f t="shared" si="34"/>
        <v>42000</v>
      </c>
      <c r="W33" s="88">
        <v>9000</v>
      </c>
      <c r="X33" s="88">
        <v>0</v>
      </c>
      <c r="Y33" s="88">
        <f t="shared" si="0"/>
        <v>51000</v>
      </c>
      <c r="Z33" s="88">
        <v>9000</v>
      </c>
      <c r="AA33" s="88">
        <f t="shared" ref="AA33:AA38" si="54">+(0/(22195216+233000))*(Y33+Z33)</f>
        <v>0</v>
      </c>
      <c r="AB33" s="88">
        <f t="shared" si="35"/>
        <v>60000</v>
      </c>
      <c r="AC33" s="88">
        <v>0</v>
      </c>
      <c r="AD33" s="88">
        <f t="shared" ref="AD33:AD38" si="55">+(0/20256265)*(AB33+AC33)</f>
        <v>0</v>
      </c>
      <c r="AE33" s="88">
        <f t="shared" si="36"/>
        <v>60000</v>
      </c>
      <c r="AF33" s="88">
        <v>0</v>
      </c>
      <c r="AG33" s="88">
        <f t="shared" si="37"/>
        <v>0</v>
      </c>
      <c r="AH33" s="88">
        <f t="shared" si="38"/>
        <v>60000</v>
      </c>
      <c r="AI33" s="88">
        <v>0</v>
      </c>
      <c r="AJ33" s="88">
        <f t="shared" ref="AJ33:AJ38" si="56">+(0/20256265)*(AH33+AI33)</f>
        <v>0</v>
      </c>
      <c r="AK33" s="88">
        <f t="shared" si="39"/>
        <v>60000</v>
      </c>
      <c r="AL33" s="88">
        <v>15000</v>
      </c>
      <c r="AM33" s="88">
        <f t="shared" si="40"/>
        <v>0</v>
      </c>
      <c r="AN33" s="88">
        <f t="shared" si="41"/>
        <v>75000</v>
      </c>
      <c r="AO33" s="88">
        <v>9000</v>
      </c>
      <c r="AP33" s="88">
        <f t="shared" si="42"/>
        <v>0</v>
      </c>
      <c r="AQ33" s="88">
        <f t="shared" si="43"/>
        <v>84000</v>
      </c>
      <c r="AR33" s="88">
        <f t="shared" si="44"/>
        <v>0</v>
      </c>
      <c r="AS33" s="88">
        <f t="shared" si="45"/>
        <v>0</v>
      </c>
      <c r="AT33" s="88">
        <f t="shared" si="46"/>
        <v>84000</v>
      </c>
      <c r="AU33" s="88">
        <f t="shared" si="47"/>
        <v>0</v>
      </c>
      <c r="AV33" s="88">
        <f t="shared" si="48"/>
        <v>84000</v>
      </c>
      <c r="AW33" s="88">
        <v>630000</v>
      </c>
      <c r="AX33" s="88"/>
      <c r="AY33" s="88"/>
      <c r="AZ33" s="88"/>
      <c r="BA33" s="88"/>
      <c r="BB33" s="88">
        <f t="shared" si="30"/>
        <v>-546000</v>
      </c>
      <c r="BC33" s="88"/>
      <c r="BD33" s="88">
        <f t="shared" si="49"/>
        <v>-546000</v>
      </c>
      <c r="BE33" s="83">
        <v>0</v>
      </c>
      <c r="BF33" s="90">
        <f t="shared" si="50"/>
        <v>-546000</v>
      </c>
    </row>
    <row r="34" spans="1:58" s="16" customFormat="1" ht="15.75" x14ac:dyDescent="0.3">
      <c r="A34" s="208" t="s">
        <v>461</v>
      </c>
      <c r="B34" s="145" t="s">
        <v>165</v>
      </c>
      <c r="C34" s="146">
        <v>0</v>
      </c>
      <c r="D34" s="89"/>
      <c r="E34" s="88"/>
      <c r="F34" s="88"/>
      <c r="G34" s="88"/>
      <c r="H34" s="88">
        <v>9000</v>
      </c>
      <c r="I34" s="88">
        <f t="shared" si="10"/>
        <v>0</v>
      </c>
      <c r="J34" s="88">
        <f t="shared" si="11"/>
        <v>9000</v>
      </c>
      <c r="K34" s="158">
        <v>9000</v>
      </c>
      <c r="L34" s="88"/>
      <c r="M34" s="88">
        <f t="shared" si="13"/>
        <v>18000</v>
      </c>
      <c r="N34" s="88">
        <v>9000</v>
      </c>
      <c r="O34" s="88">
        <f t="shared" si="51"/>
        <v>0</v>
      </c>
      <c r="P34" s="88">
        <f t="shared" si="15"/>
        <v>27000</v>
      </c>
      <c r="Q34" s="88">
        <v>9000</v>
      </c>
      <c r="R34" s="88">
        <f t="shared" si="52"/>
        <v>0</v>
      </c>
      <c r="S34" s="88">
        <f t="shared" si="17"/>
        <v>36000</v>
      </c>
      <c r="T34" s="88">
        <v>9000</v>
      </c>
      <c r="U34" s="88">
        <f t="shared" si="53"/>
        <v>0</v>
      </c>
      <c r="V34" s="88">
        <f t="shared" si="34"/>
        <v>45000</v>
      </c>
      <c r="W34" s="88">
        <v>9000</v>
      </c>
      <c r="X34" s="88">
        <v>0</v>
      </c>
      <c r="Y34" s="88">
        <f t="shared" si="0"/>
        <v>54000</v>
      </c>
      <c r="Z34" s="88">
        <v>9000</v>
      </c>
      <c r="AA34" s="88">
        <f t="shared" si="54"/>
        <v>0</v>
      </c>
      <c r="AB34" s="88">
        <f t="shared" si="35"/>
        <v>63000</v>
      </c>
      <c r="AC34" s="88">
        <v>9000</v>
      </c>
      <c r="AD34" s="88">
        <f t="shared" si="55"/>
        <v>0</v>
      </c>
      <c r="AE34" s="88">
        <f t="shared" si="36"/>
        <v>72000</v>
      </c>
      <c r="AF34" s="88">
        <f>9000+177500</f>
        <v>186500</v>
      </c>
      <c r="AG34" s="88">
        <f t="shared" si="37"/>
        <v>0</v>
      </c>
      <c r="AH34" s="88">
        <f t="shared" si="38"/>
        <v>258500</v>
      </c>
      <c r="AI34" s="88">
        <v>9000</v>
      </c>
      <c r="AJ34" s="88">
        <f t="shared" si="56"/>
        <v>0</v>
      </c>
      <c r="AK34" s="88">
        <f t="shared" si="39"/>
        <v>267500</v>
      </c>
      <c r="AL34" s="88">
        <v>9000</v>
      </c>
      <c r="AM34" s="88">
        <f t="shared" si="40"/>
        <v>0</v>
      </c>
      <c r="AN34" s="88">
        <f t="shared" si="41"/>
        <v>276500</v>
      </c>
      <c r="AO34" s="88">
        <v>9000</v>
      </c>
      <c r="AP34" s="88">
        <f t="shared" si="42"/>
        <v>0</v>
      </c>
      <c r="AQ34" s="88">
        <f t="shared" si="43"/>
        <v>285500</v>
      </c>
      <c r="AR34" s="88">
        <f t="shared" si="44"/>
        <v>0</v>
      </c>
      <c r="AS34" s="88">
        <f t="shared" si="45"/>
        <v>0</v>
      </c>
      <c r="AT34" s="88">
        <f t="shared" si="46"/>
        <v>285500</v>
      </c>
      <c r="AU34" s="88">
        <f t="shared" si="47"/>
        <v>0</v>
      </c>
      <c r="AV34" s="88">
        <f t="shared" si="48"/>
        <v>285500</v>
      </c>
      <c r="AW34" s="88">
        <v>630000</v>
      </c>
      <c r="AX34" s="88"/>
      <c r="AY34" s="88"/>
      <c r="AZ34" s="88"/>
      <c r="BA34" s="88"/>
      <c r="BB34" s="88">
        <f t="shared" si="30"/>
        <v>-344500</v>
      </c>
      <c r="BC34" s="88"/>
      <c r="BD34" s="88">
        <f t="shared" si="49"/>
        <v>-344500</v>
      </c>
      <c r="BE34" s="83">
        <v>0</v>
      </c>
      <c r="BF34" s="90">
        <f t="shared" si="50"/>
        <v>-344500</v>
      </c>
    </row>
    <row r="35" spans="1:58" s="16" customFormat="1" ht="15.75" x14ac:dyDescent="0.3">
      <c r="A35" s="208" t="s">
        <v>453</v>
      </c>
      <c r="B35" s="145" t="s">
        <v>166</v>
      </c>
      <c r="C35" s="146">
        <v>0</v>
      </c>
      <c r="D35" s="89"/>
      <c r="E35" s="88"/>
      <c r="F35" s="88"/>
      <c r="G35" s="88"/>
      <c r="H35" s="88">
        <v>9000</v>
      </c>
      <c r="I35" s="88">
        <f t="shared" si="10"/>
        <v>0</v>
      </c>
      <c r="J35" s="88">
        <f t="shared" si="11"/>
        <v>9000</v>
      </c>
      <c r="K35" s="135">
        <v>9000</v>
      </c>
      <c r="L35" s="88"/>
      <c r="M35" s="88">
        <f t="shared" si="13"/>
        <v>18000</v>
      </c>
      <c r="N35" s="88">
        <v>19000</v>
      </c>
      <c r="O35" s="88">
        <f t="shared" si="51"/>
        <v>0</v>
      </c>
      <c r="P35" s="88">
        <f t="shared" si="15"/>
        <v>37000</v>
      </c>
      <c r="Q35" s="88">
        <v>19000</v>
      </c>
      <c r="R35" s="88">
        <f t="shared" si="52"/>
        <v>0</v>
      </c>
      <c r="S35" s="88">
        <f t="shared" si="17"/>
        <v>56000</v>
      </c>
      <c r="T35" s="88">
        <v>409000</v>
      </c>
      <c r="U35" s="88">
        <f t="shared" si="53"/>
        <v>0</v>
      </c>
      <c r="V35" s="88">
        <f t="shared" si="34"/>
        <v>465000</v>
      </c>
      <c r="W35" s="88">
        <v>14000</v>
      </c>
      <c r="X35" s="88">
        <v>0</v>
      </c>
      <c r="Y35" s="88">
        <f t="shared" si="0"/>
        <v>479000</v>
      </c>
      <c r="Z35" s="88">
        <v>19000</v>
      </c>
      <c r="AA35" s="88">
        <f t="shared" si="54"/>
        <v>0</v>
      </c>
      <c r="AB35" s="88">
        <f t="shared" si="35"/>
        <v>498000</v>
      </c>
      <c r="AC35" s="88">
        <v>19000</v>
      </c>
      <c r="AD35" s="88">
        <f t="shared" si="55"/>
        <v>0</v>
      </c>
      <c r="AE35" s="88">
        <f t="shared" si="36"/>
        <v>517000</v>
      </c>
      <c r="AF35" s="88">
        <f>19000+127500</f>
        <v>146500</v>
      </c>
      <c r="AG35" s="88">
        <f t="shared" si="37"/>
        <v>0</v>
      </c>
      <c r="AH35" s="88">
        <f t="shared" si="38"/>
        <v>663500</v>
      </c>
      <c r="AI35" s="88">
        <v>19000</v>
      </c>
      <c r="AJ35" s="88">
        <f t="shared" ref="AJ35:AJ36" si="57">+((20000/(26194827+596000-60000-258500-9000-153468))*(AH35+AI35))</f>
        <v>518.8169195433544</v>
      </c>
      <c r="AK35" s="88">
        <f t="shared" si="39"/>
        <v>683018.81691954331</v>
      </c>
      <c r="AL35" s="88">
        <v>19000</v>
      </c>
      <c r="AM35" s="88">
        <f t="shared" si="40"/>
        <v>0</v>
      </c>
      <c r="AN35" s="88">
        <f t="shared" si="41"/>
        <v>702018.81691954331</v>
      </c>
      <c r="AO35" s="88">
        <v>19000</v>
      </c>
      <c r="AP35" s="88">
        <f t="shared" si="42"/>
        <v>0</v>
      </c>
      <c r="AQ35" s="88">
        <f t="shared" si="43"/>
        <v>721018.81691954331</v>
      </c>
      <c r="AR35" s="88">
        <f t="shared" si="44"/>
        <v>0</v>
      </c>
      <c r="AS35" s="88">
        <f t="shared" si="45"/>
        <v>0</v>
      </c>
      <c r="AT35" s="88">
        <f t="shared" si="46"/>
        <v>720500</v>
      </c>
      <c r="AU35" s="88">
        <f t="shared" si="47"/>
        <v>518.8169195433544</v>
      </c>
      <c r="AV35" s="88">
        <f t="shared" si="48"/>
        <v>721018.81691954331</v>
      </c>
      <c r="AW35" s="88">
        <v>630000</v>
      </c>
      <c r="AX35" s="88"/>
      <c r="AY35" s="88"/>
      <c r="AZ35" s="88"/>
      <c r="BA35" s="88"/>
      <c r="BB35" s="88">
        <f t="shared" si="30"/>
        <v>91018.816919543315</v>
      </c>
      <c r="BC35" s="88"/>
      <c r="BD35" s="88">
        <f t="shared" si="49"/>
        <v>91018.816919543315</v>
      </c>
      <c r="BE35" s="83">
        <v>0</v>
      </c>
      <c r="BF35" s="90">
        <f t="shared" si="50"/>
        <v>91018.816919543315</v>
      </c>
    </row>
    <row r="36" spans="1:58" s="16" customFormat="1" ht="15.75" x14ac:dyDescent="0.3">
      <c r="A36" s="208" t="s">
        <v>462</v>
      </c>
      <c r="B36" s="145" t="s">
        <v>224</v>
      </c>
      <c r="C36" s="146">
        <v>0</v>
      </c>
      <c r="D36" s="89"/>
      <c r="E36" s="88"/>
      <c r="F36" s="88"/>
      <c r="G36" s="88"/>
      <c r="H36" s="88">
        <v>9000</v>
      </c>
      <c r="I36" s="88">
        <f t="shared" si="10"/>
        <v>0</v>
      </c>
      <c r="J36" s="88">
        <f t="shared" si="11"/>
        <v>9000</v>
      </c>
      <c r="K36" s="135">
        <v>9000</v>
      </c>
      <c r="L36" s="88"/>
      <c r="M36" s="88">
        <f t="shared" si="13"/>
        <v>18000</v>
      </c>
      <c r="N36" s="88">
        <v>44000</v>
      </c>
      <c r="O36" s="88">
        <f t="shared" si="51"/>
        <v>0</v>
      </c>
      <c r="P36" s="88">
        <f t="shared" si="15"/>
        <v>62000</v>
      </c>
      <c r="Q36" s="88">
        <v>66000</v>
      </c>
      <c r="R36" s="88">
        <f t="shared" si="52"/>
        <v>0</v>
      </c>
      <c r="S36" s="88">
        <f t="shared" si="17"/>
        <v>128000</v>
      </c>
      <c r="T36" s="88">
        <v>69000</v>
      </c>
      <c r="U36" s="88">
        <f t="shared" si="53"/>
        <v>0</v>
      </c>
      <c r="V36" s="88">
        <f t="shared" si="34"/>
        <v>197000</v>
      </c>
      <c r="W36" s="88">
        <v>69000</v>
      </c>
      <c r="X36" s="88">
        <v>0</v>
      </c>
      <c r="Y36" s="88">
        <f t="shared" si="0"/>
        <v>266000</v>
      </c>
      <c r="Z36" s="88">
        <v>69000</v>
      </c>
      <c r="AA36" s="88">
        <f t="shared" si="54"/>
        <v>0</v>
      </c>
      <c r="AB36" s="88">
        <f t="shared" si="35"/>
        <v>335000</v>
      </c>
      <c r="AC36" s="88">
        <v>69000</v>
      </c>
      <c r="AD36" s="88">
        <f t="shared" si="55"/>
        <v>0</v>
      </c>
      <c r="AE36" s="88">
        <f t="shared" si="36"/>
        <v>404000</v>
      </c>
      <c r="AF36" s="88">
        <v>9000</v>
      </c>
      <c r="AG36" s="88">
        <f t="shared" si="37"/>
        <v>0</v>
      </c>
      <c r="AH36" s="88">
        <f t="shared" si="38"/>
        <v>413000</v>
      </c>
      <c r="AI36" s="88">
        <v>276000</v>
      </c>
      <c r="AJ36" s="88">
        <f t="shared" si="57"/>
        <v>523.758033062815</v>
      </c>
      <c r="AK36" s="88">
        <f t="shared" si="39"/>
        <v>689523.7580330628</v>
      </c>
      <c r="AL36" s="88">
        <v>39000</v>
      </c>
      <c r="AM36" s="88">
        <f t="shared" si="40"/>
        <v>0</v>
      </c>
      <c r="AN36" s="88">
        <f t="shared" si="41"/>
        <v>728523.7580330628</v>
      </c>
      <c r="AO36" s="88">
        <v>9000</v>
      </c>
      <c r="AP36" s="88">
        <f t="shared" si="42"/>
        <v>0</v>
      </c>
      <c r="AQ36" s="88">
        <f t="shared" si="43"/>
        <v>737523.7580330628</v>
      </c>
      <c r="AR36" s="88">
        <f t="shared" si="44"/>
        <v>0</v>
      </c>
      <c r="AS36" s="88">
        <f t="shared" si="45"/>
        <v>0</v>
      </c>
      <c r="AT36" s="88">
        <f t="shared" si="46"/>
        <v>737000</v>
      </c>
      <c r="AU36" s="88">
        <f t="shared" si="47"/>
        <v>523.758033062815</v>
      </c>
      <c r="AV36" s="88">
        <f t="shared" si="48"/>
        <v>737523.7580330628</v>
      </c>
      <c r="AW36" s="88">
        <v>630000</v>
      </c>
      <c r="AX36" s="88"/>
      <c r="AY36" s="88"/>
      <c r="AZ36" s="88"/>
      <c r="BA36" s="88"/>
      <c r="BB36" s="88">
        <f t="shared" si="30"/>
        <v>107523.7580330628</v>
      </c>
      <c r="BC36" s="88"/>
      <c r="BD36" s="88">
        <f t="shared" si="49"/>
        <v>107523.7580330628</v>
      </c>
      <c r="BE36" s="83">
        <v>0</v>
      </c>
      <c r="BF36" s="90">
        <f t="shared" si="50"/>
        <v>107523.7580330628</v>
      </c>
    </row>
    <row r="37" spans="1:58" s="16" customFormat="1" ht="15.75" x14ac:dyDescent="0.3">
      <c r="A37" s="208" t="s">
        <v>463</v>
      </c>
      <c r="B37" s="145" t="s">
        <v>386</v>
      </c>
      <c r="C37" s="146"/>
      <c r="D37" s="89"/>
      <c r="E37" s="88"/>
      <c r="F37" s="88"/>
      <c r="G37" s="88"/>
      <c r="H37" s="88"/>
      <c r="I37" s="88">
        <f t="shared" si="10"/>
        <v>0</v>
      </c>
      <c r="J37" s="88">
        <f t="shared" si="11"/>
        <v>0</v>
      </c>
      <c r="K37" s="135"/>
      <c r="L37" s="88"/>
      <c r="M37" s="88"/>
      <c r="N37" s="88"/>
      <c r="O37" s="88"/>
      <c r="P37" s="88"/>
      <c r="Q37" s="88"/>
      <c r="R37" s="88"/>
      <c r="S37" s="88"/>
      <c r="T37" s="88">
        <v>0</v>
      </c>
      <c r="U37" s="88">
        <f t="shared" si="53"/>
        <v>0</v>
      </c>
      <c r="V37" s="88">
        <f t="shared" si="34"/>
        <v>0</v>
      </c>
      <c r="W37" s="88">
        <v>0</v>
      </c>
      <c r="X37" s="88">
        <f t="shared" ref="X37:X38" si="58">+(74200/(23849859+426500))*(V37+W37)</f>
        <v>0</v>
      </c>
      <c r="Y37" s="88">
        <f t="shared" si="0"/>
        <v>0</v>
      </c>
      <c r="Z37" s="299">
        <v>153468</v>
      </c>
      <c r="AA37" s="299">
        <f t="shared" si="54"/>
        <v>0</v>
      </c>
      <c r="AB37" s="299">
        <f t="shared" si="35"/>
        <v>153468</v>
      </c>
      <c r="AC37" s="88">
        <v>0</v>
      </c>
      <c r="AD37" s="88">
        <f t="shared" si="55"/>
        <v>0</v>
      </c>
      <c r="AE37" s="88">
        <f t="shared" si="36"/>
        <v>153468</v>
      </c>
      <c r="AF37" s="88">
        <v>0</v>
      </c>
      <c r="AG37" s="88">
        <f t="shared" si="37"/>
        <v>0</v>
      </c>
      <c r="AH37" s="88">
        <f t="shared" si="38"/>
        <v>153468</v>
      </c>
      <c r="AI37" s="88">
        <v>0</v>
      </c>
      <c r="AJ37" s="88">
        <f t="shared" si="56"/>
        <v>0</v>
      </c>
      <c r="AK37" s="88">
        <f t="shared" si="39"/>
        <v>153468</v>
      </c>
      <c r="AL37" s="88">
        <v>0</v>
      </c>
      <c r="AM37" s="88">
        <f t="shared" si="40"/>
        <v>0</v>
      </c>
      <c r="AN37" s="88">
        <f t="shared" si="41"/>
        <v>153468</v>
      </c>
      <c r="AO37" s="88">
        <v>0</v>
      </c>
      <c r="AP37" s="88">
        <f t="shared" si="42"/>
        <v>0</v>
      </c>
      <c r="AQ37" s="88">
        <f t="shared" si="43"/>
        <v>153468</v>
      </c>
      <c r="AR37" s="88">
        <f t="shared" si="44"/>
        <v>0</v>
      </c>
      <c r="AS37" s="88">
        <f t="shared" si="45"/>
        <v>0</v>
      </c>
      <c r="AT37" s="88">
        <f t="shared" si="46"/>
        <v>153468</v>
      </c>
      <c r="AU37" s="88">
        <f t="shared" si="47"/>
        <v>0</v>
      </c>
      <c r="AV37" s="88">
        <f t="shared" si="48"/>
        <v>153468</v>
      </c>
      <c r="AW37" s="88"/>
      <c r="AX37" s="88"/>
      <c r="AY37" s="88"/>
      <c r="AZ37" s="88"/>
      <c r="BA37" s="88"/>
      <c r="BB37" s="88">
        <f t="shared" si="30"/>
        <v>153468</v>
      </c>
      <c r="BC37" s="88"/>
      <c r="BD37" s="88">
        <f t="shared" si="49"/>
        <v>153468</v>
      </c>
      <c r="BE37" s="83">
        <v>0</v>
      </c>
      <c r="BF37" s="90">
        <f t="shared" si="50"/>
        <v>153468</v>
      </c>
    </row>
    <row r="38" spans="1:58" s="16" customFormat="1" ht="15.75" x14ac:dyDescent="0.3">
      <c r="A38" s="83"/>
      <c r="B38" s="145"/>
      <c r="C38" s="146"/>
      <c r="D38" s="89"/>
      <c r="E38" s="88"/>
      <c r="F38" s="88"/>
      <c r="G38" s="88"/>
      <c r="H38" s="88"/>
      <c r="I38" s="88">
        <f t="shared" si="10"/>
        <v>0</v>
      </c>
      <c r="J38" s="88">
        <f t="shared" si="11"/>
        <v>0</v>
      </c>
      <c r="K38" s="159"/>
      <c r="L38" s="88"/>
      <c r="M38" s="88"/>
      <c r="N38" s="88"/>
      <c r="O38" s="88"/>
      <c r="P38" s="88"/>
      <c r="Q38" s="88"/>
      <c r="R38" s="88"/>
      <c r="S38" s="88"/>
      <c r="T38" s="88">
        <v>0</v>
      </c>
      <c r="U38" s="88">
        <f t="shared" si="53"/>
        <v>0</v>
      </c>
      <c r="V38" s="88">
        <f t="shared" si="34"/>
        <v>0</v>
      </c>
      <c r="W38" s="88">
        <v>0</v>
      </c>
      <c r="X38" s="88">
        <f t="shared" si="58"/>
        <v>0</v>
      </c>
      <c r="Y38" s="88">
        <f t="shared" si="0"/>
        <v>0</v>
      </c>
      <c r="Z38" s="88">
        <v>0</v>
      </c>
      <c r="AA38" s="88">
        <f t="shared" si="54"/>
        <v>0</v>
      </c>
      <c r="AB38" s="88">
        <f t="shared" si="35"/>
        <v>0</v>
      </c>
      <c r="AC38" s="88">
        <v>0</v>
      </c>
      <c r="AD38" s="88">
        <f t="shared" si="55"/>
        <v>0</v>
      </c>
      <c r="AE38" s="88">
        <f t="shared" si="36"/>
        <v>0</v>
      </c>
      <c r="AF38" s="88">
        <v>0</v>
      </c>
      <c r="AG38" s="88">
        <f t="shared" si="37"/>
        <v>0</v>
      </c>
      <c r="AH38" s="88">
        <f t="shared" si="38"/>
        <v>0</v>
      </c>
      <c r="AI38" s="88">
        <v>0</v>
      </c>
      <c r="AJ38" s="88">
        <f t="shared" si="56"/>
        <v>0</v>
      </c>
      <c r="AK38" s="88">
        <f t="shared" si="39"/>
        <v>0</v>
      </c>
      <c r="AL38" s="88">
        <v>0</v>
      </c>
      <c r="AM38" s="88">
        <f t="shared" si="40"/>
        <v>0</v>
      </c>
      <c r="AN38" s="88">
        <f t="shared" si="41"/>
        <v>0</v>
      </c>
      <c r="AO38" s="88">
        <v>0</v>
      </c>
      <c r="AP38" s="88">
        <f t="shared" si="42"/>
        <v>0</v>
      </c>
      <c r="AQ38" s="88">
        <f t="shared" si="43"/>
        <v>0</v>
      </c>
      <c r="AR38" s="88">
        <f t="shared" si="44"/>
        <v>0</v>
      </c>
      <c r="AS38" s="88">
        <f t="shared" si="45"/>
        <v>0</v>
      </c>
      <c r="AT38" s="88">
        <f t="shared" si="46"/>
        <v>0</v>
      </c>
      <c r="AU38" s="88">
        <f t="shared" si="47"/>
        <v>0</v>
      </c>
      <c r="AV38" s="88">
        <f t="shared" si="48"/>
        <v>0</v>
      </c>
      <c r="AW38" s="88"/>
      <c r="AX38" s="88"/>
      <c r="AY38" s="88"/>
      <c r="AZ38" s="88"/>
      <c r="BA38" s="88"/>
      <c r="BB38" s="88">
        <f t="shared" si="30"/>
        <v>0</v>
      </c>
      <c r="BC38" s="88"/>
      <c r="BD38" s="88">
        <f t="shared" si="49"/>
        <v>0</v>
      </c>
      <c r="BE38" s="83">
        <v>0</v>
      </c>
      <c r="BF38" s="90">
        <f t="shared" si="50"/>
        <v>0</v>
      </c>
    </row>
    <row r="39" spans="1:58" ht="15.75" x14ac:dyDescent="0.3">
      <c r="A39" s="276" t="s">
        <v>108</v>
      </c>
      <c r="B39" s="277"/>
      <c r="C39" s="91">
        <f>SUM(C5:C36)</f>
        <v>15600000</v>
      </c>
      <c r="D39" s="92">
        <f>SUM(D5:D31)</f>
        <v>4361559.5618113521</v>
      </c>
      <c r="E39" s="92">
        <f>SUM(E5:E31)</f>
        <v>19961559.561811358</v>
      </c>
      <c r="F39" s="92">
        <f>SUM(F5:F31)</f>
        <v>1267999.9721653415</v>
      </c>
      <c r="G39" s="92">
        <f>SUM(G5:G31)</f>
        <v>21229559.533976696</v>
      </c>
      <c r="H39" s="92">
        <f>SUM(H5:H36)+640701</f>
        <v>1050000</v>
      </c>
      <c r="I39" s="92">
        <f t="shared" ref="I39" si="59">SUM(I5:I31)</f>
        <v>0</v>
      </c>
      <c r="J39" s="92">
        <f>SUM(J5:J38)</f>
        <v>21638858.533976696</v>
      </c>
      <c r="K39" s="92">
        <f t="shared" ref="K39:M39" si="60">SUM(K5:K38)</f>
        <v>328000</v>
      </c>
      <c r="L39" s="92">
        <f t="shared" si="60"/>
        <v>29999.999361462018</v>
      </c>
      <c r="M39" s="92">
        <f t="shared" si="60"/>
        <v>21996858.533338156</v>
      </c>
      <c r="N39" s="92">
        <f t="shared" ref="N39" si="61">SUM(N5:N38)</f>
        <v>345000</v>
      </c>
      <c r="O39" s="92">
        <f t="shared" ref="O39" si="62">SUM(O5:O38)</f>
        <v>5999.999873811852</v>
      </c>
      <c r="P39" s="92">
        <f t="shared" ref="P39" si="63">SUM(P5:P38)</f>
        <v>22347858.533211969</v>
      </c>
      <c r="Q39" s="92">
        <f t="shared" ref="Q39" si="64">SUM(Q5:Q38)</f>
        <v>386000</v>
      </c>
      <c r="R39" s="92">
        <f t="shared" ref="R39" si="65">SUM(R5:R38)</f>
        <v>203999.99576361969</v>
      </c>
      <c r="S39" s="92">
        <f t="shared" ref="S39" si="66">SUM(S5:S38)</f>
        <v>22937858.528975591</v>
      </c>
      <c r="T39" s="92">
        <f t="shared" ref="T39" si="67">SUM(T5:T38)</f>
        <v>882000</v>
      </c>
      <c r="U39" s="92">
        <f t="shared" ref="U39" si="68">SUM(U5:U38)</f>
        <v>29999.999387507316</v>
      </c>
      <c r="V39" s="92">
        <f t="shared" ref="V39" si="69">SUM(V5:V38)</f>
        <v>23849858.528363094</v>
      </c>
      <c r="W39" s="92">
        <f t="shared" ref="W39" si="70">SUM(W5:W38)</f>
        <v>426500</v>
      </c>
      <c r="X39" s="92">
        <f t="shared" ref="X39" si="71">SUM(X5:X38)</f>
        <v>74199.998506150325</v>
      </c>
      <c r="Y39" s="92">
        <f t="shared" ref="Y39" si="72">SUM(Y5:Y38)</f>
        <v>24350558.526869249</v>
      </c>
      <c r="Z39" s="92">
        <f t="shared" ref="Z39" si="73">SUM(Z5:Z38)</f>
        <v>561768</v>
      </c>
      <c r="AA39" s="92">
        <f t="shared" ref="AA39" si="74">SUM(AA5:AA38)</f>
        <v>49999.999006147213</v>
      </c>
      <c r="AB39" s="92">
        <f t="shared" ref="AB39" si="75">SUM(AB5:AB38)</f>
        <v>24962326.52587539</v>
      </c>
      <c r="AC39" s="92">
        <f t="shared" ref="AC39" si="76">SUM(AC5:AC38)</f>
        <v>394000</v>
      </c>
      <c r="AD39" s="92">
        <f t="shared" ref="AD39" si="77">SUM(AD5:AD38)</f>
        <v>63999.998743513395</v>
      </c>
      <c r="AE39" s="92">
        <f t="shared" ref="AE39" si="78">SUM(AE5:AE38)</f>
        <v>25420326.524618912</v>
      </c>
      <c r="AF39" s="92">
        <f t="shared" ref="AF39" si="79">SUM(AF5:AF38)</f>
        <v>774500</v>
      </c>
      <c r="AG39" s="92">
        <f t="shared" ref="AG39" si="80">SUM(AG5:AG38)</f>
        <v>0</v>
      </c>
      <c r="AH39" s="92">
        <f t="shared" ref="AH39" si="81">SUM(AH5:AH38)</f>
        <v>26194826.524618916</v>
      </c>
      <c r="AI39" s="92">
        <f t="shared" ref="AI39" si="82">SUM(AI5:AI38)</f>
        <v>596000</v>
      </c>
      <c r="AJ39" s="92">
        <f t="shared" ref="AJ39" si="83">SUM(AJ5:AJ38)</f>
        <v>19999.999638628928</v>
      </c>
      <c r="AK39" s="92">
        <f t="shared" ref="AK39" si="84">SUM(AK5:AK38)</f>
        <v>26810826.524257537</v>
      </c>
      <c r="AL39" s="92">
        <f t="shared" ref="AL39" si="85">SUM(AL5:AL38)</f>
        <v>372500</v>
      </c>
      <c r="AM39" s="92">
        <f t="shared" ref="AM39" si="86">SUM(AM5:AM38)</f>
        <v>0</v>
      </c>
      <c r="AN39" s="92">
        <f t="shared" ref="AN39" si="87">SUM(AN5:AN38)</f>
        <v>27183326.524257537</v>
      </c>
      <c r="AO39" s="92">
        <f t="shared" ref="AO39" si="88">SUM(AO5:AO38)</f>
        <v>338000</v>
      </c>
      <c r="AP39" s="92">
        <f t="shared" ref="AP39" si="89">SUM(AP5:AP38)</f>
        <v>0</v>
      </c>
      <c r="AQ39" s="92">
        <f t="shared" ref="AQ39" si="90">SUM(AQ5:AQ38)</f>
        <v>27521326.524257533</v>
      </c>
      <c r="AR39" s="92">
        <f t="shared" ref="AR39" si="91">SUM(AR5:AR38)</f>
        <v>15600000</v>
      </c>
      <c r="AS39" s="92">
        <f t="shared" ref="AS39" si="92">SUM(AS5:AS38)</f>
        <v>4361559.5618113521</v>
      </c>
      <c r="AT39" s="92">
        <f t="shared" ref="AT39" si="93">SUM(AT5:AT38)</f>
        <v>5813567</v>
      </c>
      <c r="AU39" s="92">
        <f t="shared" ref="AU39" si="94">SUM(AU5:AU38)</f>
        <v>1746199.9624461823</v>
      </c>
      <c r="AV39" s="92">
        <f t="shared" ref="AV39" si="95">SUM(AV5:AV38)</f>
        <v>27521326.524257533</v>
      </c>
      <c r="AW39" s="92">
        <f t="shared" ref="AW39" si="96">SUM(AW5:AW38)</f>
        <v>18900000</v>
      </c>
      <c r="AX39" s="92">
        <f t="shared" ref="AX39" si="97">SUM(AX5:AX38)</f>
        <v>0</v>
      </c>
      <c r="AY39" s="92">
        <f t="shared" ref="AY39" si="98">SUM(AY5:AY38)</f>
        <v>0</v>
      </c>
      <c r="AZ39" s="92">
        <f t="shared" ref="AZ39:BA39" si="99">SUM(AZ5:AZ38)</f>
        <v>0</v>
      </c>
      <c r="BA39" s="92">
        <f t="shared" si="99"/>
        <v>0</v>
      </c>
      <c r="BB39" s="92">
        <f t="shared" ref="BB39" si="100">+AV39-AW39-AX39-AY39-AZ39-BA39</f>
        <v>8621326.5242575333</v>
      </c>
      <c r="BC39" s="92"/>
      <c r="BD39" s="92">
        <f t="shared" ref="BD39" si="101">+AX39-AY39-AZ39-BA39-BB39-BC39</f>
        <v>-8621326.5242575333</v>
      </c>
      <c r="BE39" s="92">
        <f t="shared" ref="BE39" si="102">+AY39-AZ39-BA39-BB39-BC39-BD39</f>
        <v>0</v>
      </c>
      <c r="BF39" s="92">
        <f>SUM(BF5:BF38)</f>
        <v>8621326.5242575351</v>
      </c>
    </row>
    <row r="40" spans="1:58" ht="15.75" x14ac:dyDescent="0.3">
      <c r="A40" s="93">
        <v>28</v>
      </c>
      <c r="B40" s="93" t="s">
        <v>386</v>
      </c>
      <c r="C40" s="94">
        <v>0</v>
      </c>
      <c r="D40" s="95">
        <v>0</v>
      </c>
      <c r="E40" s="94">
        <v>0</v>
      </c>
      <c r="F40" s="94">
        <v>0</v>
      </c>
      <c r="G40" s="94">
        <v>0</v>
      </c>
      <c r="H40" s="94"/>
      <c r="I40" s="94">
        <v>0</v>
      </c>
      <c r="J40" s="94">
        <v>0</v>
      </c>
      <c r="K40" s="94"/>
      <c r="L40" s="94">
        <v>0</v>
      </c>
      <c r="M40" s="94">
        <v>0</v>
      </c>
      <c r="N40" s="94"/>
      <c r="O40" s="94">
        <v>0</v>
      </c>
      <c r="P40" s="94">
        <v>0</v>
      </c>
      <c r="Q40" s="94"/>
      <c r="R40" s="94">
        <v>0</v>
      </c>
      <c r="S40" s="94">
        <v>0</v>
      </c>
      <c r="T40" s="94"/>
      <c r="U40" s="94">
        <v>0</v>
      </c>
      <c r="V40" s="94">
        <v>0</v>
      </c>
      <c r="W40" s="94"/>
      <c r="X40" s="94">
        <v>0</v>
      </c>
      <c r="Y40" s="94">
        <v>0</v>
      </c>
      <c r="Z40" s="94">
        <v>0</v>
      </c>
      <c r="AA40" s="94">
        <v>0</v>
      </c>
      <c r="AB40" s="94">
        <v>0</v>
      </c>
      <c r="AC40" s="94"/>
      <c r="AD40" s="94">
        <v>0</v>
      </c>
      <c r="AE40" s="94">
        <v>0</v>
      </c>
      <c r="AF40" s="94"/>
      <c r="AG40" s="94">
        <v>0</v>
      </c>
      <c r="AH40" s="94">
        <v>0</v>
      </c>
      <c r="AI40" s="94"/>
      <c r="AJ40" s="94">
        <v>0</v>
      </c>
      <c r="AK40" s="94">
        <v>0</v>
      </c>
      <c r="AL40" s="94"/>
      <c r="AM40" s="94">
        <v>0</v>
      </c>
      <c r="AN40" s="94">
        <v>0</v>
      </c>
      <c r="AO40" s="94"/>
      <c r="AP40" s="94">
        <v>0</v>
      </c>
      <c r="AQ40" s="94">
        <v>0</v>
      </c>
      <c r="AR40" s="94">
        <v>0</v>
      </c>
      <c r="AS40" s="94">
        <v>0</v>
      </c>
      <c r="AT40" s="94">
        <v>0</v>
      </c>
      <c r="AU40" s="94">
        <v>0</v>
      </c>
      <c r="AV40" s="94">
        <v>0</v>
      </c>
      <c r="AW40" s="94"/>
      <c r="AX40" s="94"/>
      <c r="AY40" s="94"/>
      <c r="AZ40" s="94"/>
      <c r="BA40" s="94">
        <v>0</v>
      </c>
      <c r="BB40" s="88">
        <v>0</v>
      </c>
      <c r="BC40" s="96"/>
      <c r="BD40" s="88"/>
      <c r="BE40" s="88"/>
      <c r="BF40" s="90">
        <f t="shared" si="31"/>
        <v>0</v>
      </c>
    </row>
    <row r="41" spans="1:58" ht="15.75" x14ac:dyDescent="0.3">
      <c r="A41" s="93">
        <v>29</v>
      </c>
      <c r="B41" s="93" t="s">
        <v>110</v>
      </c>
      <c r="C41" s="94">
        <v>0</v>
      </c>
      <c r="D41" s="95"/>
      <c r="E41" s="94">
        <v>0</v>
      </c>
      <c r="F41" s="94">
        <v>0</v>
      </c>
      <c r="G41" s="94">
        <v>0</v>
      </c>
      <c r="H41" s="94"/>
      <c r="I41" s="94">
        <v>0</v>
      </c>
      <c r="J41" s="94">
        <v>0</v>
      </c>
      <c r="K41" s="94"/>
      <c r="L41" s="94">
        <v>0</v>
      </c>
      <c r="M41" s="94">
        <v>0</v>
      </c>
      <c r="N41" s="94"/>
      <c r="O41" s="94">
        <v>0</v>
      </c>
      <c r="P41" s="94">
        <v>0</v>
      </c>
      <c r="Q41" s="94"/>
      <c r="R41" s="94">
        <v>0</v>
      </c>
      <c r="S41" s="94">
        <v>0</v>
      </c>
      <c r="T41" s="94"/>
      <c r="U41" s="94">
        <v>0</v>
      </c>
      <c r="V41" s="94">
        <v>0</v>
      </c>
      <c r="W41" s="94"/>
      <c r="X41" s="94">
        <v>0</v>
      </c>
      <c r="Y41" s="94">
        <v>0</v>
      </c>
      <c r="Z41" s="94"/>
      <c r="AA41" s="94">
        <v>0</v>
      </c>
      <c r="AB41" s="94">
        <v>0</v>
      </c>
      <c r="AC41" s="94"/>
      <c r="AD41" s="94">
        <v>0</v>
      </c>
      <c r="AE41" s="94">
        <v>0</v>
      </c>
      <c r="AF41" s="94"/>
      <c r="AG41" s="94">
        <v>0</v>
      </c>
      <c r="AH41" s="94">
        <v>0</v>
      </c>
      <c r="AI41" s="94"/>
      <c r="AJ41" s="94">
        <v>0</v>
      </c>
      <c r="AK41" s="94">
        <v>0</v>
      </c>
      <c r="AL41" s="94"/>
      <c r="AM41" s="94">
        <v>0</v>
      </c>
      <c r="AN41" s="94">
        <v>0</v>
      </c>
      <c r="AO41" s="94"/>
      <c r="AP41" s="94">
        <v>0</v>
      </c>
      <c r="AQ41" s="94">
        <v>0</v>
      </c>
      <c r="AR41" s="94">
        <v>0</v>
      </c>
      <c r="AS41" s="94">
        <v>0</v>
      </c>
      <c r="AT41" s="94">
        <v>0</v>
      </c>
      <c r="AU41" s="94">
        <v>0</v>
      </c>
      <c r="AV41" s="94">
        <v>0</v>
      </c>
      <c r="AW41" s="94"/>
      <c r="AX41" s="94"/>
      <c r="AY41" s="94"/>
      <c r="AZ41" s="94"/>
      <c r="BA41" s="94">
        <v>0</v>
      </c>
      <c r="BB41" s="88">
        <v>0</v>
      </c>
      <c r="BC41" s="96"/>
      <c r="BD41" s="88"/>
      <c r="BE41" s="88"/>
      <c r="BF41" s="90">
        <f t="shared" si="31"/>
        <v>0</v>
      </c>
    </row>
    <row r="42" spans="1:58" ht="15.75" x14ac:dyDescent="0.3">
      <c r="A42" s="208" t="s">
        <v>433</v>
      </c>
      <c r="B42" s="93" t="s">
        <v>111</v>
      </c>
      <c r="C42" s="94">
        <v>536000</v>
      </c>
      <c r="D42" s="97"/>
      <c r="E42" s="94">
        <v>536000</v>
      </c>
      <c r="F42" s="94">
        <v>0</v>
      </c>
      <c r="G42" s="94">
        <v>536000</v>
      </c>
      <c r="H42" s="94">
        <v>-536000</v>
      </c>
      <c r="I42" s="94">
        <v>0</v>
      </c>
      <c r="J42" s="94">
        <v>0</v>
      </c>
      <c r="K42" s="94"/>
      <c r="L42" s="94"/>
      <c r="M42" s="94">
        <v>0</v>
      </c>
      <c r="N42" s="94"/>
      <c r="O42" s="94"/>
      <c r="P42" s="94">
        <v>0</v>
      </c>
      <c r="Q42" s="94"/>
      <c r="R42" s="94"/>
      <c r="S42" s="94">
        <v>0</v>
      </c>
      <c r="T42" s="94"/>
      <c r="U42" s="94"/>
      <c r="V42" s="94">
        <v>0</v>
      </c>
      <c r="W42" s="94"/>
      <c r="X42" s="94"/>
      <c r="Y42" s="94">
        <v>0</v>
      </c>
      <c r="Z42" s="94"/>
      <c r="AA42" s="94"/>
      <c r="AB42" s="94">
        <v>0</v>
      </c>
      <c r="AC42" s="94"/>
      <c r="AD42" s="94"/>
      <c r="AE42" s="94">
        <v>0</v>
      </c>
      <c r="AF42" s="94"/>
      <c r="AG42" s="94"/>
      <c r="AH42" s="94">
        <v>0</v>
      </c>
      <c r="AI42" s="94"/>
      <c r="AJ42" s="94"/>
      <c r="AK42" s="94">
        <v>0</v>
      </c>
      <c r="AL42" s="94"/>
      <c r="AM42" s="94"/>
      <c r="AN42" s="94">
        <v>0</v>
      </c>
      <c r="AO42" s="94"/>
      <c r="AP42" s="94">
        <v>0</v>
      </c>
      <c r="AQ42" s="94">
        <v>0</v>
      </c>
      <c r="AR42" s="94">
        <v>0</v>
      </c>
      <c r="AS42" s="94">
        <v>0</v>
      </c>
      <c r="AT42" s="94">
        <v>0</v>
      </c>
      <c r="AU42" s="94">
        <v>0</v>
      </c>
      <c r="AV42" s="94">
        <v>0</v>
      </c>
      <c r="AW42" s="94"/>
      <c r="AX42" s="94"/>
      <c r="AY42" s="94"/>
      <c r="AZ42" s="94"/>
      <c r="BA42" s="94"/>
      <c r="BB42" s="88">
        <v>0</v>
      </c>
      <c r="BC42" s="88"/>
      <c r="BD42" s="88">
        <v>536000</v>
      </c>
      <c r="BE42" s="88"/>
      <c r="BF42" s="90">
        <f t="shared" si="31"/>
        <v>536000</v>
      </c>
    </row>
    <row r="43" spans="1:58" ht="15.75" x14ac:dyDescent="0.3">
      <c r="A43" s="93">
        <v>31</v>
      </c>
      <c r="B43" s="93" t="s">
        <v>112</v>
      </c>
      <c r="C43" s="94">
        <v>257476</v>
      </c>
      <c r="D43" s="97"/>
      <c r="E43" s="94">
        <v>257476</v>
      </c>
      <c r="F43" s="94">
        <v>0</v>
      </c>
      <c r="G43" s="94">
        <v>257476</v>
      </c>
      <c r="H43" s="94">
        <v>-257476</v>
      </c>
      <c r="I43" s="94">
        <v>0</v>
      </c>
      <c r="J43" s="94">
        <f>+G43+H43+I43</f>
        <v>0</v>
      </c>
      <c r="K43" s="94"/>
      <c r="L43" s="94"/>
      <c r="M43" s="94">
        <v>0</v>
      </c>
      <c r="N43" s="94"/>
      <c r="O43" s="94"/>
      <c r="P43" s="94">
        <v>0</v>
      </c>
      <c r="Q43" s="94"/>
      <c r="R43" s="94"/>
      <c r="S43" s="94">
        <v>0</v>
      </c>
      <c r="T43" s="94"/>
      <c r="U43" s="94"/>
      <c r="V43" s="94">
        <v>0</v>
      </c>
      <c r="W43" s="94"/>
      <c r="X43" s="94"/>
      <c r="Y43" s="94">
        <v>0</v>
      </c>
      <c r="Z43" s="94"/>
      <c r="AA43" s="94"/>
      <c r="AB43" s="94">
        <v>0</v>
      </c>
      <c r="AC43" s="94"/>
      <c r="AD43" s="94"/>
      <c r="AE43" s="94">
        <v>0</v>
      </c>
      <c r="AF43" s="94"/>
      <c r="AG43" s="94"/>
      <c r="AH43" s="94">
        <v>0</v>
      </c>
      <c r="AI43" s="94"/>
      <c r="AJ43" s="94"/>
      <c r="AK43" s="94">
        <v>0</v>
      </c>
      <c r="AL43" s="94"/>
      <c r="AM43" s="94"/>
      <c r="AN43" s="94">
        <v>0</v>
      </c>
      <c r="AO43" s="94"/>
      <c r="AP43" s="94">
        <v>0</v>
      </c>
      <c r="AQ43" s="94">
        <v>0</v>
      </c>
      <c r="AR43" s="94">
        <v>0</v>
      </c>
      <c r="AS43" s="94">
        <v>0</v>
      </c>
      <c r="AT43" s="94">
        <v>0</v>
      </c>
      <c r="AU43" s="94">
        <v>0</v>
      </c>
      <c r="AV43" s="94">
        <v>0</v>
      </c>
      <c r="AW43" s="94"/>
      <c r="AX43" s="94"/>
      <c r="AY43" s="94"/>
      <c r="AZ43" s="94"/>
      <c r="BA43" s="94"/>
      <c r="BB43" s="88">
        <v>257476</v>
      </c>
      <c r="BC43" s="88"/>
      <c r="BD43" s="88">
        <v>257476</v>
      </c>
      <c r="BE43" s="88"/>
      <c r="BF43" s="90">
        <f t="shared" si="31"/>
        <v>257476</v>
      </c>
    </row>
    <row r="44" spans="1:58" ht="15.75" x14ac:dyDescent="0.3">
      <c r="A44" s="93">
        <v>32</v>
      </c>
      <c r="B44" s="98" t="s">
        <v>113</v>
      </c>
      <c r="C44" s="99">
        <v>0</v>
      </c>
      <c r="D44" s="100"/>
      <c r="E44" s="94">
        <v>0</v>
      </c>
      <c r="F44" s="94">
        <v>0</v>
      </c>
      <c r="G44" s="94">
        <v>0</v>
      </c>
      <c r="H44" s="94"/>
      <c r="I44" s="94">
        <v>0</v>
      </c>
      <c r="J44" s="94">
        <v>0</v>
      </c>
      <c r="K44" s="94"/>
      <c r="L44" s="94"/>
      <c r="M44" s="94">
        <v>0</v>
      </c>
      <c r="N44" s="94"/>
      <c r="O44" s="94"/>
      <c r="P44" s="94">
        <v>0</v>
      </c>
      <c r="Q44" s="94"/>
      <c r="R44" s="94"/>
      <c r="S44" s="94">
        <v>0</v>
      </c>
      <c r="T44" s="94"/>
      <c r="U44" s="94"/>
      <c r="V44" s="94">
        <v>0</v>
      </c>
      <c r="W44" s="94"/>
      <c r="X44" s="94"/>
      <c r="Y44" s="94">
        <v>0</v>
      </c>
      <c r="Z44" s="94"/>
      <c r="AA44" s="94"/>
      <c r="AB44" s="94">
        <v>0</v>
      </c>
      <c r="AC44" s="94"/>
      <c r="AD44" s="94"/>
      <c r="AE44" s="94">
        <v>0</v>
      </c>
      <c r="AF44" s="94"/>
      <c r="AG44" s="94"/>
      <c r="AH44" s="94">
        <v>0</v>
      </c>
      <c r="AI44" s="94"/>
      <c r="AJ44" s="94"/>
      <c r="AK44" s="94">
        <v>0</v>
      </c>
      <c r="AL44" s="94"/>
      <c r="AM44" s="94"/>
      <c r="AN44" s="94">
        <v>0</v>
      </c>
      <c r="AO44" s="94"/>
      <c r="AP44" s="94">
        <v>0</v>
      </c>
      <c r="AQ44" s="94">
        <v>0</v>
      </c>
      <c r="AR44" s="94">
        <v>0</v>
      </c>
      <c r="AS44" s="94">
        <v>0</v>
      </c>
      <c r="AT44" s="94">
        <v>0</v>
      </c>
      <c r="AU44" s="94">
        <v>0</v>
      </c>
      <c r="AV44" s="94">
        <v>0</v>
      </c>
      <c r="AW44" s="94"/>
      <c r="AX44" s="94"/>
      <c r="AY44" s="94"/>
      <c r="AZ44" s="94"/>
      <c r="BA44" s="94"/>
      <c r="BB44" s="88">
        <v>0</v>
      </c>
      <c r="BC44" s="96"/>
      <c r="BD44" s="88">
        <v>80000</v>
      </c>
      <c r="BE44" s="88"/>
      <c r="BF44" s="90">
        <f t="shared" si="31"/>
        <v>80000</v>
      </c>
    </row>
    <row r="45" spans="1:58" ht="15.75" x14ac:dyDescent="0.3">
      <c r="A45" s="101">
        <f t="shared" ref="A45" si="103">+A44+1</f>
        <v>33</v>
      </c>
      <c r="B45" s="101" t="s">
        <v>114</v>
      </c>
      <c r="C45" s="102">
        <v>0</v>
      </c>
      <c r="D45" s="103">
        <v>0</v>
      </c>
      <c r="E45" s="102">
        <f t="shared" ref="E45" si="104">+C45+D45</f>
        <v>0</v>
      </c>
      <c r="F45" s="102">
        <f>+(0/18229032)*E45</f>
        <v>0</v>
      </c>
      <c r="G45" s="102">
        <f t="shared" ref="G45" si="105">+E45+F45</f>
        <v>0</v>
      </c>
      <c r="H45" s="102"/>
      <c r="I45" s="102">
        <f>+(0/19121232)*(G45+H45)</f>
        <v>0</v>
      </c>
      <c r="J45" s="102">
        <f t="shared" ref="J45" si="106">+G45+H45+I45</f>
        <v>0</v>
      </c>
      <c r="K45" s="102"/>
      <c r="L45" s="102">
        <f>+(0/20256265)*(J45+K45)</f>
        <v>0</v>
      </c>
      <c r="M45" s="102">
        <f t="shared" ref="M45" si="107">+J45+K45+L45</f>
        <v>0</v>
      </c>
      <c r="N45" s="102"/>
      <c r="O45" s="102">
        <f>+(0/20256265)*(M45+N45)</f>
        <v>0</v>
      </c>
      <c r="P45" s="102">
        <f t="shared" ref="P45" si="108">+M45+N45+O45</f>
        <v>0</v>
      </c>
      <c r="Q45" s="102"/>
      <c r="R45" s="102">
        <f>+(0/20256265)*(P45+Q45)</f>
        <v>0</v>
      </c>
      <c r="S45" s="102">
        <f t="shared" ref="S45" si="109">+P45+Q45+R45</f>
        <v>0</v>
      </c>
      <c r="T45" s="102"/>
      <c r="U45" s="102">
        <f>+(0/20256265)*(S45+T45)</f>
        <v>0</v>
      </c>
      <c r="V45" s="102">
        <f t="shared" ref="V45" si="110">+S45+T45+U45</f>
        <v>0</v>
      </c>
      <c r="W45" s="102"/>
      <c r="X45" s="102">
        <f t="shared" ref="X45" si="111">+(0/20256265)*(V45+W45)</f>
        <v>0</v>
      </c>
      <c r="Y45" s="102">
        <f t="shared" ref="Y45" si="112">+V45+W45+X45</f>
        <v>0</v>
      </c>
      <c r="Z45" s="102"/>
      <c r="AA45" s="102">
        <f t="shared" ref="AA45" si="113">+(0/20256265)*(Y45+Z45)</f>
        <v>0</v>
      </c>
      <c r="AB45" s="102">
        <f t="shared" ref="AB45" si="114">+Y45+Z45+AA45</f>
        <v>0</v>
      </c>
      <c r="AC45" s="102"/>
      <c r="AD45" s="102">
        <f t="shared" ref="AD45" si="115">+(0/20256265)*(AB45+AC45)</f>
        <v>0</v>
      </c>
      <c r="AE45" s="102">
        <f t="shared" ref="AE45" si="116">+AB45+AC45+AD45</f>
        <v>0</v>
      </c>
      <c r="AF45" s="102"/>
      <c r="AG45" s="102">
        <f t="shared" ref="AG45" si="117">+(0/20256265)*(AE45+AF45)</f>
        <v>0</v>
      </c>
      <c r="AH45" s="102">
        <f t="shared" ref="AH45" si="118">+AE45+AF45+AG45</f>
        <v>0</v>
      </c>
      <c r="AI45" s="102"/>
      <c r="AJ45" s="102">
        <f t="shared" ref="AJ45" si="119">+(0/20256265)*(AH45+AI45)</f>
        <v>0</v>
      </c>
      <c r="AK45" s="102">
        <f t="shared" ref="AK45" si="120">+AH45+AI45+AJ45</f>
        <v>0</v>
      </c>
      <c r="AL45" s="102"/>
      <c r="AM45" s="102">
        <f t="shared" ref="AM45" si="121">+(0/20256265)*(AK45+AL45)</f>
        <v>0</v>
      </c>
      <c r="AN45" s="102">
        <f t="shared" ref="AN45" si="122">+AK45+AL45+AM45</f>
        <v>0</v>
      </c>
      <c r="AO45" s="102"/>
      <c r="AP45" s="102">
        <f t="shared" ref="AP45" si="123">+(0/20000)*(AN45+AO45)</f>
        <v>0</v>
      </c>
      <c r="AQ45" s="102">
        <f t="shared" ref="AQ45" si="124">+AN45+AO45+AP45</f>
        <v>0</v>
      </c>
      <c r="AR45" s="102">
        <f t="shared" ref="AR45:AS45" si="125">+C45</f>
        <v>0</v>
      </c>
      <c r="AS45" s="102">
        <f t="shared" si="125"/>
        <v>0</v>
      </c>
      <c r="AT45" s="102">
        <f t="shared" ref="AT45" si="126">+H45+K45+N45+Q45+T45+W45+Z45+AC45+AF45+AI45+AL45+AO45</f>
        <v>0</v>
      </c>
      <c r="AU45" s="102">
        <f t="shared" ref="AU45" si="127">+F45+I45+L45+O45+R45+U45+X45+AA45+AD45+AG45+AJ45+AM45+AP45</f>
        <v>0</v>
      </c>
      <c r="AV45" s="102">
        <f t="shared" ref="AV45" si="128">+AN45+AO45+AP45</f>
        <v>0</v>
      </c>
      <c r="AW45" s="102"/>
      <c r="AX45" s="102"/>
      <c r="AY45" s="102"/>
      <c r="AZ45" s="102"/>
      <c r="BA45" s="102">
        <v>0</v>
      </c>
      <c r="BB45" s="104">
        <f t="shared" ref="BB45" si="129">+AV45-AW45-AX45-AY45-AZ45-BA45</f>
        <v>0</v>
      </c>
      <c r="BC45" s="105"/>
      <c r="BD45" s="104"/>
      <c r="BE45" s="88"/>
      <c r="BF45" s="90">
        <f t="shared" si="31"/>
        <v>0</v>
      </c>
    </row>
    <row r="46" spans="1:58" ht="15.75" x14ac:dyDescent="0.3">
      <c r="A46" s="106"/>
      <c r="B46" s="106" t="s">
        <v>115</v>
      </c>
      <c r="C46" s="107">
        <f>SUM(C40:C45)</f>
        <v>793476</v>
      </c>
      <c r="D46" s="107">
        <f t="shared" ref="D46:BD46" si="130">SUM(D40:D45)</f>
        <v>0</v>
      </c>
      <c r="E46" s="107">
        <f t="shared" si="130"/>
        <v>793476</v>
      </c>
      <c r="F46" s="107">
        <f t="shared" si="130"/>
        <v>0</v>
      </c>
      <c r="G46" s="107">
        <f t="shared" si="130"/>
        <v>793476</v>
      </c>
      <c r="H46" s="107">
        <f t="shared" si="130"/>
        <v>-793476</v>
      </c>
      <c r="I46" s="107">
        <f t="shared" si="130"/>
        <v>0</v>
      </c>
      <c r="J46" s="107">
        <f t="shared" si="130"/>
        <v>0</v>
      </c>
      <c r="K46" s="107">
        <f t="shared" si="130"/>
        <v>0</v>
      </c>
      <c r="L46" s="107">
        <f t="shared" si="130"/>
        <v>0</v>
      </c>
      <c r="M46" s="107">
        <f t="shared" si="130"/>
        <v>0</v>
      </c>
      <c r="N46" s="107">
        <f t="shared" si="130"/>
        <v>0</v>
      </c>
      <c r="O46" s="107">
        <f t="shared" si="130"/>
        <v>0</v>
      </c>
      <c r="P46" s="107">
        <f t="shared" si="130"/>
        <v>0</v>
      </c>
      <c r="Q46" s="107">
        <f t="shared" si="130"/>
        <v>0</v>
      </c>
      <c r="R46" s="107">
        <f t="shared" si="130"/>
        <v>0</v>
      </c>
      <c r="S46" s="107">
        <f t="shared" si="130"/>
        <v>0</v>
      </c>
      <c r="T46" s="107">
        <f t="shared" si="130"/>
        <v>0</v>
      </c>
      <c r="U46" s="107">
        <f t="shared" si="130"/>
        <v>0</v>
      </c>
      <c r="V46" s="107">
        <f t="shared" si="130"/>
        <v>0</v>
      </c>
      <c r="W46" s="107">
        <f t="shared" si="130"/>
        <v>0</v>
      </c>
      <c r="X46" s="107">
        <f t="shared" si="130"/>
        <v>0</v>
      </c>
      <c r="Y46" s="107">
        <f t="shared" si="130"/>
        <v>0</v>
      </c>
      <c r="Z46" s="107">
        <f t="shared" si="130"/>
        <v>0</v>
      </c>
      <c r="AA46" s="107">
        <f t="shared" si="130"/>
        <v>0</v>
      </c>
      <c r="AB46" s="107">
        <f t="shared" si="130"/>
        <v>0</v>
      </c>
      <c r="AC46" s="107">
        <f t="shared" si="130"/>
        <v>0</v>
      </c>
      <c r="AD46" s="107">
        <f t="shared" si="130"/>
        <v>0</v>
      </c>
      <c r="AE46" s="107">
        <f t="shared" si="130"/>
        <v>0</v>
      </c>
      <c r="AF46" s="107">
        <f t="shared" si="130"/>
        <v>0</v>
      </c>
      <c r="AG46" s="107">
        <f t="shared" si="130"/>
        <v>0</v>
      </c>
      <c r="AH46" s="107">
        <f t="shared" si="130"/>
        <v>0</v>
      </c>
      <c r="AI46" s="107">
        <f t="shared" si="130"/>
        <v>0</v>
      </c>
      <c r="AJ46" s="107">
        <f t="shared" si="130"/>
        <v>0</v>
      </c>
      <c r="AK46" s="107">
        <f t="shared" si="130"/>
        <v>0</v>
      </c>
      <c r="AL46" s="107">
        <f t="shared" si="130"/>
        <v>0</v>
      </c>
      <c r="AM46" s="107">
        <f t="shared" si="130"/>
        <v>0</v>
      </c>
      <c r="AN46" s="107">
        <f t="shared" si="130"/>
        <v>0</v>
      </c>
      <c r="AO46" s="107">
        <f t="shared" si="130"/>
        <v>0</v>
      </c>
      <c r="AP46" s="107">
        <f t="shared" si="130"/>
        <v>0</v>
      </c>
      <c r="AQ46" s="107">
        <f t="shared" si="130"/>
        <v>0</v>
      </c>
      <c r="AR46" s="107">
        <f t="shared" si="130"/>
        <v>0</v>
      </c>
      <c r="AS46" s="107">
        <f t="shared" si="130"/>
        <v>0</v>
      </c>
      <c r="AT46" s="107">
        <f t="shared" si="130"/>
        <v>0</v>
      </c>
      <c r="AU46" s="107">
        <f t="shared" si="130"/>
        <v>0</v>
      </c>
      <c r="AV46" s="107">
        <f t="shared" si="130"/>
        <v>0</v>
      </c>
      <c r="AW46" s="107">
        <f t="shared" si="130"/>
        <v>0</v>
      </c>
      <c r="AX46" s="107">
        <f t="shared" si="130"/>
        <v>0</v>
      </c>
      <c r="AY46" s="107">
        <f t="shared" si="130"/>
        <v>0</v>
      </c>
      <c r="AZ46" s="107">
        <f t="shared" si="130"/>
        <v>0</v>
      </c>
      <c r="BA46" s="107">
        <f t="shared" si="130"/>
        <v>0</v>
      </c>
      <c r="BB46" s="107">
        <f t="shared" si="130"/>
        <v>257476</v>
      </c>
      <c r="BC46" s="107">
        <f t="shared" si="130"/>
        <v>0</v>
      </c>
      <c r="BD46" s="107">
        <f t="shared" si="130"/>
        <v>873476</v>
      </c>
      <c r="BE46" s="88"/>
      <c r="BF46" s="90">
        <f t="shared" si="31"/>
        <v>873476</v>
      </c>
    </row>
    <row r="47" spans="1:58" ht="15.75" x14ac:dyDescent="0.3">
      <c r="A47" s="83"/>
      <c r="B47" s="106" t="s">
        <v>116</v>
      </c>
      <c r="C47" s="90">
        <f>+C39+C46</f>
        <v>16393476</v>
      </c>
      <c r="D47" s="90">
        <f t="shared" ref="D47:BF47" si="131">+D39+D46</f>
        <v>4361559.5618113521</v>
      </c>
      <c r="E47" s="90">
        <f t="shared" si="131"/>
        <v>20755035.561811358</v>
      </c>
      <c r="F47" s="90">
        <f t="shared" si="131"/>
        <v>1267999.9721653415</v>
      </c>
      <c r="G47" s="90">
        <f t="shared" si="131"/>
        <v>22023035.533976696</v>
      </c>
      <c r="H47" s="90">
        <f t="shared" si="131"/>
        <v>256524</v>
      </c>
      <c r="I47" s="90">
        <f t="shared" si="131"/>
        <v>0</v>
      </c>
      <c r="J47" s="90">
        <f t="shared" si="131"/>
        <v>21638858.533976696</v>
      </c>
      <c r="K47" s="90">
        <f t="shared" si="131"/>
        <v>328000</v>
      </c>
      <c r="L47" s="90">
        <f t="shared" si="131"/>
        <v>29999.999361462018</v>
      </c>
      <c r="M47" s="90">
        <f t="shared" si="131"/>
        <v>21996858.533338156</v>
      </c>
      <c r="N47" s="90">
        <f t="shared" si="131"/>
        <v>345000</v>
      </c>
      <c r="O47" s="90">
        <f t="shared" si="131"/>
        <v>5999.999873811852</v>
      </c>
      <c r="P47" s="90">
        <f t="shared" si="131"/>
        <v>22347858.533211969</v>
      </c>
      <c r="Q47" s="90">
        <f t="shared" si="131"/>
        <v>386000</v>
      </c>
      <c r="R47" s="90">
        <f t="shared" si="131"/>
        <v>203999.99576361969</v>
      </c>
      <c r="S47" s="90">
        <f t="shared" si="131"/>
        <v>22937858.528975591</v>
      </c>
      <c r="T47" s="90">
        <f t="shared" si="131"/>
        <v>882000</v>
      </c>
      <c r="U47" s="90">
        <f t="shared" si="131"/>
        <v>29999.999387507316</v>
      </c>
      <c r="V47" s="90">
        <f t="shared" si="131"/>
        <v>23849858.528363094</v>
      </c>
      <c r="W47" s="90">
        <f t="shared" si="131"/>
        <v>426500</v>
      </c>
      <c r="X47" s="90">
        <f t="shared" si="131"/>
        <v>74199.998506150325</v>
      </c>
      <c r="Y47" s="90">
        <f t="shared" si="131"/>
        <v>24350558.526869249</v>
      </c>
      <c r="Z47" s="90">
        <f t="shared" si="131"/>
        <v>561768</v>
      </c>
      <c r="AA47" s="90">
        <f t="shared" si="131"/>
        <v>49999.999006147213</v>
      </c>
      <c r="AB47" s="90">
        <f t="shared" si="131"/>
        <v>24962326.52587539</v>
      </c>
      <c r="AC47" s="90">
        <f t="shared" si="131"/>
        <v>394000</v>
      </c>
      <c r="AD47" s="90">
        <f t="shared" si="131"/>
        <v>63999.998743513395</v>
      </c>
      <c r="AE47" s="90">
        <f t="shared" si="131"/>
        <v>25420326.524618912</v>
      </c>
      <c r="AF47" s="90">
        <f t="shared" si="131"/>
        <v>774500</v>
      </c>
      <c r="AG47" s="90">
        <f t="shared" si="131"/>
        <v>0</v>
      </c>
      <c r="AH47" s="90">
        <f t="shared" si="131"/>
        <v>26194826.524618916</v>
      </c>
      <c r="AI47" s="90">
        <f t="shared" si="131"/>
        <v>596000</v>
      </c>
      <c r="AJ47" s="90">
        <f t="shared" si="131"/>
        <v>19999.999638628928</v>
      </c>
      <c r="AK47" s="90">
        <f t="shared" si="131"/>
        <v>26810826.524257537</v>
      </c>
      <c r="AL47" s="90">
        <f t="shared" si="131"/>
        <v>372500</v>
      </c>
      <c r="AM47" s="90">
        <f t="shared" si="131"/>
        <v>0</v>
      </c>
      <c r="AN47" s="90">
        <f t="shared" si="131"/>
        <v>27183326.524257537</v>
      </c>
      <c r="AO47" s="90">
        <f t="shared" si="131"/>
        <v>338000</v>
      </c>
      <c r="AP47" s="90">
        <f t="shared" si="131"/>
        <v>0</v>
      </c>
      <c r="AQ47" s="90">
        <f t="shared" si="131"/>
        <v>27521326.524257533</v>
      </c>
      <c r="AR47" s="90">
        <f t="shared" si="131"/>
        <v>15600000</v>
      </c>
      <c r="AS47" s="90">
        <f t="shared" si="131"/>
        <v>4361559.5618113521</v>
      </c>
      <c r="AT47" s="90">
        <f t="shared" si="131"/>
        <v>5813567</v>
      </c>
      <c r="AU47" s="90">
        <f t="shared" si="131"/>
        <v>1746199.9624461823</v>
      </c>
      <c r="AV47" s="90">
        <f t="shared" si="131"/>
        <v>27521326.524257533</v>
      </c>
      <c r="AW47" s="90">
        <f t="shared" si="131"/>
        <v>18900000</v>
      </c>
      <c r="AX47" s="90">
        <f t="shared" si="131"/>
        <v>0</v>
      </c>
      <c r="AY47" s="90">
        <f t="shared" si="131"/>
        <v>0</v>
      </c>
      <c r="AZ47" s="90">
        <f t="shared" si="131"/>
        <v>0</v>
      </c>
      <c r="BA47" s="90">
        <f t="shared" si="131"/>
        <v>0</v>
      </c>
      <c r="BB47" s="90">
        <f t="shared" si="131"/>
        <v>8878802.5242575333</v>
      </c>
      <c r="BC47" s="90">
        <f t="shared" si="131"/>
        <v>0</v>
      </c>
      <c r="BD47" s="90">
        <f t="shared" si="131"/>
        <v>-7747850.5242575333</v>
      </c>
      <c r="BE47" s="90">
        <f t="shared" si="131"/>
        <v>0</v>
      </c>
      <c r="BF47" s="90">
        <f t="shared" si="131"/>
        <v>9494802.5242575351</v>
      </c>
    </row>
  </sheetData>
  <mergeCells count="42">
    <mergeCell ref="AR3:AV3"/>
    <mergeCell ref="A39:B39"/>
    <mergeCell ref="AW2:BF2"/>
    <mergeCell ref="BE3:BE4"/>
    <mergeCell ref="BF3:BF4"/>
    <mergeCell ref="Z3:AB3"/>
    <mergeCell ref="AC3:AE3"/>
    <mergeCell ref="AF3:AH3"/>
    <mergeCell ref="AI3:AK3"/>
    <mergeCell ref="AL3:AN3"/>
    <mergeCell ref="AO3:AQ3"/>
    <mergeCell ref="AO2:AQ2"/>
    <mergeCell ref="AR2:AV2"/>
    <mergeCell ref="F3:G3"/>
    <mergeCell ref="H3:J3"/>
    <mergeCell ref="K3:M3"/>
    <mergeCell ref="N3:P3"/>
    <mergeCell ref="Q3:S3"/>
    <mergeCell ref="T3:V3"/>
    <mergeCell ref="W3:Y3"/>
    <mergeCell ref="W2:Y2"/>
    <mergeCell ref="AI1:AO1"/>
    <mergeCell ref="AP1:AU1"/>
    <mergeCell ref="AV1:BA1"/>
    <mergeCell ref="BB1:BF1"/>
    <mergeCell ref="F2:G2"/>
    <mergeCell ref="H2:J2"/>
    <mergeCell ref="K2:M2"/>
    <mergeCell ref="N2:P2"/>
    <mergeCell ref="Q2:S2"/>
    <mergeCell ref="T2:V2"/>
    <mergeCell ref="AB1:AH1"/>
    <mergeCell ref="Z2:AB2"/>
    <mergeCell ref="AC2:AE2"/>
    <mergeCell ref="AF2:AH2"/>
    <mergeCell ref="AI2:AK2"/>
    <mergeCell ref="AL2:AN2"/>
    <mergeCell ref="B1:E1"/>
    <mergeCell ref="F1:J1"/>
    <mergeCell ref="K1:O1"/>
    <mergeCell ref="P1:U1"/>
    <mergeCell ref="V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41"/>
  <sheetViews>
    <sheetView zoomScale="112" zoomScaleNormal="112" workbookViewId="0">
      <pane xSplit="6" ySplit="12" topLeftCell="Q22" activePane="bottomRight" state="frozen"/>
      <selection pane="topRight" activeCell="G1" sqref="G1"/>
      <selection pane="bottomLeft" activeCell="A13" sqref="A13"/>
      <selection pane="bottomRight" activeCell="T23" sqref="T23"/>
    </sheetView>
  </sheetViews>
  <sheetFormatPr baseColWidth="10" defaultRowHeight="15" x14ac:dyDescent="0.25"/>
  <cols>
    <col min="1" max="1" width="5.42578125" customWidth="1"/>
    <col min="2" max="2" width="25.28515625" customWidth="1"/>
    <col min="3" max="44" width="15" customWidth="1"/>
    <col min="45" max="45" width="12.7109375" customWidth="1"/>
  </cols>
  <sheetData>
    <row r="1" spans="1:45" ht="15.75" x14ac:dyDescent="0.3">
      <c r="A1" s="290" t="s">
        <v>118</v>
      </c>
      <c r="B1" s="290"/>
      <c r="C1" s="290"/>
      <c r="D1" s="290"/>
      <c r="E1" s="290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</row>
    <row r="2" spans="1:45" ht="15.75" x14ac:dyDescent="0.3">
      <c r="A2" s="108"/>
      <c r="B2" s="108"/>
      <c r="C2" s="291" t="s">
        <v>59</v>
      </c>
      <c r="D2" s="288"/>
      <c r="E2" s="289"/>
      <c r="F2" s="287">
        <v>44927</v>
      </c>
      <c r="G2" s="288"/>
      <c r="H2" s="289"/>
      <c r="I2" s="287">
        <v>44958</v>
      </c>
      <c r="J2" s="288"/>
      <c r="K2" s="289"/>
      <c r="L2" s="287">
        <v>44986</v>
      </c>
      <c r="M2" s="288"/>
      <c r="N2" s="289"/>
      <c r="O2" s="287">
        <v>45017</v>
      </c>
      <c r="P2" s="288"/>
      <c r="Q2" s="289"/>
      <c r="R2" s="287">
        <v>45047</v>
      </c>
      <c r="S2" s="288"/>
      <c r="T2" s="289"/>
      <c r="U2" s="287">
        <v>45078</v>
      </c>
      <c r="V2" s="288"/>
      <c r="W2" s="289"/>
      <c r="X2" s="287">
        <v>45108</v>
      </c>
      <c r="Y2" s="288"/>
      <c r="Z2" s="289"/>
      <c r="AA2" s="287">
        <v>45139</v>
      </c>
      <c r="AB2" s="288"/>
      <c r="AC2" s="289"/>
      <c r="AD2" s="287">
        <v>45170</v>
      </c>
      <c r="AE2" s="288"/>
      <c r="AF2" s="289"/>
      <c r="AG2" s="287">
        <v>45200</v>
      </c>
      <c r="AH2" s="288"/>
      <c r="AI2" s="289"/>
      <c r="AJ2" s="287">
        <v>45231</v>
      </c>
      <c r="AK2" s="288"/>
      <c r="AL2" s="289"/>
      <c r="AM2" s="287">
        <v>45261</v>
      </c>
      <c r="AN2" s="288"/>
      <c r="AO2" s="289"/>
      <c r="AP2" s="287" t="s">
        <v>119</v>
      </c>
      <c r="AQ2" s="288"/>
      <c r="AR2" s="289"/>
      <c r="AS2" s="284" t="s">
        <v>336</v>
      </c>
    </row>
    <row r="3" spans="1:45" ht="15.75" x14ac:dyDescent="0.3">
      <c r="A3" s="109"/>
      <c r="B3" s="110"/>
      <c r="C3" s="111" t="s">
        <v>120</v>
      </c>
      <c r="D3" s="112" t="s">
        <v>121</v>
      </c>
      <c r="E3" s="112" t="s">
        <v>122</v>
      </c>
      <c r="F3" s="111" t="s">
        <v>120</v>
      </c>
      <c r="G3" s="112" t="s">
        <v>121</v>
      </c>
      <c r="H3" s="112" t="s">
        <v>122</v>
      </c>
      <c r="I3" s="111" t="s">
        <v>120</v>
      </c>
      <c r="J3" s="112" t="s">
        <v>121</v>
      </c>
      <c r="K3" s="112" t="s">
        <v>122</v>
      </c>
      <c r="L3" s="111" t="s">
        <v>120</v>
      </c>
      <c r="M3" s="112" t="s">
        <v>121</v>
      </c>
      <c r="N3" s="112" t="s">
        <v>122</v>
      </c>
      <c r="O3" s="111" t="s">
        <v>120</v>
      </c>
      <c r="P3" s="112" t="s">
        <v>121</v>
      </c>
      <c r="Q3" s="112" t="s">
        <v>122</v>
      </c>
      <c r="R3" s="111" t="s">
        <v>120</v>
      </c>
      <c r="S3" s="112" t="s">
        <v>121</v>
      </c>
      <c r="T3" s="112" t="s">
        <v>122</v>
      </c>
      <c r="U3" s="111" t="s">
        <v>120</v>
      </c>
      <c r="V3" s="112" t="s">
        <v>121</v>
      </c>
      <c r="W3" s="112" t="s">
        <v>122</v>
      </c>
      <c r="X3" s="111" t="s">
        <v>120</v>
      </c>
      <c r="Y3" s="112" t="s">
        <v>121</v>
      </c>
      <c r="Z3" s="112" t="s">
        <v>122</v>
      </c>
      <c r="AA3" s="111" t="s">
        <v>120</v>
      </c>
      <c r="AB3" s="112" t="s">
        <v>121</v>
      </c>
      <c r="AC3" s="112" t="s">
        <v>122</v>
      </c>
      <c r="AD3" s="111" t="s">
        <v>120</v>
      </c>
      <c r="AE3" s="112" t="s">
        <v>121</v>
      </c>
      <c r="AF3" s="112" t="s">
        <v>122</v>
      </c>
      <c r="AG3" s="111" t="s">
        <v>120</v>
      </c>
      <c r="AH3" s="112" t="s">
        <v>121</v>
      </c>
      <c r="AI3" s="112" t="s">
        <v>122</v>
      </c>
      <c r="AJ3" s="111" t="s">
        <v>120</v>
      </c>
      <c r="AK3" s="112" t="s">
        <v>121</v>
      </c>
      <c r="AL3" s="112" t="s">
        <v>122</v>
      </c>
      <c r="AM3" s="111" t="s">
        <v>120</v>
      </c>
      <c r="AN3" s="112" t="s">
        <v>121</v>
      </c>
      <c r="AO3" s="112" t="s">
        <v>122</v>
      </c>
      <c r="AP3" s="111" t="s">
        <v>120</v>
      </c>
      <c r="AQ3" s="112" t="s">
        <v>121</v>
      </c>
      <c r="AR3" s="112" t="s">
        <v>122</v>
      </c>
      <c r="AS3" s="285"/>
    </row>
    <row r="4" spans="1:45" ht="15.75" x14ac:dyDescent="0.3">
      <c r="A4" s="109" t="s">
        <v>55</v>
      </c>
      <c r="B4" s="109" t="s">
        <v>56</v>
      </c>
      <c r="C4" s="112" t="s">
        <v>123</v>
      </c>
      <c r="D4" s="112" t="s">
        <v>123</v>
      </c>
      <c r="E4" s="112" t="s">
        <v>123</v>
      </c>
      <c r="F4" s="112" t="s">
        <v>123</v>
      </c>
      <c r="G4" s="112" t="s">
        <v>123</v>
      </c>
      <c r="H4" s="112" t="s">
        <v>123</v>
      </c>
      <c r="I4" s="112" t="s">
        <v>123</v>
      </c>
      <c r="J4" s="112" t="s">
        <v>123</v>
      </c>
      <c r="K4" s="112" t="s">
        <v>123</v>
      </c>
      <c r="L4" s="112" t="s">
        <v>123</v>
      </c>
      <c r="M4" s="112" t="s">
        <v>123</v>
      </c>
      <c r="N4" s="112" t="s">
        <v>123</v>
      </c>
      <c r="O4" s="112" t="s">
        <v>123</v>
      </c>
      <c r="P4" s="112" t="s">
        <v>123</v>
      </c>
      <c r="Q4" s="112" t="s">
        <v>123</v>
      </c>
      <c r="R4" s="112" t="s">
        <v>123</v>
      </c>
      <c r="S4" s="112" t="s">
        <v>123</v>
      </c>
      <c r="T4" s="112" t="s">
        <v>123</v>
      </c>
      <c r="U4" s="112" t="s">
        <v>123</v>
      </c>
      <c r="V4" s="112" t="s">
        <v>123</v>
      </c>
      <c r="W4" s="112" t="s">
        <v>123</v>
      </c>
      <c r="X4" s="112" t="s">
        <v>123</v>
      </c>
      <c r="Y4" s="112" t="s">
        <v>123</v>
      </c>
      <c r="Z4" s="112" t="s">
        <v>123</v>
      </c>
      <c r="AA4" s="112" t="s">
        <v>123</v>
      </c>
      <c r="AB4" s="112" t="s">
        <v>123</v>
      </c>
      <c r="AC4" s="112" t="s">
        <v>123</v>
      </c>
      <c r="AD4" s="112" t="s">
        <v>123</v>
      </c>
      <c r="AE4" s="112" t="s">
        <v>123</v>
      </c>
      <c r="AF4" s="112" t="s">
        <v>123</v>
      </c>
      <c r="AG4" s="112" t="s">
        <v>123</v>
      </c>
      <c r="AH4" s="112" t="s">
        <v>123</v>
      </c>
      <c r="AI4" s="112" t="s">
        <v>123</v>
      </c>
      <c r="AJ4" s="112" t="s">
        <v>123</v>
      </c>
      <c r="AK4" s="112" t="s">
        <v>123</v>
      </c>
      <c r="AL4" s="112" t="s">
        <v>123</v>
      </c>
      <c r="AM4" s="112" t="s">
        <v>123</v>
      </c>
      <c r="AN4" s="112" t="s">
        <v>123</v>
      </c>
      <c r="AO4" s="112" t="s">
        <v>123</v>
      </c>
      <c r="AP4" s="112" t="s">
        <v>123</v>
      </c>
      <c r="AQ4" s="112" t="s">
        <v>123</v>
      </c>
      <c r="AR4" s="112" t="s">
        <v>123</v>
      </c>
      <c r="AS4" s="286"/>
    </row>
    <row r="5" spans="1:45" ht="15.75" x14ac:dyDescent="0.3">
      <c r="A5" s="109">
        <v>1</v>
      </c>
      <c r="B5" s="109" t="s">
        <v>39</v>
      </c>
      <c r="C5" s="113">
        <v>500000</v>
      </c>
      <c r="D5" s="113">
        <v>0</v>
      </c>
      <c r="E5" s="113">
        <v>10000</v>
      </c>
      <c r="F5" s="113">
        <v>0</v>
      </c>
      <c r="G5" s="113">
        <v>0</v>
      </c>
      <c r="H5" s="113">
        <v>0</v>
      </c>
      <c r="I5" s="113">
        <v>0</v>
      </c>
      <c r="J5" s="113">
        <v>0</v>
      </c>
      <c r="K5" s="113">
        <v>0</v>
      </c>
      <c r="L5" s="113">
        <v>0</v>
      </c>
      <c r="M5" s="113">
        <v>500000</v>
      </c>
      <c r="N5" s="113">
        <v>0</v>
      </c>
      <c r="O5" s="113">
        <v>500000</v>
      </c>
      <c r="P5" s="113">
        <v>0</v>
      </c>
      <c r="Q5" s="113">
        <v>10000</v>
      </c>
      <c r="R5" s="113">
        <v>0</v>
      </c>
      <c r="S5" s="113">
        <v>0</v>
      </c>
      <c r="T5" s="113">
        <v>0</v>
      </c>
      <c r="U5" s="113">
        <v>0</v>
      </c>
      <c r="V5" s="113">
        <v>0</v>
      </c>
      <c r="W5" s="113">
        <v>0</v>
      </c>
      <c r="X5" s="113">
        <v>0</v>
      </c>
      <c r="Y5" s="113">
        <v>0</v>
      </c>
      <c r="Z5" s="113">
        <v>0</v>
      </c>
      <c r="AA5" s="113">
        <v>0</v>
      </c>
      <c r="AB5" s="113">
        <v>0</v>
      </c>
      <c r="AC5" s="113">
        <v>0</v>
      </c>
      <c r="AD5" s="113">
        <v>0</v>
      </c>
      <c r="AE5" s="113">
        <v>0</v>
      </c>
      <c r="AF5" s="113">
        <v>0</v>
      </c>
      <c r="AG5" s="113">
        <v>0</v>
      </c>
      <c r="AH5" s="113">
        <v>0</v>
      </c>
      <c r="AI5" s="113">
        <v>0</v>
      </c>
      <c r="AJ5" s="113">
        <v>0</v>
      </c>
      <c r="AK5" s="113">
        <v>0</v>
      </c>
      <c r="AL5" s="113">
        <v>0</v>
      </c>
      <c r="AM5" s="113">
        <v>0</v>
      </c>
      <c r="AN5" s="113">
        <v>0</v>
      </c>
      <c r="AO5" s="113">
        <v>0</v>
      </c>
      <c r="AP5" s="113">
        <f>+C5+F5+I5+L5+X5+AD5+AJ5+AG5+AA5+O5+U5+R5</f>
        <v>1000000</v>
      </c>
      <c r="AQ5" s="113">
        <f t="shared" ref="AQ5:AQ20" si="0">+D5+G5+J5+M5+Y5+AE5+AK5+AH5+AB5+P5+V5</f>
        <v>500000</v>
      </c>
      <c r="AR5" s="113">
        <f t="shared" ref="AR5:AR22" si="1">+E5+H5+K5+N5+Z5+AF5+AL5+AI5+AC5+Q5+W5+T5</f>
        <v>20000</v>
      </c>
      <c r="AS5" s="172">
        <f>+AP5-AQ5</f>
        <v>500000</v>
      </c>
    </row>
    <row r="6" spans="1:45" ht="15.75" x14ac:dyDescent="0.3">
      <c r="A6" s="109">
        <v>2</v>
      </c>
      <c r="B6" s="109" t="s">
        <v>43</v>
      </c>
      <c r="C6" s="113">
        <v>1000000</v>
      </c>
      <c r="D6" s="113">
        <v>0</v>
      </c>
      <c r="E6" s="113">
        <v>120000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690000</v>
      </c>
      <c r="N6" s="113">
        <v>0</v>
      </c>
      <c r="O6" s="113">
        <v>0</v>
      </c>
      <c r="P6" s="113">
        <v>0</v>
      </c>
      <c r="Q6" s="113">
        <v>0</v>
      </c>
      <c r="R6" s="113">
        <v>690000</v>
      </c>
      <c r="S6" s="113">
        <v>0</v>
      </c>
      <c r="T6" s="113">
        <v>0</v>
      </c>
      <c r="U6" s="113">
        <v>0</v>
      </c>
      <c r="V6" s="113">
        <v>0</v>
      </c>
      <c r="W6" s="113">
        <v>0</v>
      </c>
      <c r="X6" s="113">
        <v>0</v>
      </c>
      <c r="Y6" s="113">
        <v>0</v>
      </c>
      <c r="Z6" s="113">
        <v>0</v>
      </c>
      <c r="AA6" s="113">
        <v>0</v>
      </c>
      <c r="AB6" s="113">
        <v>0</v>
      </c>
      <c r="AC6" s="113">
        <v>0</v>
      </c>
      <c r="AD6" s="113">
        <v>0</v>
      </c>
      <c r="AE6" s="113">
        <v>0</v>
      </c>
      <c r="AF6" s="113">
        <v>0</v>
      </c>
      <c r="AG6" s="113">
        <v>0</v>
      </c>
      <c r="AH6" s="113">
        <v>0</v>
      </c>
      <c r="AI6" s="113">
        <v>0</v>
      </c>
      <c r="AJ6" s="113">
        <v>0</v>
      </c>
      <c r="AK6" s="113">
        <v>0</v>
      </c>
      <c r="AL6" s="113">
        <v>0</v>
      </c>
      <c r="AM6" s="113">
        <v>0</v>
      </c>
      <c r="AN6" s="113">
        <v>0</v>
      </c>
      <c r="AO6" s="113">
        <v>0</v>
      </c>
      <c r="AP6" s="113">
        <f t="shared" ref="AP6:AP40" si="2">+C6+F6+I6+L6+X6+AD6+AJ6+AG6+AA6+O6+U6+R6</f>
        <v>1690000</v>
      </c>
      <c r="AQ6" s="113">
        <f t="shared" si="0"/>
        <v>690000</v>
      </c>
      <c r="AR6" s="113">
        <f t="shared" si="1"/>
        <v>120000</v>
      </c>
      <c r="AS6" s="172">
        <f t="shared" ref="AS6:AS40" si="3">+AP6-AQ6</f>
        <v>1000000</v>
      </c>
    </row>
    <row r="7" spans="1:45" ht="15.75" x14ac:dyDescent="0.3">
      <c r="A7" s="109">
        <v>3</v>
      </c>
      <c r="B7" s="109" t="s">
        <v>89</v>
      </c>
      <c r="C7" s="113">
        <v>0</v>
      </c>
      <c r="D7" s="113">
        <v>0</v>
      </c>
      <c r="E7" s="113">
        <v>0</v>
      </c>
      <c r="F7" s="113">
        <v>0</v>
      </c>
      <c r="G7" s="113">
        <v>0</v>
      </c>
      <c r="H7" s="113">
        <v>0</v>
      </c>
      <c r="I7" s="113">
        <v>0</v>
      </c>
      <c r="J7" s="113">
        <v>0</v>
      </c>
      <c r="K7" s="113">
        <v>0</v>
      </c>
      <c r="L7" s="113">
        <v>0</v>
      </c>
      <c r="M7" s="113">
        <v>0</v>
      </c>
      <c r="N7" s="113">
        <v>0</v>
      </c>
      <c r="O7" s="113">
        <v>0</v>
      </c>
      <c r="P7" s="113">
        <v>0</v>
      </c>
      <c r="Q7" s="113">
        <v>0</v>
      </c>
      <c r="R7" s="113">
        <v>0</v>
      </c>
      <c r="S7" s="113">
        <v>0</v>
      </c>
      <c r="T7" s="113">
        <v>0</v>
      </c>
      <c r="U7" s="113">
        <v>0</v>
      </c>
      <c r="V7" s="113">
        <v>0</v>
      </c>
      <c r="W7" s="113">
        <v>0</v>
      </c>
      <c r="X7" s="113">
        <v>0</v>
      </c>
      <c r="Y7" s="113">
        <v>0</v>
      </c>
      <c r="Z7" s="113">
        <v>0</v>
      </c>
      <c r="AA7" s="113">
        <v>0</v>
      </c>
      <c r="AB7" s="113">
        <v>0</v>
      </c>
      <c r="AC7" s="113">
        <v>0</v>
      </c>
      <c r="AD7" s="113">
        <v>0</v>
      </c>
      <c r="AE7" s="113">
        <v>0</v>
      </c>
      <c r="AF7" s="113">
        <v>0</v>
      </c>
      <c r="AG7" s="113">
        <v>0</v>
      </c>
      <c r="AH7" s="113">
        <v>0</v>
      </c>
      <c r="AI7" s="113">
        <v>0</v>
      </c>
      <c r="AJ7" s="113">
        <v>0</v>
      </c>
      <c r="AK7" s="113">
        <v>0</v>
      </c>
      <c r="AL7" s="113">
        <v>0</v>
      </c>
      <c r="AM7" s="113">
        <v>0</v>
      </c>
      <c r="AN7" s="113">
        <v>0</v>
      </c>
      <c r="AO7" s="113">
        <v>0</v>
      </c>
      <c r="AP7" s="113">
        <f t="shared" si="2"/>
        <v>0</v>
      </c>
      <c r="AQ7" s="113">
        <f t="shared" si="0"/>
        <v>0</v>
      </c>
      <c r="AR7" s="113">
        <f t="shared" si="1"/>
        <v>0</v>
      </c>
      <c r="AS7" s="172">
        <f t="shared" si="3"/>
        <v>0</v>
      </c>
    </row>
    <row r="8" spans="1:45" ht="15.75" x14ac:dyDescent="0.3">
      <c r="A8" s="109">
        <v>4</v>
      </c>
      <c r="B8" s="109" t="s">
        <v>124</v>
      </c>
      <c r="C8" s="113">
        <v>1000000</v>
      </c>
      <c r="D8" s="113">
        <v>0</v>
      </c>
      <c r="E8" s="113">
        <v>40000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3">
        <v>0</v>
      </c>
      <c r="L8" s="113">
        <v>0</v>
      </c>
      <c r="M8" s="113">
        <v>0</v>
      </c>
      <c r="N8" s="113">
        <v>0</v>
      </c>
      <c r="O8" s="113">
        <v>1000000</v>
      </c>
      <c r="P8" s="113">
        <v>1000000</v>
      </c>
      <c r="Q8" s="113">
        <v>80000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v>0</v>
      </c>
      <c r="X8" s="113">
        <v>0</v>
      </c>
      <c r="Y8" s="113">
        <v>0</v>
      </c>
      <c r="Z8" s="113">
        <v>0</v>
      </c>
      <c r="AA8" s="113">
        <v>0</v>
      </c>
      <c r="AB8" s="113">
        <v>0</v>
      </c>
      <c r="AC8" s="113">
        <v>0</v>
      </c>
      <c r="AD8" s="113">
        <v>0</v>
      </c>
      <c r="AE8" s="113">
        <v>0</v>
      </c>
      <c r="AF8" s="113">
        <v>0</v>
      </c>
      <c r="AG8" s="113">
        <v>0</v>
      </c>
      <c r="AH8" s="113">
        <v>0</v>
      </c>
      <c r="AI8" s="113">
        <v>0</v>
      </c>
      <c r="AJ8" s="113">
        <v>0</v>
      </c>
      <c r="AK8" s="113">
        <v>0</v>
      </c>
      <c r="AL8" s="113">
        <v>0</v>
      </c>
      <c r="AM8" s="113">
        <v>0</v>
      </c>
      <c r="AN8" s="113">
        <v>0</v>
      </c>
      <c r="AO8" s="113">
        <v>0</v>
      </c>
      <c r="AP8" s="113">
        <f t="shared" si="2"/>
        <v>2000000</v>
      </c>
      <c r="AQ8" s="113">
        <f t="shared" si="0"/>
        <v>1000000</v>
      </c>
      <c r="AR8" s="113">
        <f t="shared" si="1"/>
        <v>120000</v>
      </c>
      <c r="AS8" s="172">
        <f t="shared" si="3"/>
        <v>1000000</v>
      </c>
    </row>
    <row r="9" spans="1:45" ht="15.75" x14ac:dyDescent="0.3">
      <c r="A9" s="109">
        <v>5</v>
      </c>
      <c r="B9" s="109" t="s">
        <v>91</v>
      </c>
      <c r="C9" s="113">
        <v>1000000</v>
      </c>
      <c r="D9" s="113">
        <v>0</v>
      </c>
      <c r="E9" s="113">
        <v>60000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705000</v>
      </c>
      <c r="V9" s="113">
        <v>1000000</v>
      </c>
      <c r="W9" s="113">
        <v>28200</v>
      </c>
      <c r="X9" s="113">
        <v>0</v>
      </c>
      <c r="Y9" s="113">
        <v>0</v>
      </c>
      <c r="Z9" s="113">
        <v>0</v>
      </c>
      <c r="AA9" s="113">
        <v>0</v>
      </c>
      <c r="AB9" s="113">
        <v>0</v>
      </c>
      <c r="AC9" s="113">
        <v>0</v>
      </c>
      <c r="AD9" s="113">
        <v>0</v>
      </c>
      <c r="AE9" s="113">
        <v>0</v>
      </c>
      <c r="AF9" s="113">
        <v>0</v>
      </c>
      <c r="AG9" s="113">
        <v>0</v>
      </c>
      <c r="AH9" s="113">
        <v>0</v>
      </c>
      <c r="AI9" s="113">
        <v>0</v>
      </c>
      <c r="AJ9" s="113">
        <v>0</v>
      </c>
      <c r="AK9" s="113">
        <v>0</v>
      </c>
      <c r="AL9" s="113">
        <v>0</v>
      </c>
      <c r="AM9" s="113">
        <v>0</v>
      </c>
      <c r="AN9" s="113">
        <v>0</v>
      </c>
      <c r="AO9" s="113">
        <v>0</v>
      </c>
      <c r="AP9" s="113">
        <f t="shared" si="2"/>
        <v>1705000</v>
      </c>
      <c r="AQ9" s="113">
        <f t="shared" si="0"/>
        <v>1000000</v>
      </c>
      <c r="AR9" s="113">
        <f t="shared" si="1"/>
        <v>88200</v>
      </c>
      <c r="AS9" s="172">
        <f t="shared" si="3"/>
        <v>705000</v>
      </c>
    </row>
    <row r="10" spans="1:45" ht="15.75" x14ac:dyDescent="0.3">
      <c r="A10" s="109">
        <v>6</v>
      </c>
      <c r="B10" s="109" t="s">
        <v>92</v>
      </c>
      <c r="C10" s="113">
        <v>1000000</v>
      </c>
      <c r="D10" s="113">
        <v>0</v>
      </c>
      <c r="E10" s="113">
        <v>120000</v>
      </c>
      <c r="F10" s="113">
        <v>0</v>
      </c>
      <c r="G10" s="113">
        <v>0</v>
      </c>
      <c r="H10" s="113">
        <v>0</v>
      </c>
      <c r="I10" s="113">
        <v>0</v>
      </c>
      <c r="J10" s="113">
        <v>0</v>
      </c>
      <c r="K10" s="113">
        <v>0</v>
      </c>
      <c r="L10" s="113">
        <v>0</v>
      </c>
      <c r="M10" s="113">
        <v>0</v>
      </c>
      <c r="N10" s="113">
        <v>0</v>
      </c>
      <c r="O10" s="113">
        <v>0</v>
      </c>
      <c r="P10" s="113">
        <v>0</v>
      </c>
      <c r="Q10" s="113">
        <v>0</v>
      </c>
      <c r="R10" s="113">
        <v>0</v>
      </c>
      <c r="S10" s="113">
        <v>0</v>
      </c>
      <c r="T10" s="113">
        <v>0</v>
      </c>
      <c r="U10" s="113">
        <v>0</v>
      </c>
      <c r="V10" s="113">
        <v>0</v>
      </c>
      <c r="W10" s="113">
        <v>0</v>
      </c>
      <c r="X10" s="113">
        <v>0</v>
      </c>
      <c r="Y10" s="113">
        <v>0</v>
      </c>
      <c r="Z10" s="113">
        <v>0</v>
      </c>
      <c r="AA10" s="113">
        <v>0</v>
      </c>
      <c r="AB10" s="113">
        <v>0</v>
      </c>
      <c r="AC10" s="113">
        <v>0</v>
      </c>
      <c r="AD10" s="113">
        <v>0</v>
      </c>
      <c r="AE10" s="113">
        <v>0</v>
      </c>
      <c r="AF10" s="113">
        <v>0</v>
      </c>
      <c r="AG10" s="113">
        <v>0</v>
      </c>
      <c r="AH10" s="113">
        <v>0</v>
      </c>
      <c r="AI10" s="113">
        <v>0</v>
      </c>
      <c r="AJ10" s="113">
        <v>0</v>
      </c>
      <c r="AK10" s="113">
        <v>0</v>
      </c>
      <c r="AL10" s="113">
        <v>0</v>
      </c>
      <c r="AM10" s="113">
        <v>0</v>
      </c>
      <c r="AN10" s="113">
        <v>0</v>
      </c>
      <c r="AO10" s="113">
        <v>0</v>
      </c>
      <c r="AP10" s="113">
        <f t="shared" si="2"/>
        <v>1000000</v>
      </c>
      <c r="AQ10" s="113">
        <f t="shared" si="0"/>
        <v>0</v>
      </c>
      <c r="AR10" s="113">
        <f t="shared" si="1"/>
        <v>120000</v>
      </c>
      <c r="AS10" s="172">
        <f t="shared" si="3"/>
        <v>1000000</v>
      </c>
    </row>
    <row r="11" spans="1:45" ht="15.75" x14ac:dyDescent="0.3">
      <c r="A11" s="109">
        <v>7</v>
      </c>
      <c r="B11" s="109" t="s">
        <v>93</v>
      </c>
      <c r="C11" s="113">
        <v>0</v>
      </c>
      <c r="D11" s="113">
        <v>0</v>
      </c>
      <c r="E11" s="113">
        <v>0</v>
      </c>
      <c r="F11" s="113">
        <v>0</v>
      </c>
      <c r="G11" s="113">
        <v>0</v>
      </c>
      <c r="H11" s="113">
        <v>0</v>
      </c>
      <c r="I11" s="113">
        <v>0</v>
      </c>
      <c r="J11" s="113">
        <v>0</v>
      </c>
      <c r="K11" s="113">
        <v>0</v>
      </c>
      <c r="L11" s="113">
        <v>0</v>
      </c>
      <c r="M11" s="113">
        <v>0</v>
      </c>
      <c r="N11" s="113">
        <v>0</v>
      </c>
      <c r="O11" s="113">
        <v>0</v>
      </c>
      <c r="P11" s="113">
        <v>0</v>
      </c>
      <c r="Q11" s="113">
        <v>0</v>
      </c>
      <c r="R11" s="113">
        <v>0</v>
      </c>
      <c r="S11" s="113">
        <v>0</v>
      </c>
      <c r="T11" s="113">
        <v>0</v>
      </c>
      <c r="U11" s="113">
        <v>0</v>
      </c>
      <c r="V11" s="113">
        <v>0</v>
      </c>
      <c r="W11" s="113">
        <v>0</v>
      </c>
      <c r="X11" s="113">
        <v>0</v>
      </c>
      <c r="Y11" s="113">
        <v>0</v>
      </c>
      <c r="Z11" s="113">
        <v>0</v>
      </c>
      <c r="AA11" s="113">
        <v>0</v>
      </c>
      <c r="AB11" s="113">
        <v>0</v>
      </c>
      <c r="AC11" s="113">
        <v>0</v>
      </c>
      <c r="AD11" s="113">
        <v>0</v>
      </c>
      <c r="AE11" s="113">
        <v>0</v>
      </c>
      <c r="AF11" s="113">
        <v>0</v>
      </c>
      <c r="AG11" s="113">
        <v>0</v>
      </c>
      <c r="AH11" s="113">
        <v>0</v>
      </c>
      <c r="AI11" s="113">
        <v>0</v>
      </c>
      <c r="AJ11" s="113">
        <v>0</v>
      </c>
      <c r="AK11" s="113">
        <v>0</v>
      </c>
      <c r="AL11" s="113">
        <v>0</v>
      </c>
      <c r="AM11" s="113">
        <v>0</v>
      </c>
      <c r="AN11" s="113">
        <v>0</v>
      </c>
      <c r="AO11" s="113">
        <v>0</v>
      </c>
      <c r="AP11" s="113">
        <f t="shared" si="2"/>
        <v>0</v>
      </c>
      <c r="AQ11" s="113">
        <f t="shared" si="0"/>
        <v>0</v>
      </c>
      <c r="AR11" s="113">
        <f t="shared" si="1"/>
        <v>0</v>
      </c>
      <c r="AS11" s="172">
        <f t="shared" si="3"/>
        <v>0</v>
      </c>
    </row>
    <row r="12" spans="1:45" ht="15.75" x14ac:dyDescent="0.3">
      <c r="A12" s="109">
        <v>8</v>
      </c>
      <c r="B12" s="109" t="s">
        <v>42</v>
      </c>
      <c r="C12" s="113">
        <v>0</v>
      </c>
      <c r="D12" s="113">
        <v>0</v>
      </c>
      <c r="E12" s="113">
        <v>0</v>
      </c>
      <c r="F12" s="113">
        <v>0</v>
      </c>
      <c r="G12" s="113">
        <v>0</v>
      </c>
      <c r="H12" s="113">
        <v>0</v>
      </c>
      <c r="I12" s="113">
        <v>0</v>
      </c>
      <c r="J12" s="113">
        <v>0</v>
      </c>
      <c r="K12" s="113">
        <v>0</v>
      </c>
      <c r="L12" s="113">
        <v>0</v>
      </c>
      <c r="M12" s="113">
        <v>0</v>
      </c>
      <c r="N12" s="113">
        <v>0</v>
      </c>
      <c r="O12" s="113">
        <v>0</v>
      </c>
      <c r="P12" s="113">
        <v>0</v>
      </c>
      <c r="Q12" s="113">
        <v>0</v>
      </c>
      <c r="R12" s="113">
        <v>0</v>
      </c>
      <c r="S12" s="113">
        <v>0</v>
      </c>
      <c r="T12" s="113">
        <v>0</v>
      </c>
      <c r="U12" s="113">
        <v>0</v>
      </c>
      <c r="V12" s="113">
        <v>0</v>
      </c>
      <c r="W12" s="113">
        <v>0</v>
      </c>
      <c r="X12" s="113">
        <v>0</v>
      </c>
      <c r="Y12" s="113">
        <v>0</v>
      </c>
      <c r="Z12" s="113">
        <v>0</v>
      </c>
      <c r="AA12" s="113">
        <v>0</v>
      </c>
      <c r="AB12" s="113">
        <v>0</v>
      </c>
      <c r="AC12" s="113">
        <v>0</v>
      </c>
      <c r="AD12" s="113">
        <v>0</v>
      </c>
      <c r="AE12" s="113">
        <v>0</v>
      </c>
      <c r="AF12" s="113">
        <v>0</v>
      </c>
      <c r="AG12" s="113">
        <v>0</v>
      </c>
      <c r="AH12" s="113">
        <v>0</v>
      </c>
      <c r="AI12" s="113">
        <v>0</v>
      </c>
      <c r="AJ12" s="113">
        <v>0</v>
      </c>
      <c r="AK12" s="113">
        <v>0</v>
      </c>
      <c r="AL12" s="113">
        <v>0</v>
      </c>
      <c r="AM12" s="113">
        <v>0</v>
      </c>
      <c r="AN12" s="113">
        <v>0</v>
      </c>
      <c r="AO12" s="113">
        <v>0</v>
      </c>
      <c r="AP12" s="113">
        <f t="shared" si="2"/>
        <v>0</v>
      </c>
      <c r="AQ12" s="113">
        <f t="shared" si="0"/>
        <v>0</v>
      </c>
      <c r="AR12" s="113">
        <f t="shared" si="1"/>
        <v>0</v>
      </c>
      <c r="AS12" s="172">
        <f t="shared" si="3"/>
        <v>0</v>
      </c>
    </row>
    <row r="13" spans="1:45" ht="15.75" x14ac:dyDescent="0.3">
      <c r="A13" s="109">
        <v>9</v>
      </c>
      <c r="B13" s="109" t="s">
        <v>37</v>
      </c>
      <c r="C13" s="113">
        <v>1000000</v>
      </c>
      <c r="D13" s="113">
        <v>0</v>
      </c>
      <c r="E13" s="113">
        <v>120000</v>
      </c>
      <c r="F13" s="113">
        <v>0</v>
      </c>
      <c r="G13" s="113">
        <v>0</v>
      </c>
      <c r="H13" s="113">
        <v>0</v>
      </c>
      <c r="I13" s="113">
        <v>0</v>
      </c>
      <c r="J13" s="113">
        <v>1000000</v>
      </c>
      <c r="K13" s="113">
        <v>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113">
        <v>0</v>
      </c>
      <c r="X13" s="113">
        <v>0</v>
      </c>
      <c r="Y13" s="113">
        <v>0</v>
      </c>
      <c r="Z13" s="113">
        <v>0</v>
      </c>
      <c r="AA13" s="113">
        <v>0</v>
      </c>
      <c r="AB13" s="113">
        <v>0</v>
      </c>
      <c r="AC13" s="113">
        <v>0</v>
      </c>
      <c r="AD13" s="113">
        <v>0</v>
      </c>
      <c r="AE13" s="113">
        <v>0</v>
      </c>
      <c r="AF13" s="113">
        <v>0</v>
      </c>
      <c r="AG13" s="113">
        <v>0</v>
      </c>
      <c r="AH13" s="113">
        <v>0</v>
      </c>
      <c r="AI13" s="113">
        <v>0</v>
      </c>
      <c r="AJ13" s="113">
        <v>0</v>
      </c>
      <c r="AK13" s="113">
        <v>0</v>
      </c>
      <c r="AL13" s="113">
        <v>0</v>
      </c>
      <c r="AM13" s="113">
        <v>0</v>
      </c>
      <c r="AN13" s="113">
        <v>0</v>
      </c>
      <c r="AO13" s="113">
        <v>0</v>
      </c>
      <c r="AP13" s="113">
        <f t="shared" si="2"/>
        <v>1000000</v>
      </c>
      <c r="AQ13" s="113">
        <f t="shared" si="0"/>
        <v>1000000</v>
      </c>
      <c r="AR13" s="113">
        <f t="shared" si="1"/>
        <v>120000</v>
      </c>
      <c r="AS13" s="172">
        <f t="shared" si="3"/>
        <v>0</v>
      </c>
    </row>
    <row r="14" spans="1:45" ht="15.75" x14ac:dyDescent="0.3">
      <c r="A14" s="109">
        <v>10</v>
      </c>
      <c r="B14" s="109" t="s">
        <v>94</v>
      </c>
      <c r="C14" s="113">
        <v>0</v>
      </c>
      <c r="D14" s="113">
        <v>0</v>
      </c>
      <c r="E14" s="113">
        <v>0</v>
      </c>
      <c r="F14" s="113">
        <v>0</v>
      </c>
      <c r="G14" s="113">
        <v>0</v>
      </c>
      <c r="H14" s="113">
        <v>0</v>
      </c>
      <c r="I14" s="113">
        <v>0</v>
      </c>
      <c r="J14" s="113">
        <v>0</v>
      </c>
      <c r="K14" s="113">
        <v>0</v>
      </c>
      <c r="L14" s="113">
        <v>0</v>
      </c>
      <c r="M14" s="113">
        <v>0</v>
      </c>
      <c r="N14" s="113">
        <v>0</v>
      </c>
      <c r="O14" s="113">
        <v>0</v>
      </c>
      <c r="P14" s="113">
        <v>0</v>
      </c>
      <c r="Q14" s="113">
        <v>0</v>
      </c>
      <c r="R14" s="113">
        <v>0</v>
      </c>
      <c r="S14" s="113">
        <v>0</v>
      </c>
      <c r="T14" s="113">
        <v>0</v>
      </c>
      <c r="U14" s="113">
        <v>0</v>
      </c>
      <c r="V14" s="113">
        <v>0</v>
      </c>
      <c r="W14" s="113">
        <v>0</v>
      </c>
      <c r="X14" s="113">
        <v>1000000</v>
      </c>
      <c r="Y14" s="113">
        <v>0</v>
      </c>
      <c r="Z14" s="113">
        <v>50000</v>
      </c>
      <c r="AA14" s="113">
        <v>0</v>
      </c>
      <c r="AB14" s="113">
        <v>0</v>
      </c>
      <c r="AC14" s="113">
        <v>0</v>
      </c>
      <c r="AD14" s="113">
        <v>0</v>
      </c>
      <c r="AE14" s="113">
        <v>0</v>
      </c>
      <c r="AF14" s="113">
        <v>0</v>
      </c>
      <c r="AG14" s="113">
        <v>0</v>
      </c>
      <c r="AH14" s="113">
        <v>0</v>
      </c>
      <c r="AI14" s="113">
        <v>0</v>
      </c>
      <c r="AJ14" s="113">
        <v>0</v>
      </c>
      <c r="AK14" s="113">
        <v>0</v>
      </c>
      <c r="AL14" s="113">
        <v>0</v>
      </c>
      <c r="AM14" s="113">
        <v>0</v>
      </c>
      <c r="AN14" s="113">
        <v>0</v>
      </c>
      <c r="AO14" s="113">
        <v>0</v>
      </c>
      <c r="AP14" s="113">
        <f t="shared" si="2"/>
        <v>1000000</v>
      </c>
      <c r="AQ14" s="113">
        <f t="shared" si="0"/>
        <v>0</v>
      </c>
      <c r="AR14" s="113">
        <f t="shared" si="1"/>
        <v>50000</v>
      </c>
      <c r="AS14" s="172">
        <f t="shared" si="3"/>
        <v>1000000</v>
      </c>
    </row>
    <row r="15" spans="1:45" ht="15.75" x14ac:dyDescent="0.3">
      <c r="A15" s="109">
        <v>11</v>
      </c>
      <c r="B15" s="109" t="s">
        <v>95</v>
      </c>
      <c r="C15" s="113">
        <v>1000000</v>
      </c>
      <c r="D15" s="113">
        <v>0</v>
      </c>
      <c r="E15" s="113">
        <v>60000</v>
      </c>
      <c r="F15" s="113">
        <v>0</v>
      </c>
      <c r="G15" s="113">
        <v>0</v>
      </c>
      <c r="H15" s="113">
        <v>0</v>
      </c>
      <c r="I15" s="113">
        <v>0</v>
      </c>
      <c r="J15" s="113">
        <v>0</v>
      </c>
      <c r="K15" s="113">
        <v>0</v>
      </c>
      <c r="L15" s="113">
        <v>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3">
        <v>0</v>
      </c>
      <c r="S15" s="113">
        <v>0</v>
      </c>
      <c r="T15" s="113">
        <v>0</v>
      </c>
      <c r="U15" s="113">
        <v>250000</v>
      </c>
      <c r="V15" s="113">
        <v>1000000</v>
      </c>
      <c r="W15" s="113">
        <v>10000</v>
      </c>
      <c r="X15" s="113">
        <v>0</v>
      </c>
      <c r="Y15" s="113">
        <v>0</v>
      </c>
      <c r="Z15" s="113">
        <v>0</v>
      </c>
      <c r="AA15" s="113">
        <v>0</v>
      </c>
      <c r="AB15" s="113">
        <v>0</v>
      </c>
      <c r="AC15" s="113">
        <v>0</v>
      </c>
      <c r="AD15" s="113">
        <v>0</v>
      </c>
      <c r="AE15" s="113">
        <v>100000</v>
      </c>
      <c r="AF15" s="113">
        <v>0</v>
      </c>
      <c r="AG15" s="113">
        <v>0</v>
      </c>
      <c r="AH15" s="113">
        <v>140000</v>
      </c>
      <c r="AI15" s="113">
        <v>0</v>
      </c>
      <c r="AJ15" s="113">
        <v>0</v>
      </c>
      <c r="AK15" s="113">
        <v>0</v>
      </c>
      <c r="AL15" s="113">
        <v>0</v>
      </c>
      <c r="AM15" s="113">
        <v>0</v>
      </c>
      <c r="AN15" s="113">
        <v>0</v>
      </c>
      <c r="AO15" s="113">
        <v>0</v>
      </c>
      <c r="AP15" s="113">
        <f t="shared" si="2"/>
        <v>1250000</v>
      </c>
      <c r="AQ15" s="113">
        <f t="shared" si="0"/>
        <v>1240000</v>
      </c>
      <c r="AR15" s="113">
        <f t="shared" si="1"/>
        <v>70000</v>
      </c>
      <c r="AS15" s="172">
        <f t="shared" si="3"/>
        <v>10000</v>
      </c>
    </row>
    <row r="16" spans="1:45" ht="15.75" x14ac:dyDescent="0.3">
      <c r="A16" s="109">
        <v>12</v>
      </c>
      <c r="B16" s="109" t="s">
        <v>96</v>
      </c>
      <c r="C16" s="113">
        <v>1000000</v>
      </c>
      <c r="D16" s="113">
        <v>0</v>
      </c>
      <c r="E16" s="113">
        <v>40000</v>
      </c>
      <c r="F16" s="113">
        <v>0</v>
      </c>
      <c r="G16" s="113">
        <v>0</v>
      </c>
      <c r="H16" s="113">
        <v>0</v>
      </c>
      <c r="I16" s="113">
        <v>0</v>
      </c>
      <c r="J16" s="113">
        <v>0</v>
      </c>
      <c r="K16" s="113">
        <v>0</v>
      </c>
      <c r="L16" s="113">
        <v>0</v>
      </c>
      <c r="M16" s="113">
        <v>0</v>
      </c>
      <c r="N16" s="113">
        <v>0</v>
      </c>
      <c r="O16" s="113">
        <v>300000</v>
      </c>
      <c r="P16" s="113">
        <v>1000000</v>
      </c>
      <c r="Q16" s="113">
        <v>12000</v>
      </c>
      <c r="R16" s="113">
        <v>0</v>
      </c>
      <c r="S16" s="113">
        <v>0</v>
      </c>
      <c r="T16" s="113">
        <v>0</v>
      </c>
      <c r="U16" s="113">
        <v>0</v>
      </c>
      <c r="V16" s="113">
        <v>0</v>
      </c>
      <c r="W16" s="113">
        <v>0</v>
      </c>
      <c r="X16" s="113">
        <v>0</v>
      </c>
      <c r="Y16" s="113">
        <v>0</v>
      </c>
      <c r="Z16" s="113">
        <v>0</v>
      </c>
      <c r="AA16" s="113">
        <v>0</v>
      </c>
      <c r="AB16" s="113">
        <v>300000</v>
      </c>
      <c r="AC16" s="113">
        <v>0</v>
      </c>
      <c r="AD16" s="113">
        <v>0</v>
      </c>
      <c r="AE16" s="113">
        <v>0</v>
      </c>
      <c r="AF16" s="113">
        <v>0</v>
      </c>
      <c r="AG16" s="113">
        <v>0</v>
      </c>
      <c r="AH16" s="113">
        <v>0</v>
      </c>
      <c r="AI16" s="113">
        <v>0</v>
      </c>
      <c r="AJ16" s="113">
        <v>0</v>
      </c>
      <c r="AK16" s="113">
        <v>0</v>
      </c>
      <c r="AL16" s="113">
        <v>0</v>
      </c>
      <c r="AM16" s="113">
        <v>0</v>
      </c>
      <c r="AN16" s="113">
        <v>0</v>
      </c>
      <c r="AO16" s="113">
        <v>0</v>
      </c>
      <c r="AP16" s="113">
        <f t="shared" si="2"/>
        <v>1300000</v>
      </c>
      <c r="AQ16" s="113">
        <f t="shared" si="0"/>
        <v>1300000</v>
      </c>
      <c r="AR16" s="113">
        <f t="shared" si="1"/>
        <v>52000</v>
      </c>
      <c r="AS16" s="172">
        <f t="shared" si="3"/>
        <v>0</v>
      </c>
    </row>
    <row r="17" spans="1:45" ht="15.75" x14ac:dyDescent="0.3">
      <c r="A17" s="109">
        <v>13</v>
      </c>
      <c r="B17" s="109" t="s">
        <v>97</v>
      </c>
      <c r="C17" s="113">
        <v>1000000</v>
      </c>
      <c r="D17" s="113">
        <v>0</v>
      </c>
      <c r="E17" s="113">
        <v>60000</v>
      </c>
      <c r="F17" s="113">
        <v>0</v>
      </c>
      <c r="G17" s="113">
        <v>0</v>
      </c>
      <c r="H17" s="113">
        <v>0</v>
      </c>
      <c r="I17" s="113">
        <v>0</v>
      </c>
      <c r="J17" s="113">
        <v>0</v>
      </c>
      <c r="K17" s="113">
        <v>0</v>
      </c>
      <c r="L17" s="113">
        <v>0</v>
      </c>
      <c r="M17" s="113">
        <v>0</v>
      </c>
      <c r="N17" s="113">
        <v>0</v>
      </c>
      <c r="O17" s="113">
        <v>0</v>
      </c>
      <c r="P17" s="113">
        <v>0</v>
      </c>
      <c r="Q17" s="113">
        <v>0</v>
      </c>
      <c r="R17" s="113">
        <v>0</v>
      </c>
      <c r="S17" s="113">
        <v>0</v>
      </c>
      <c r="T17" s="113">
        <v>0</v>
      </c>
      <c r="U17" s="113">
        <v>0</v>
      </c>
      <c r="V17" s="113">
        <v>0</v>
      </c>
      <c r="W17" s="113">
        <v>0</v>
      </c>
      <c r="X17" s="113">
        <v>0</v>
      </c>
      <c r="Y17" s="113">
        <v>0</v>
      </c>
      <c r="Z17" s="113">
        <v>0</v>
      </c>
      <c r="AA17" s="113">
        <v>0</v>
      </c>
      <c r="AB17" s="113">
        <v>0</v>
      </c>
      <c r="AC17" s="113">
        <v>0</v>
      </c>
      <c r="AD17" s="113">
        <v>0</v>
      </c>
      <c r="AE17" s="113">
        <v>0</v>
      </c>
      <c r="AF17" s="113">
        <v>0</v>
      </c>
      <c r="AG17" s="113">
        <v>0</v>
      </c>
      <c r="AH17" s="113">
        <v>0</v>
      </c>
      <c r="AI17" s="113">
        <v>0</v>
      </c>
      <c r="AJ17" s="113">
        <v>0</v>
      </c>
      <c r="AK17" s="113">
        <v>0</v>
      </c>
      <c r="AL17" s="113">
        <v>0</v>
      </c>
      <c r="AM17" s="113">
        <v>0</v>
      </c>
      <c r="AN17" s="113">
        <v>0</v>
      </c>
      <c r="AO17" s="113">
        <v>0</v>
      </c>
      <c r="AP17" s="113">
        <f t="shared" si="2"/>
        <v>1000000</v>
      </c>
      <c r="AQ17" s="113">
        <f t="shared" si="0"/>
        <v>0</v>
      </c>
      <c r="AR17" s="113">
        <f t="shared" si="1"/>
        <v>60000</v>
      </c>
      <c r="AS17" s="172">
        <f t="shared" si="3"/>
        <v>1000000</v>
      </c>
    </row>
    <row r="18" spans="1:45" ht="15.75" x14ac:dyDescent="0.3">
      <c r="A18" s="109">
        <v>14</v>
      </c>
      <c r="B18" s="109" t="s">
        <v>98</v>
      </c>
      <c r="C18" s="113">
        <v>500000</v>
      </c>
      <c r="D18" s="113">
        <v>0</v>
      </c>
      <c r="E18" s="113">
        <v>60000</v>
      </c>
      <c r="F18" s="113">
        <v>0</v>
      </c>
      <c r="G18" s="113">
        <v>0</v>
      </c>
      <c r="H18" s="113">
        <v>0</v>
      </c>
      <c r="I18" s="113">
        <v>0</v>
      </c>
      <c r="J18" s="113">
        <v>0</v>
      </c>
      <c r="K18" s="113">
        <v>0</v>
      </c>
      <c r="L18" s="113">
        <v>0</v>
      </c>
      <c r="M18" s="113">
        <v>0</v>
      </c>
      <c r="N18" s="113">
        <v>0</v>
      </c>
      <c r="O18" s="113">
        <v>0</v>
      </c>
      <c r="P18" s="113">
        <v>0</v>
      </c>
      <c r="Q18" s="113">
        <v>0</v>
      </c>
      <c r="R18" s="113">
        <v>0</v>
      </c>
      <c r="S18" s="113">
        <v>0</v>
      </c>
      <c r="T18" s="113">
        <v>0</v>
      </c>
      <c r="U18" s="113">
        <v>0</v>
      </c>
      <c r="V18" s="113">
        <v>0</v>
      </c>
      <c r="W18" s="113">
        <v>0</v>
      </c>
      <c r="X18" s="113">
        <v>0</v>
      </c>
      <c r="Y18" s="113">
        <v>0</v>
      </c>
      <c r="Z18" s="113">
        <v>0</v>
      </c>
      <c r="AA18" s="113">
        <v>0</v>
      </c>
      <c r="AB18" s="113">
        <v>0</v>
      </c>
      <c r="AC18" s="113">
        <v>0</v>
      </c>
      <c r="AD18" s="113">
        <v>0</v>
      </c>
      <c r="AE18" s="113">
        <v>0</v>
      </c>
      <c r="AF18" s="113">
        <v>0</v>
      </c>
      <c r="AG18" s="113">
        <v>0</v>
      </c>
      <c r="AH18" s="113">
        <v>0</v>
      </c>
      <c r="AI18" s="113">
        <v>0</v>
      </c>
      <c r="AJ18" s="113">
        <v>0</v>
      </c>
      <c r="AK18" s="113">
        <v>0</v>
      </c>
      <c r="AL18" s="113">
        <v>0</v>
      </c>
      <c r="AM18" s="113">
        <v>0</v>
      </c>
      <c r="AN18" s="113">
        <v>0</v>
      </c>
      <c r="AO18" s="113">
        <v>0</v>
      </c>
      <c r="AP18" s="113">
        <f t="shared" si="2"/>
        <v>500000</v>
      </c>
      <c r="AQ18" s="113">
        <f t="shared" si="0"/>
        <v>0</v>
      </c>
      <c r="AR18" s="113">
        <f t="shared" si="1"/>
        <v>60000</v>
      </c>
      <c r="AS18" s="172">
        <f t="shared" si="3"/>
        <v>500000</v>
      </c>
    </row>
    <row r="19" spans="1:45" ht="15.75" x14ac:dyDescent="0.3">
      <c r="A19" s="109">
        <v>15</v>
      </c>
      <c r="B19" s="109" t="s">
        <v>99</v>
      </c>
      <c r="C19" s="113">
        <v>1000000</v>
      </c>
      <c r="D19" s="113">
        <v>0</v>
      </c>
      <c r="E19" s="113">
        <v>120000</v>
      </c>
      <c r="F19" s="113">
        <v>0</v>
      </c>
      <c r="G19" s="113">
        <v>0</v>
      </c>
      <c r="H19" s="113">
        <v>0</v>
      </c>
      <c r="I19" s="113">
        <v>0</v>
      </c>
      <c r="J19" s="113">
        <v>0</v>
      </c>
      <c r="K19" s="113">
        <v>0</v>
      </c>
      <c r="L19" s="113">
        <v>0</v>
      </c>
      <c r="M19" s="113">
        <v>0</v>
      </c>
      <c r="N19" s="113">
        <v>0</v>
      </c>
      <c r="O19" s="113">
        <v>0</v>
      </c>
      <c r="P19" s="113">
        <v>0</v>
      </c>
      <c r="Q19" s="113">
        <v>0</v>
      </c>
      <c r="R19" s="113">
        <v>0</v>
      </c>
      <c r="S19" s="113">
        <v>0</v>
      </c>
      <c r="T19" s="113">
        <v>0</v>
      </c>
      <c r="U19" s="113">
        <v>0</v>
      </c>
      <c r="V19" s="113">
        <v>0</v>
      </c>
      <c r="W19" s="113">
        <v>0</v>
      </c>
      <c r="X19" s="113">
        <v>0</v>
      </c>
      <c r="Y19" s="113">
        <v>0</v>
      </c>
      <c r="Z19" s="113">
        <v>0</v>
      </c>
      <c r="AA19" s="113">
        <v>0</v>
      </c>
      <c r="AB19" s="113">
        <v>0</v>
      </c>
      <c r="AC19" s="113">
        <v>0</v>
      </c>
      <c r="AD19" s="113">
        <v>0</v>
      </c>
      <c r="AE19" s="113">
        <v>892500</v>
      </c>
      <c r="AF19" s="113">
        <v>0</v>
      </c>
      <c r="AG19" s="113">
        <v>0</v>
      </c>
      <c r="AH19" s="113">
        <v>0</v>
      </c>
      <c r="AI19" s="113">
        <v>0</v>
      </c>
      <c r="AJ19" s="113">
        <v>0</v>
      </c>
      <c r="AK19" s="113">
        <v>0</v>
      </c>
      <c r="AL19" s="113">
        <v>0</v>
      </c>
      <c r="AM19" s="113">
        <v>0</v>
      </c>
      <c r="AN19" s="113">
        <v>0</v>
      </c>
      <c r="AO19" s="113">
        <v>0</v>
      </c>
      <c r="AP19" s="113">
        <f t="shared" si="2"/>
        <v>1000000</v>
      </c>
      <c r="AQ19" s="113">
        <f t="shared" si="0"/>
        <v>892500</v>
      </c>
      <c r="AR19" s="113">
        <f t="shared" si="1"/>
        <v>120000</v>
      </c>
      <c r="AS19" s="172">
        <f t="shared" si="3"/>
        <v>107500</v>
      </c>
    </row>
    <row r="20" spans="1:45" ht="15.75" x14ac:dyDescent="0.3">
      <c r="A20" s="109">
        <v>16</v>
      </c>
      <c r="B20" s="109" t="s">
        <v>100</v>
      </c>
      <c r="C20" s="113">
        <v>600000</v>
      </c>
      <c r="D20" s="113">
        <v>0</v>
      </c>
      <c r="E20" s="113">
        <v>48000</v>
      </c>
      <c r="F20" s="113">
        <v>0</v>
      </c>
      <c r="G20" s="113">
        <v>0</v>
      </c>
      <c r="H20" s="113">
        <v>0</v>
      </c>
      <c r="I20" s="113">
        <v>0</v>
      </c>
      <c r="J20" s="113">
        <v>0</v>
      </c>
      <c r="K20" s="113">
        <v>0</v>
      </c>
      <c r="L20" s="113">
        <v>0</v>
      </c>
      <c r="M20" s="113">
        <v>0</v>
      </c>
      <c r="N20" s="113">
        <v>0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0</v>
      </c>
      <c r="W20" s="113">
        <v>0</v>
      </c>
      <c r="X20" s="113">
        <v>0</v>
      </c>
      <c r="Y20" s="113">
        <v>0</v>
      </c>
      <c r="Z20" s="113">
        <v>0</v>
      </c>
      <c r="AA20" s="113">
        <v>600000</v>
      </c>
      <c r="AB20" s="113">
        <v>600000</v>
      </c>
      <c r="AC20" s="113">
        <v>0</v>
      </c>
      <c r="AD20" s="113">
        <v>0</v>
      </c>
      <c r="AE20" s="113">
        <v>0</v>
      </c>
      <c r="AF20" s="113">
        <v>0</v>
      </c>
      <c r="AG20" s="113">
        <v>0</v>
      </c>
      <c r="AH20" s="113">
        <v>0</v>
      </c>
      <c r="AI20" s="113">
        <v>0</v>
      </c>
      <c r="AJ20" s="113">
        <v>0</v>
      </c>
      <c r="AK20" s="113">
        <v>0</v>
      </c>
      <c r="AL20" s="113">
        <v>0</v>
      </c>
      <c r="AM20" s="113">
        <v>0</v>
      </c>
      <c r="AN20" s="113">
        <v>0</v>
      </c>
      <c r="AO20" s="113">
        <v>0</v>
      </c>
      <c r="AP20" s="113">
        <f t="shared" si="2"/>
        <v>1200000</v>
      </c>
      <c r="AQ20" s="113">
        <f t="shared" si="0"/>
        <v>600000</v>
      </c>
      <c r="AR20" s="113">
        <f t="shared" si="1"/>
        <v>48000</v>
      </c>
      <c r="AS20" s="172">
        <f t="shared" si="3"/>
        <v>600000</v>
      </c>
    </row>
    <row r="21" spans="1:45" ht="15.75" x14ac:dyDescent="0.3">
      <c r="A21" s="109">
        <v>17</v>
      </c>
      <c r="B21" s="109" t="s">
        <v>38</v>
      </c>
      <c r="C21" s="113">
        <v>1000000</v>
      </c>
      <c r="D21" s="113">
        <v>0</v>
      </c>
      <c r="E21" s="113">
        <v>120000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13">
        <v>0</v>
      </c>
      <c r="N21" s="113">
        <v>0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13">
        <v>0</v>
      </c>
      <c r="Z21" s="113">
        <v>0</v>
      </c>
      <c r="AA21" s="113">
        <v>0</v>
      </c>
      <c r="AB21" s="113">
        <v>0</v>
      </c>
      <c r="AC21" s="113">
        <v>0</v>
      </c>
      <c r="AD21" s="113">
        <v>0</v>
      </c>
      <c r="AE21" s="113">
        <v>0</v>
      </c>
      <c r="AF21" s="113">
        <v>0</v>
      </c>
      <c r="AG21" s="113">
        <v>0</v>
      </c>
      <c r="AH21" s="113">
        <v>0</v>
      </c>
      <c r="AI21" s="113">
        <v>0</v>
      </c>
      <c r="AJ21" s="113">
        <v>0</v>
      </c>
      <c r="AK21" s="113">
        <v>0</v>
      </c>
      <c r="AL21" s="113">
        <v>0</v>
      </c>
      <c r="AM21" s="113">
        <v>0</v>
      </c>
      <c r="AN21" s="113">
        <v>0</v>
      </c>
      <c r="AO21" s="113">
        <v>0</v>
      </c>
      <c r="AP21" s="113">
        <f t="shared" si="2"/>
        <v>1000000</v>
      </c>
      <c r="AQ21" s="113">
        <f t="shared" ref="AQ21:AQ40" si="4">+D21+G21+J21+M21+Y21+AE21+AK21+AH21+AB21+P21+V21</f>
        <v>0</v>
      </c>
      <c r="AR21" s="113">
        <f t="shared" si="1"/>
        <v>120000</v>
      </c>
      <c r="AS21" s="172">
        <f t="shared" si="3"/>
        <v>1000000</v>
      </c>
    </row>
    <row r="22" spans="1:45" ht="15.75" x14ac:dyDescent="0.3">
      <c r="A22" s="109">
        <v>18</v>
      </c>
      <c r="B22" s="109" t="s">
        <v>125</v>
      </c>
      <c r="C22" s="113">
        <v>1000000</v>
      </c>
      <c r="D22" s="113">
        <v>0</v>
      </c>
      <c r="E22" s="113">
        <v>120000</v>
      </c>
      <c r="F22" s="113">
        <v>0</v>
      </c>
      <c r="G22" s="113">
        <v>0</v>
      </c>
      <c r="H22" s="113">
        <v>0</v>
      </c>
      <c r="I22" s="113">
        <v>0</v>
      </c>
      <c r="J22" s="113">
        <v>0</v>
      </c>
      <c r="K22" s="113">
        <v>0</v>
      </c>
      <c r="L22" s="113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3">
        <v>0</v>
      </c>
      <c r="S22" s="113">
        <v>0</v>
      </c>
      <c r="T22" s="113">
        <v>0</v>
      </c>
      <c r="U22" s="113">
        <v>0</v>
      </c>
      <c r="V22" s="113">
        <v>0</v>
      </c>
      <c r="W22" s="113">
        <v>0</v>
      </c>
      <c r="X22" s="113">
        <v>0</v>
      </c>
      <c r="Y22" s="113">
        <v>0</v>
      </c>
      <c r="Z22" s="113">
        <v>0</v>
      </c>
      <c r="AA22" s="113">
        <v>0</v>
      </c>
      <c r="AB22" s="113">
        <v>0</v>
      </c>
      <c r="AC22" s="113">
        <v>0</v>
      </c>
      <c r="AD22" s="113">
        <v>0</v>
      </c>
      <c r="AE22" s="113">
        <v>0</v>
      </c>
      <c r="AF22" s="113">
        <v>0</v>
      </c>
      <c r="AG22" s="113">
        <v>0</v>
      </c>
      <c r="AH22" s="113">
        <v>0</v>
      </c>
      <c r="AI22" s="113">
        <v>0</v>
      </c>
      <c r="AJ22" s="113">
        <v>0</v>
      </c>
      <c r="AK22" s="113">
        <v>0</v>
      </c>
      <c r="AL22" s="113">
        <v>0</v>
      </c>
      <c r="AM22" s="113">
        <v>0</v>
      </c>
      <c r="AN22" s="113">
        <v>0</v>
      </c>
      <c r="AO22" s="113">
        <v>0</v>
      </c>
      <c r="AP22" s="113">
        <f t="shared" si="2"/>
        <v>1000000</v>
      </c>
      <c r="AQ22" s="113">
        <f t="shared" si="4"/>
        <v>0</v>
      </c>
      <c r="AR22" s="113">
        <f t="shared" si="1"/>
        <v>120000</v>
      </c>
      <c r="AS22" s="172">
        <f t="shared" si="3"/>
        <v>1000000</v>
      </c>
    </row>
    <row r="23" spans="1:45" ht="15.75" x14ac:dyDescent="0.3">
      <c r="A23" s="109">
        <v>19</v>
      </c>
      <c r="B23" s="109" t="s">
        <v>126</v>
      </c>
      <c r="C23" s="113">
        <v>1000000</v>
      </c>
      <c r="D23" s="113">
        <v>0</v>
      </c>
      <c r="E23" s="113">
        <v>20000</v>
      </c>
      <c r="F23" s="113">
        <v>0</v>
      </c>
      <c r="G23" s="113">
        <v>0</v>
      </c>
      <c r="H23" s="113">
        <v>0</v>
      </c>
      <c r="I23" s="113">
        <v>1000000</v>
      </c>
      <c r="J23" s="113">
        <v>1000000</v>
      </c>
      <c r="K23" s="113">
        <v>30000</v>
      </c>
      <c r="L23" s="113">
        <v>0</v>
      </c>
      <c r="M23" s="113">
        <v>0</v>
      </c>
      <c r="N23" s="113">
        <v>0</v>
      </c>
      <c r="O23" s="113">
        <v>0</v>
      </c>
      <c r="P23" s="113">
        <v>0</v>
      </c>
      <c r="Q23" s="113">
        <v>0</v>
      </c>
      <c r="R23" s="113">
        <v>1000000</v>
      </c>
      <c r="S23" s="113">
        <v>1000000</v>
      </c>
      <c r="T23" s="113">
        <v>30000</v>
      </c>
      <c r="U23" s="113">
        <v>0</v>
      </c>
      <c r="V23" s="113">
        <v>0</v>
      </c>
      <c r="W23" s="113">
        <v>0</v>
      </c>
      <c r="X23" s="113">
        <v>0</v>
      </c>
      <c r="Y23" s="113">
        <v>0</v>
      </c>
      <c r="Z23" s="113">
        <v>0</v>
      </c>
      <c r="AA23" s="113">
        <v>1000000</v>
      </c>
      <c r="AB23" s="113">
        <v>1000000</v>
      </c>
      <c r="AC23" s="113">
        <v>0</v>
      </c>
      <c r="AD23" s="113">
        <v>0</v>
      </c>
      <c r="AE23" s="113">
        <v>0</v>
      </c>
      <c r="AF23" s="113">
        <v>0</v>
      </c>
      <c r="AG23" s="113">
        <v>0</v>
      </c>
      <c r="AH23" s="113">
        <v>0</v>
      </c>
      <c r="AI23" s="113">
        <v>0</v>
      </c>
      <c r="AJ23" s="113">
        <v>0</v>
      </c>
      <c r="AK23" s="113">
        <v>0</v>
      </c>
      <c r="AL23" s="113">
        <v>0</v>
      </c>
      <c r="AM23" s="113">
        <v>0</v>
      </c>
      <c r="AN23" s="113">
        <v>0</v>
      </c>
      <c r="AO23" s="113">
        <v>0</v>
      </c>
      <c r="AP23" s="113">
        <f t="shared" si="2"/>
        <v>4000000</v>
      </c>
      <c r="AQ23" s="113">
        <f t="shared" si="4"/>
        <v>2000000</v>
      </c>
      <c r="AR23" s="113">
        <f>+E23+H23+K23+N23+Z23+AF23+AL23+AI23+AC23+Q23+W23+T23</f>
        <v>80000</v>
      </c>
      <c r="AS23" s="172">
        <f t="shared" si="3"/>
        <v>2000000</v>
      </c>
    </row>
    <row r="24" spans="1:45" ht="15.75" x14ac:dyDescent="0.3">
      <c r="A24" s="109">
        <v>20</v>
      </c>
      <c r="B24" s="109" t="s">
        <v>103</v>
      </c>
      <c r="C24" s="113">
        <v>1000000</v>
      </c>
      <c r="D24" s="113">
        <v>0</v>
      </c>
      <c r="E24" s="113">
        <v>0</v>
      </c>
      <c r="F24" s="113">
        <v>0</v>
      </c>
      <c r="G24" s="113">
        <v>0</v>
      </c>
      <c r="H24" s="113">
        <v>0</v>
      </c>
      <c r="I24" s="113">
        <v>0</v>
      </c>
      <c r="J24" s="113">
        <v>0</v>
      </c>
      <c r="K24" s="113">
        <v>0</v>
      </c>
      <c r="L24" s="113">
        <v>0</v>
      </c>
      <c r="M24" s="113">
        <v>0</v>
      </c>
      <c r="N24" s="113">
        <v>0</v>
      </c>
      <c r="O24" s="113">
        <v>0</v>
      </c>
      <c r="P24" s="113">
        <v>0</v>
      </c>
      <c r="Q24" s="113">
        <v>0</v>
      </c>
      <c r="R24" s="113">
        <v>0</v>
      </c>
      <c r="S24" s="113">
        <v>0</v>
      </c>
      <c r="T24" s="113">
        <v>0</v>
      </c>
      <c r="U24" s="113">
        <v>0</v>
      </c>
      <c r="V24" s="113">
        <v>0</v>
      </c>
      <c r="W24" s="113">
        <v>0</v>
      </c>
      <c r="X24" s="113">
        <v>0</v>
      </c>
      <c r="Y24" s="113">
        <v>0</v>
      </c>
      <c r="Z24" s="113">
        <v>0</v>
      </c>
      <c r="AA24" s="113">
        <v>0</v>
      </c>
      <c r="AB24" s="113">
        <v>0</v>
      </c>
      <c r="AC24" s="113">
        <v>0</v>
      </c>
      <c r="AD24" s="113">
        <v>0</v>
      </c>
      <c r="AE24" s="113">
        <v>0</v>
      </c>
      <c r="AF24" s="113">
        <v>0</v>
      </c>
      <c r="AG24" s="113">
        <v>0</v>
      </c>
      <c r="AH24" s="113">
        <v>0</v>
      </c>
      <c r="AI24" s="113">
        <v>0</v>
      </c>
      <c r="AJ24" s="113">
        <v>0</v>
      </c>
      <c r="AK24" s="113">
        <v>0</v>
      </c>
      <c r="AL24" s="113">
        <v>0</v>
      </c>
      <c r="AM24" s="113">
        <v>0</v>
      </c>
      <c r="AN24" s="113">
        <v>0</v>
      </c>
      <c r="AO24" s="113">
        <v>0</v>
      </c>
      <c r="AP24" s="113">
        <f t="shared" si="2"/>
        <v>1000000</v>
      </c>
      <c r="AQ24" s="113">
        <f t="shared" si="4"/>
        <v>0</v>
      </c>
      <c r="AR24" s="113">
        <f t="shared" ref="AR24:AR40" si="5">+E24+H24+K24+N24+Z24+AF24+AL24+AI24+AC24+Q24+W24+T24</f>
        <v>0</v>
      </c>
      <c r="AS24" s="172">
        <f t="shared" si="3"/>
        <v>1000000</v>
      </c>
    </row>
    <row r="25" spans="1:45" ht="15.75" x14ac:dyDescent="0.3">
      <c r="A25" s="109">
        <v>21</v>
      </c>
      <c r="B25" s="109" t="s">
        <v>127</v>
      </c>
      <c r="C25" s="113">
        <v>0</v>
      </c>
      <c r="D25" s="113">
        <v>0</v>
      </c>
      <c r="E25" s="113">
        <v>0</v>
      </c>
      <c r="F25" s="113">
        <v>0</v>
      </c>
      <c r="G25" s="113">
        <v>0</v>
      </c>
      <c r="H25" s="113">
        <v>0</v>
      </c>
      <c r="I25" s="113">
        <v>0</v>
      </c>
      <c r="J25" s="113">
        <v>0</v>
      </c>
      <c r="K25" s="113">
        <v>0</v>
      </c>
      <c r="L25" s="113">
        <v>0</v>
      </c>
      <c r="M25" s="113">
        <v>0</v>
      </c>
      <c r="N25" s="113">
        <v>0</v>
      </c>
      <c r="O25" s="113">
        <v>0</v>
      </c>
      <c r="P25" s="113">
        <v>0</v>
      </c>
      <c r="Q25" s="113">
        <v>0</v>
      </c>
      <c r="R25" s="113">
        <v>0</v>
      </c>
      <c r="S25" s="113">
        <v>0</v>
      </c>
      <c r="T25" s="113">
        <v>0</v>
      </c>
      <c r="U25" s="113">
        <v>0</v>
      </c>
      <c r="V25" s="113">
        <v>0</v>
      </c>
      <c r="W25" s="113">
        <v>0</v>
      </c>
      <c r="X25" s="113">
        <v>0</v>
      </c>
      <c r="Y25" s="113">
        <v>0</v>
      </c>
      <c r="Z25" s="113">
        <v>0</v>
      </c>
      <c r="AA25" s="113">
        <v>0</v>
      </c>
      <c r="AB25" s="113">
        <v>0</v>
      </c>
      <c r="AC25" s="113">
        <v>0</v>
      </c>
      <c r="AD25" s="113">
        <v>0</v>
      </c>
      <c r="AE25" s="113">
        <v>0</v>
      </c>
      <c r="AF25" s="113">
        <v>0</v>
      </c>
      <c r="AG25" s="113">
        <v>0</v>
      </c>
      <c r="AH25" s="113">
        <v>0</v>
      </c>
      <c r="AI25" s="113">
        <v>0</v>
      </c>
      <c r="AJ25" s="113">
        <v>0</v>
      </c>
      <c r="AK25" s="113">
        <v>0</v>
      </c>
      <c r="AL25" s="113">
        <v>0</v>
      </c>
      <c r="AM25" s="113">
        <v>0</v>
      </c>
      <c r="AN25" s="113">
        <v>0</v>
      </c>
      <c r="AO25" s="113">
        <v>0</v>
      </c>
      <c r="AP25" s="113">
        <f t="shared" si="2"/>
        <v>0</v>
      </c>
      <c r="AQ25" s="113">
        <f t="shared" si="4"/>
        <v>0</v>
      </c>
      <c r="AR25" s="113">
        <f t="shared" si="5"/>
        <v>0</v>
      </c>
      <c r="AS25" s="172">
        <f t="shared" si="3"/>
        <v>0</v>
      </c>
    </row>
    <row r="26" spans="1:45" ht="15.75" x14ac:dyDescent="0.3">
      <c r="A26" s="109">
        <v>22</v>
      </c>
      <c r="B26" s="109" t="s">
        <v>46</v>
      </c>
      <c r="C26" s="113">
        <v>0</v>
      </c>
      <c r="D26" s="113">
        <v>0</v>
      </c>
      <c r="E26" s="113">
        <v>0</v>
      </c>
      <c r="F26" s="113">
        <v>0</v>
      </c>
      <c r="G26" s="113">
        <v>0</v>
      </c>
      <c r="H26" s="113">
        <v>0</v>
      </c>
      <c r="I26" s="113">
        <v>0</v>
      </c>
      <c r="J26" s="113">
        <v>0</v>
      </c>
      <c r="K26" s="113">
        <v>0</v>
      </c>
      <c r="L26" s="113">
        <v>0</v>
      </c>
      <c r="M26" s="113">
        <v>0</v>
      </c>
      <c r="N26" s="113">
        <v>0</v>
      </c>
      <c r="O26" s="113">
        <v>0</v>
      </c>
      <c r="P26" s="113">
        <v>0</v>
      </c>
      <c r="Q26" s="113">
        <v>0</v>
      </c>
      <c r="R26" s="113">
        <v>0</v>
      </c>
      <c r="S26" s="113">
        <v>0</v>
      </c>
      <c r="T26" s="113">
        <v>0</v>
      </c>
      <c r="U26" s="113">
        <v>0</v>
      </c>
      <c r="V26" s="113">
        <v>0</v>
      </c>
      <c r="W26" s="113">
        <v>0</v>
      </c>
      <c r="X26" s="113">
        <v>0</v>
      </c>
      <c r="Y26" s="113">
        <v>0</v>
      </c>
      <c r="Z26" s="113">
        <v>0</v>
      </c>
      <c r="AA26" s="113">
        <v>0</v>
      </c>
      <c r="AB26" s="113">
        <v>0</v>
      </c>
      <c r="AC26" s="113">
        <v>0</v>
      </c>
      <c r="AD26" s="113">
        <v>0</v>
      </c>
      <c r="AE26" s="113">
        <v>0</v>
      </c>
      <c r="AF26" s="113">
        <v>0</v>
      </c>
      <c r="AG26" s="113">
        <v>0</v>
      </c>
      <c r="AH26" s="113">
        <v>0</v>
      </c>
      <c r="AI26" s="113">
        <v>0</v>
      </c>
      <c r="AJ26" s="113">
        <v>0</v>
      </c>
      <c r="AK26" s="113">
        <v>0</v>
      </c>
      <c r="AL26" s="113">
        <v>0</v>
      </c>
      <c r="AM26" s="113">
        <v>0</v>
      </c>
      <c r="AN26" s="113">
        <v>0</v>
      </c>
      <c r="AO26" s="113">
        <v>0</v>
      </c>
      <c r="AP26" s="113">
        <f t="shared" si="2"/>
        <v>0</v>
      </c>
      <c r="AQ26" s="113">
        <f t="shared" si="4"/>
        <v>0</v>
      </c>
      <c r="AR26" s="113">
        <f t="shared" si="5"/>
        <v>0</v>
      </c>
      <c r="AS26" s="172">
        <f t="shared" si="3"/>
        <v>0</v>
      </c>
    </row>
    <row r="27" spans="1:45" ht="15.75" x14ac:dyDescent="0.3">
      <c r="A27" s="109">
        <v>24</v>
      </c>
      <c r="B27" s="109" t="s">
        <v>40</v>
      </c>
      <c r="C27" s="113">
        <v>1000000</v>
      </c>
      <c r="D27" s="113">
        <v>0</v>
      </c>
      <c r="E27" s="113">
        <v>120000</v>
      </c>
      <c r="F27" s="113">
        <v>0</v>
      </c>
      <c r="G27" s="113">
        <v>0</v>
      </c>
      <c r="H27" s="113">
        <v>0</v>
      </c>
      <c r="I27" s="113">
        <v>0</v>
      </c>
      <c r="J27" s="113">
        <v>0</v>
      </c>
      <c r="K27" s="113">
        <v>0</v>
      </c>
      <c r="L27" s="113">
        <v>0</v>
      </c>
      <c r="M27" s="113">
        <v>0</v>
      </c>
      <c r="N27" s="113">
        <v>0</v>
      </c>
      <c r="O27" s="113">
        <v>0</v>
      </c>
      <c r="P27" s="113">
        <v>0</v>
      </c>
      <c r="Q27" s="113">
        <v>0</v>
      </c>
      <c r="R27" s="113">
        <v>0</v>
      </c>
      <c r="S27" s="113">
        <v>0</v>
      </c>
      <c r="T27" s="113">
        <v>0</v>
      </c>
      <c r="U27" s="113">
        <v>0</v>
      </c>
      <c r="V27" s="113">
        <v>0</v>
      </c>
      <c r="W27" s="113">
        <v>0</v>
      </c>
      <c r="X27" s="113">
        <v>0</v>
      </c>
      <c r="Y27" s="113">
        <v>0</v>
      </c>
      <c r="Z27" s="113">
        <v>0</v>
      </c>
      <c r="AA27" s="113">
        <v>0</v>
      </c>
      <c r="AB27" s="113">
        <v>0</v>
      </c>
      <c r="AC27" s="113">
        <v>0</v>
      </c>
      <c r="AD27" s="113">
        <v>0</v>
      </c>
      <c r="AE27" s="113">
        <v>0</v>
      </c>
      <c r="AF27" s="113">
        <v>0</v>
      </c>
      <c r="AG27" s="113">
        <v>0</v>
      </c>
      <c r="AH27" s="113">
        <v>0</v>
      </c>
      <c r="AI27" s="113">
        <v>0</v>
      </c>
      <c r="AJ27" s="113">
        <v>0</v>
      </c>
      <c r="AK27" s="113">
        <v>0</v>
      </c>
      <c r="AL27" s="113">
        <v>0</v>
      </c>
      <c r="AM27" s="113">
        <v>0</v>
      </c>
      <c r="AN27" s="113">
        <v>0</v>
      </c>
      <c r="AO27" s="113">
        <v>0</v>
      </c>
      <c r="AP27" s="113">
        <f t="shared" si="2"/>
        <v>1000000</v>
      </c>
      <c r="AQ27" s="113">
        <f t="shared" si="4"/>
        <v>0</v>
      </c>
      <c r="AR27" s="113">
        <f t="shared" si="5"/>
        <v>120000</v>
      </c>
      <c r="AS27" s="172">
        <f t="shared" si="3"/>
        <v>1000000</v>
      </c>
    </row>
    <row r="28" spans="1:45" ht="15.75" x14ac:dyDescent="0.3">
      <c r="A28" s="109">
        <v>25</v>
      </c>
      <c r="B28" s="109" t="s">
        <v>105</v>
      </c>
      <c r="C28" s="113">
        <v>1000000</v>
      </c>
      <c r="D28" s="113">
        <v>0</v>
      </c>
      <c r="E28" s="113">
        <v>30000</v>
      </c>
      <c r="F28" s="113">
        <v>0</v>
      </c>
      <c r="G28" s="113">
        <v>0</v>
      </c>
      <c r="H28" s="113">
        <v>0</v>
      </c>
      <c r="I28" s="113">
        <v>0</v>
      </c>
      <c r="J28" s="113">
        <v>0</v>
      </c>
      <c r="K28" s="113">
        <v>0</v>
      </c>
      <c r="L28" s="113">
        <v>200000</v>
      </c>
      <c r="M28" s="113">
        <v>1000000</v>
      </c>
      <c r="N28" s="113">
        <v>6000</v>
      </c>
      <c r="O28" s="113">
        <v>700000</v>
      </c>
      <c r="P28" s="113">
        <v>200000</v>
      </c>
      <c r="Q28" s="113">
        <v>42000</v>
      </c>
      <c r="R28" s="113">
        <v>0</v>
      </c>
      <c r="S28" s="113">
        <v>0</v>
      </c>
      <c r="T28" s="113">
        <v>0</v>
      </c>
      <c r="U28" s="113">
        <v>0</v>
      </c>
      <c r="V28" s="113">
        <v>0</v>
      </c>
      <c r="W28" s="113">
        <v>0</v>
      </c>
      <c r="X28" s="113">
        <v>0</v>
      </c>
      <c r="Y28" s="113">
        <v>250000</v>
      </c>
      <c r="Z28" s="113">
        <v>0</v>
      </c>
      <c r="AA28" s="113">
        <v>0</v>
      </c>
      <c r="AB28" s="113">
        <v>250000</v>
      </c>
      <c r="AC28" s="113">
        <v>0</v>
      </c>
      <c r="AD28" s="113">
        <v>0</v>
      </c>
      <c r="AE28" s="113">
        <v>0</v>
      </c>
      <c r="AF28" s="113">
        <v>0</v>
      </c>
      <c r="AG28" s="113">
        <v>0</v>
      </c>
      <c r="AH28" s="113">
        <v>0</v>
      </c>
      <c r="AI28" s="113">
        <v>0</v>
      </c>
      <c r="AJ28" s="113">
        <v>0</v>
      </c>
      <c r="AK28" s="113">
        <v>0</v>
      </c>
      <c r="AL28" s="113">
        <v>0</v>
      </c>
      <c r="AM28" s="113">
        <v>0</v>
      </c>
      <c r="AN28" s="113">
        <v>0</v>
      </c>
      <c r="AO28" s="113">
        <v>0</v>
      </c>
      <c r="AP28" s="113">
        <f t="shared" si="2"/>
        <v>1900000</v>
      </c>
      <c r="AQ28" s="113">
        <f t="shared" si="4"/>
        <v>1700000</v>
      </c>
      <c r="AR28" s="113">
        <f t="shared" si="5"/>
        <v>78000</v>
      </c>
      <c r="AS28" s="172">
        <f t="shared" si="3"/>
        <v>200000</v>
      </c>
    </row>
    <row r="29" spans="1:45" ht="15.75" x14ac:dyDescent="0.3">
      <c r="A29" s="109">
        <v>26</v>
      </c>
      <c r="B29" s="109" t="s">
        <v>106</v>
      </c>
      <c r="C29" s="113">
        <v>1011250</v>
      </c>
      <c r="D29" s="113">
        <v>0</v>
      </c>
      <c r="E29" s="113">
        <v>0</v>
      </c>
      <c r="F29" s="113">
        <v>0</v>
      </c>
      <c r="G29" s="113">
        <v>0</v>
      </c>
      <c r="H29" s="113">
        <v>0</v>
      </c>
      <c r="I29" s="113">
        <v>0</v>
      </c>
      <c r="J29" s="113">
        <v>0</v>
      </c>
      <c r="K29" s="113">
        <v>0</v>
      </c>
      <c r="L29" s="113">
        <v>0</v>
      </c>
      <c r="M29" s="113">
        <v>0</v>
      </c>
      <c r="N29" s="113">
        <v>0</v>
      </c>
      <c r="O29" s="113">
        <v>0</v>
      </c>
      <c r="P29" s="113">
        <v>0</v>
      </c>
      <c r="Q29" s="113">
        <v>0</v>
      </c>
      <c r="R29" s="113">
        <v>0</v>
      </c>
      <c r="S29" s="113">
        <v>0</v>
      </c>
      <c r="T29" s="113">
        <v>0</v>
      </c>
      <c r="U29" s="113">
        <v>0</v>
      </c>
      <c r="V29" s="113">
        <v>0</v>
      </c>
      <c r="W29" s="113">
        <v>0</v>
      </c>
      <c r="X29" s="113">
        <v>0</v>
      </c>
      <c r="Y29" s="113">
        <v>0</v>
      </c>
      <c r="Z29" s="113">
        <v>0</v>
      </c>
      <c r="AA29" s="113">
        <v>0</v>
      </c>
      <c r="AB29" s="113">
        <v>0</v>
      </c>
      <c r="AC29" s="113">
        <v>0</v>
      </c>
      <c r="AD29" s="113">
        <v>0</v>
      </c>
      <c r="AE29" s="113">
        <v>0</v>
      </c>
      <c r="AF29" s="113">
        <v>0</v>
      </c>
      <c r="AG29" s="113">
        <v>0</v>
      </c>
      <c r="AH29" s="113">
        <v>0</v>
      </c>
      <c r="AI29" s="113">
        <v>0</v>
      </c>
      <c r="AJ29" s="113">
        <v>0</v>
      </c>
      <c r="AK29" s="113">
        <v>0</v>
      </c>
      <c r="AL29" s="113">
        <v>0</v>
      </c>
      <c r="AM29" s="113">
        <v>0</v>
      </c>
      <c r="AN29" s="113">
        <v>0</v>
      </c>
      <c r="AO29" s="113">
        <v>0</v>
      </c>
      <c r="AP29" s="113">
        <f t="shared" si="2"/>
        <v>1011250</v>
      </c>
      <c r="AQ29" s="113">
        <f t="shared" si="4"/>
        <v>0</v>
      </c>
      <c r="AR29" s="113">
        <f t="shared" si="5"/>
        <v>0</v>
      </c>
      <c r="AS29" s="172">
        <f t="shared" si="3"/>
        <v>1011250</v>
      </c>
    </row>
    <row r="30" spans="1:45" ht="15.75" x14ac:dyDescent="0.3">
      <c r="A30" s="109">
        <v>27</v>
      </c>
      <c r="B30" s="109" t="s">
        <v>107</v>
      </c>
      <c r="C30" s="113">
        <v>0</v>
      </c>
      <c r="D30" s="113">
        <v>0</v>
      </c>
      <c r="E30" s="113">
        <v>0</v>
      </c>
      <c r="F30" s="113">
        <v>0</v>
      </c>
      <c r="G30" s="113">
        <v>0</v>
      </c>
      <c r="H30" s="113">
        <v>0</v>
      </c>
      <c r="I30" s="113">
        <v>0</v>
      </c>
      <c r="J30" s="113">
        <v>0</v>
      </c>
      <c r="K30" s="113">
        <v>0</v>
      </c>
      <c r="L30" s="113">
        <v>0</v>
      </c>
      <c r="M30" s="113">
        <v>0</v>
      </c>
      <c r="N30" s="113">
        <v>0</v>
      </c>
      <c r="O30" s="113">
        <v>1000000</v>
      </c>
      <c r="P30" s="113">
        <v>0</v>
      </c>
      <c r="Q30" s="113">
        <v>60000</v>
      </c>
      <c r="R30" s="113">
        <v>0</v>
      </c>
      <c r="S30" s="113">
        <v>0</v>
      </c>
      <c r="T30" s="113">
        <v>0</v>
      </c>
      <c r="U30" s="113">
        <v>0</v>
      </c>
      <c r="V30" s="113">
        <v>0</v>
      </c>
      <c r="W30" s="113">
        <v>0</v>
      </c>
      <c r="X30" s="113">
        <v>0</v>
      </c>
      <c r="Y30" s="113">
        <v>0</v>
      </c>
      <c r="Z30" s="113">
        <v>0</v>
      </c>
      <c r="AA30" s="113">
        <v>0</v>
      </c>
      <c r="AB30" s="113">
        <v>0</v>
      </c>
      <c r="AC30" s="113">
        <v>0</v>
      </c>
      <c r="AD30" s="113">
        <v>0</v>
      </c>
      <c r="AE30" s="113">
        <v>110000</v>
      </c>
      <c r="AF30" s="113">
        <v>0</v>
      </c>
      <c r="AG30" s="113">
        <v>0</v>
      </c>
      <c r="AH30" s="113">
        <v>290000</v>
      </c>
      <c r="AI30" s="113">
        <v>0</v>
      </c>
      <c r="AJ30" s="113">
        <v>0</v>
      </c>
      <c r="AK30" s="113">
        <v>0</v>
      </c>
      <c r="AL30" s="113">
        <v>0</v>
      </c>
      <c r="AM30" s="113">
        <v>0</v>
      </c>
      <c r="AN30" s="113">
        <v>0</v>
      </c>
      <c r="AO30" s="113">
        <v>0</v>
      </c>
      <c r="AP30" s="113">
        <f t="shared" si="2"/>
        <v>1000000</v>
      </c>
      <c r="AQ30" s="113">
        <f t="shared" si="4"/>
        <v>400000</v>
      </c>
      <c r="AR30" s="113">
        <f t="shared" si="5"/>
        <v>60000</v>
      </c>
      <c r="AS30" s="172">
        <f t="shared" si="3"/>
        <v>600000</v>
      </c>
    </row>
    <row r="31" spans="1:45" ht="15.75" x14ac:dyDescent="0.3">
      <c r="A31" s="109">
        <v>28</v>
      </c>
      <c r="B31" s="109" t="s">
        <v>109</v>
      </c>
      <c r="C31" s="113">
        <f>788500</f>
        <v>788500</v>
      </c>
      <c r="D31" s="113">
        <v>536842</v>
      </c>
      <c r="E31" s="113">
        <v>0</v>
      </c>
      <c r="F31" s="113">
        <v>0</v>
      </c>
      <c r="G31" s="113">
        <v>0</v>
      </c>
      <c r="H31" s="113">
        <v>0</v>
      </c>
      <c r="I31" s="113">
        <v>0</v>
      </c>
      <c r="J31" s="113">
        <v>0</v>
      </c>
      <c r="K31" s="113">
        <v>0</v>
      </c>
      <c r="L31" s="113">
        <v>0</v>
      </c>
      <c r="M31" s="113">
        <v>0</v>
      </c>
      <c r="N31" s="113">
        <v>0</v>
      </c>
      <c r="O31" s="113">
        <v>0</v>
      </c>
      <c r="P31" s="113">
        <v>0</v>
      </c>
      <c r="Q31" s="113">
        <v>0</v>
      </c>
      <c r="R31" s="113">
        <v>0</v>
      </c>
      <c r="S31" s="113">
        <v>0</v>
      </c>
      <c r="T31" s="113">
        <v>0</v>
      </c>
      <c r="U31" s="113">
        <v>0</v>
      </c>
      <c r="V31" s="113">
        <v>0</v>
      </c>
      <c r="W31" s="113">
        <v>0</v>
      </c>
      <c r="X31" s="113">
        <v>0</v>
      </c>
      <c r="Y31" s="113">
        <v>0</v>
      </c>
      <c r="Z31" s="113">
        <v>0</v>
      </c>
      <c r="AA31" s="113">
        <v>0</v>
      </c>
      <c r="AB31" s="113">
        <v>0</v>
      </c>
      <c r="AC31" s="113">
        <v>0</v>
      </c>
      <c r="AD31" s="113">
        <v>0</v>
      </c>
      <c r="AE31" s="113">
        <v>0</v>
      </c>
      <c r="AF31" s="113">
        <v>0</v>
      </c>
      <c r="AG31" s="113">
        <v>0</v>
      </c>
      <c r="AH31" s="113">
        <v>0</v>
      </c>
      <c r="AI31" s="113">
        <v>0</v>
      </c>
      <c r="AJ31" s="113">
        <v>0</v>
      </c>
      <c r="AK31" s="113">
        <v>0</v>
      </c>
      <c r="AL31" s="113">
        <v>0</v>
      </c>
      <c r="AM31" s="113">
        <v>0</v>
      </c>
      <c r="AN31" s="113">
        <v>0</v>
      </c>
      <c r="AO31" s="113">
        <v>0</v>
      </c>
      <c r="AP31" s="113">
        <f t="shared" si="2"/>
        <v>788500</v>
      </c>
      <c r="AQ31" s="113">
        <f t="shared" si="4"/>
        <v>536842</v>
      </c>
      <c r="AR31" s="113">
        <f t="shared" si="5"/>
        <v>0</v>
      </c>
      <c r="AS31" s="172">
        <f t="shared" si="3"/>
        <v>251658</v>
      </c>
    </row>
    <row r="32" spans="1:45" ht="15.75" x14ac:dyDescent="0.3">
      <c r="A32" s="109">
        <v>29</v>
      </c>
      <c r="B32" s="109" t="s">
        <v>110</v>
      </c>
      <c r="C32" s="113">
        <f>1067000</f>
        <v>1067000</v>
      </c>
      <c r="D32" s="113">
        <v>537217</v>
      </c>
      <c r="E32" s="113">
        <v>0</v>
      </c>
      <c r="F32" s="113">
        <v>0</v>
      </c>
      <c r="G32" s="113">
        <v>0</v>
      </c>
      <c r="H32" s="113">
        <v>0</v>
      </c>
      <c r="I32" s="113">
        <v>0</v>
      </c>
      <c r="J32" s="113">
        <v>0</v>
      </c>
      <c r="K32" s="113">
        <v>0</v>
      </c>
      <c r="L32" s="113">
        <v>0</v>
      </c>
      <c r="M32" s="113">
        <v>0</v>
      </c>
      <c r="N32" s="113">
        <v>0</v>
      </c>
      <c r="O32" s="113">
        <v>0</v>
      </c>
      <c r="P32" s="113">
        <v>0</v>
      </c>
      <c r="Q32" s="113">
        <v>0</v>
      </c>
      <c r="R32" s="113">
        <v>0</v>
      </c>
      <c r="S32" s="113">
        <v>0</v>
      </c>
      <c r="T32" s="113">
        <v>0</v>
      </c>
      <c r="U32" s="113">
        <v>0</v>
      </c>
      <c r="V32" s="113">
        <v>0</v>
      </c>
      <c r="W32" s="113">
        <v>0</v>
      </c>
      <c r="X32" s="113">
        <v>0</v>
      </c>
      <c r="Y32" s="113">
        <v>0</v>
      </c>
      <c r="Z32" s="113">
        <v>0</v>
      </c>
      <c r="AA32" s="113">
        <v>0</v>
      </c>
      <c r="AB32" s="113">
        <v>0</v>
      </c>
      <c r="AC32" s="113">
        <v>0</v>
      </c>
      <c r="AD32" s="113">
        <v>0</v>
      </c>
      <c r="AE32" s="113">
        <v>0</v>
      </c>
      <c r="AF32" s="113">
        <v>0</v>
      </c>
      <c r="AG32" s="113">
        <v>0</v>
      </c>
      <c r="AH32" s="113">
        <v>0</v>
      </c>
      <c r="AI32" s="113">
        <v>0</v>
      </c>
      <c r="AJ32" s="113">
        <v>0</v>
      </c>
      <c r="AK32" s="113">
        <v>0</v>
      </c>
      <c r="AL32" s="113">
        <v>0</v>
      </c>
      <c r="AM32" s="113">
        <v>0</v>
      </c>
      <c r="AN32" s="113">
        <v>0</v>
      </c>
      <c r="AO32" s="113">
        <v>0</v>
      </c>
      <c r="AP32" s="113">
        <f t="shared" si="2"/>
        <v>1067000</v>
      </c>
      <c r="AQ32" s="113">
        <f t="shared" si="4"/>
        <v>537217</v>
      </c>
      <c r="AR32" s="113">
        <f t="shared" si="5"/>
        <v>0</v>
      </c>
      <c r="AS32" s="172">
        <f t="shared" si="3"/>
        <v>529783</v>
      </c>
    </row>
    <row r="33" spans="1:45" ht="15.75" x14ac:dyDescent="0.3">
      <c r="A33" s="109">
        <v>30</v>
      </c>
      <c r="B33" s="109" t="s">
        <v>104</v>
      </c>
      <c r="C33" s="113">
        <f>1453000</f>
        <v>1453000</v>
      </c>
      <c r="D33" s="113">
        <v>606468</v>
      </c>
      <c r="E33" s="113">
        <v>0</v>
      </c>
      <c r="F33" s="113">
        <v>0</v>
      </c>
      <c r="G33" s="113">
        <v>0</v>
      </c>
      <c r="H33" s="113">
        <v>0</v>
      </c>
      <c r="I33" s="113">
        <v>0</v>
      </c>
      <c r="J33" s="113">
        <v>0</v>
      </c>
      <c r="K33" s="113">
        <v>0</v>
      </c>
      <c r="L33" s="113">
        <v>0</v>
      </c>
      <c r="M33" s="113">
        <v>0</v>
      </c>
      <c r="N33" s="113">
        <v>0</v>
      </c>
      <c r="O33" s="113">
        <v>0</v>
      </c>
      <c r="P33" s="113">
        <v>0</v>
      </c>
      <c r="Q33" s="113">
        <v>0</v>
      </c>
      <c r="R33" s="113">
        <v>0</v>
      </c>
      <c r="S33" s="113">
        <v>0</v>
      </c>
      <c r="T33" s="113">
        <v>0</v>
      </c>
      <c r="U33" s="113">
        <v>0</v>
      </c>
      <c r="V33" s="113">
        <v>0</v>
      </c>
      <c r="W33" s="113">
        <v>0</v>
      </c>
      <c r="X33" s="113">
        <v>0</v>
      </c>
      <c r="Y33" s="113">
        <v>846532</v>
      </c>
      <c r="Z33" s="113">
        <v>0</v>
      </c>
      <c r="AA33" s="113">
        <v>0</v>
      </c>
      <c r="AB33" s="113">
        <v>0</v>
      </c>
      <c r="AC33" s="113">
        <v>0</v>
      </c>
      <c r="AD33" s="113">
        <v>0</v>
      </c>
      <c r="AE33" s="113">
        <v>0</v>
      </c>
      <c r="AF33" s="113">
        <v>0</v>
      </c>
      <c r="AG33" s="113">
        <v>0</v>
      </c>
      <c r="AH33" s="113">
        <v>0</v>
      </c>
      <c r="AI33" s="113">
        <v>0</v>
      </c>
      <c r="AJ33" s="113">
        <v>0</v>
      </c>
      <c r="AK33" s="113">
        <v>0</v>
      </c>
      <c r="AL33" s="113">
        <v>0</v>
      </c>
      <c r="AM33" s="113">
        <v>0</v>
      </c>
      <c r="AN33" s="113">
        <v>0</v>
      </c>
      <c r="AO33" s="113">
        <v>0</v>
      </c>
      <c r="AP33" s="113">
        <f t="shared" si="2"/>
        <v>1453000</v>
      </c>
      <c r="AQ33" s="113">
        <f t="shared" si="4"/>
        <v>1453000</v>
      </c>
      <c r="AR33" s="113">
        <f t="shared" si="5"/>
        <v>0</v>
      </c>
      <c r="AS33" s="172">
        <f t="shared" si="3"/>
        <v>0</v>
      </c>
    </row>
    <row r="34" spans="1:45" ht="15.75" x14ac:dyDescent="0.3">
      <c r="A34" s="109">
        <v>31</v>
      </c>
      <c r="B34" s="109" t="s">
        <v>114</v>
      </c>
      <c r="C34" s="113">
        <f>1132500</f>
        <v>1132500</v>
      </c>
      <c r="D34" s="113">
        <v>540421</v>
      </c>
      <c r="E34" s="113">
        <v>0</v>
      </c>
      <c r="F34" s="113">
        <v>0</v>
      </c>
      <c r="G34" s="113">
        <v>0</v>
      </c>
      <c r="H34" s="113">
        <v>0</v>
      </c>
      <c r="I34" s="113">
        <v>0</v>
      </c>
      <c r="J34" s="113">
        <v>0</v>
      </c>
      <c r="K34" s="113">
        <v>0</v>
      </c>
      <c r="L34" s="113">
        <v>0</v>
      </c>
      <c r="M34" s="113">
        <v>0</v>
      </c>
      <c r="N34" s="113">
        <v>0</v>
      </c>
      <c r="O34" s="113">
        <v>0</v>
      </c>
      <c r="P34" s="113">
        <v>0</v>
      </c>
      <c r="Q34" s="113">
        <v>0</v>
      </c>
      <c r="R34" s="113">
        <v>0</v>
      </c>
      <c r="S34" s="113">
        <v>0</v>
      </c>
      <c r="T34" s="113">
        <v>0</v>
      </c>
      <c r="U34" s="113">
        <v>0</v>
      </c>
      <c r="V34" s="113">
        <v>0</v>
      </c>
      <c r="W34" s="113">
        <v>0</v>
      </c>
      <c r="X34" s="113">
        <v>0</v>
      </c>
      <c r="Y34" s="113">
        <v>0</v>
      </c>
      <c r="Z34" s="113">
        <v>0</v>
      </c>
      <c r="AA34" s="113">
        <v>0</v>
      </c>
      <c r="AB34" s="113">
        <v>0</v>
      </c>
      <c r="AC34" s="113">
        <v>0</v>
      </c>
      <c r="AD34" s="113">
        <v>0</v>
      </c>
      <c r="AE34" s="113">
        <v>0</v>
      </c>
      <c r="AF34" s="113">
        <v>0</v>
      </c>
      <c r="AG34" s="113">
        <v>0</v>
      </c>
      <c r="AH34" s="113">
        <v>0</v>
      </c>
      <c r="AI34" s="113">
        <v>0</v>
      </c>
      <c r="AJ34" s="113">
        <v>0</v>
      </c>
      <c r="AK34" s="113">
        <v>0</v>
      </c>
      <c r="AL34" s="113">
        <v>0</v>
      </c>
      <c r="AM34" s="113">
        <v>0</v>
      </c>
      <c r="AN34" s="113">
        <v>0</v>
      </c>
      <c r="AO34" s="113">
        <v>0</v>
      </c>
      <c r="AP34" s="113">
        <f t="shared" si="2"/>
        <v>1132500</v>
      </c>
      <c r="AQ34" s="113">
        <f t="shared" si="4"/>
        <v>540421</v>
      </c>
      <c r="AR34" s="113">
        <f t="shared" si="5"/>
        <v>0</v>
      </c>
      <c r="AS34" s="172">
        <f t="shared" si="3"/>
        <v>592079</v>
      </c>
    </row>
    <row r="35" spans="1:45" ht="15.75" x14ac:dyDescent="0.3">
      <c r="A35" s="109">
        <v>31</v>
      </c>
      <c r="B35" s="109" t="s">
        <v>128</v>
      </c>
      <c r="C35" s="113">
        <v>243805</v>
      </c>
      <c r="D35" s="113">
        <v>0</v>
      </c>
      <c r="E35" s="113">
        <v>0</v>
      </c>
      <c r="F35" s="113">
        <v>0</v>
      </c>
      <c r="G35" s="113">
        <v>0</v>
      </c>
      <c r="H35" s="113">
        <v>0</v>
      </c>
      <c r="I35" s="113">
        <v>0</v>
      </c>
      <c r="J35" s="113">
        <v>0</v>
      </c>
      <c r="K35" s="113">
        <v>0</v>
      </c>
      <c r="L35" s="113">
        <v>0</v>
      </c>
      <c r="M35" s="113">
        <v>0</v>
      </c>
      <c r="N35" s="113">
        <v>0</v>
      </c>
      <c r="O35" s="113">
        <v>0</v>
      </c>
      <c r="P35" s="113">
        <v>0</v>
      </c>
      <c r="Q35" s="113">
        <v>0</v>
      </c>
      <c r="R35" s="113">
        <v>0</v>
      </c>
      <c r="S35" s="113">
        <v>0</v>
      </c>
      <c r="T35" s="113">
        <v>0</v>
      </c>
      <c r="U35" s="113">
        <v>0</v>
      </c>
      <c r="V35" s="113">
        <v>0</v>
      </c>
      <c r="W35" s="113">
        <v>0</v>
      </c>
      <c r="X35" s="113">
        <v>0</v>
      </c>
      <c r="Y35" s="113">
        <v>0</v>
      </c>
      <c r="Z35" s="113">
        <v>0</v>
      </c>
      <c r="AA35" s="113">
        <v>0</v>
      </c>
      <c r="AB35" s="113">
        <v>0</v>
      </c>
      <c r="AC35" s="113">
        <v>0</v>
      </c>
      <c r="AD35" s="113">
        <v>0</v>
      </c>
      <c r="AE35" s="113">
        <v>0</v>
      </c>
      <c r="AF35" s="113">
        <v>0</v>
      </c>
      <c r="AG35" s="113">
        <v>0</v>
      </c>
      <c r="AH35" s="113">
        <v>0</v>
      </c>
      <c r="AI35" s="113">
        <v>0</v>
      </c>
      <c r="AJ35" s="113">
        <v>0</v>
      </c>
      <c r="AK35" s="113">
        <v>0</v>
      </c>
      <c r="AL35" s="113">
        <v>0</v>
      </c>
      <c r="AM35" s="113">
        <v>0</v>
      </c>
      <c r="AN35" s="113">
        <v>0</v>
      </c>
      <c r="AO35" s="113">
        <v>0</v>
      </c>
      <c r="AP35" s="113">
        <f t="shared" si="2"/>
        <v>243805</v>
      </c>
      <c r="AQ35" s="113">
        <f t="shared" si="4"/>
        <v>0</v>
      </c>
      <c r="AR35" s="113">
        <f t="shared" si="5"/>
        <v>0</v>
      </c>
      <c r="AS35" s="172">
        <f t="shared" si="3"/>
        <v>243805</v>
      </c>
    </row>
    <row r="36" spans="1:45" ht="15.75" x14ac:dyDescent="0.3">
      <c r="A36" s="109">
        <v>31</v>
      </c>
      <c r="B36" s="109" t="s">
        <v>129</v>
      </c>
      <c r="C36" s="113">
        <v>305000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>
        <f t="shared" si="2"/>
        <v>305000</v>
      </c>
      <c r="AQ36" s="113"/>
      <c r="AR36" s="113">
        <f t="shared" si="5"/>
        <v>0</v>
      </c>
      <c r="AS36" s="172">
        <f t="shared" si="3"/>
        <v>305000</v>
      </c>
    </row>
    <row r="37" spans="1:45" ht="15.75" x14ac:dyDescent="0.3">
      <c r="A37" s="109">
        <v>31</v>
      </c>
      <c r="B37" s="109" t="s">
        <v>130</v>
      </c>
      <c r="C37" s="113">
        <v>428899</v>
      </c>
      <c r="D37" s="113">
        <v>0</v>
      </c>
      <c r="E37" s="113">
        <v>0</v>
      </c>
      <c r="F37" s="113">
        <v>0</v>
      </c>
      <c r="G37" s="113">
        <v>0</v>
      </c>
      <c r="H37" s="113">
        <v>0</v>
      </c>
      <c r="I37" s="113">
        <v>0</v>
      </c>
      <c r="J37" s="113">
        <v>0</v>
      </c>
      <c r="K37" s="113">
        <v>0</v>
      </c>
      <c r="L37" s="113">
        <v>0</v>
      </c>
      <c r="M37" s="113">
        <v>0</v>
      </c>
      <c r="N37" s="113">
        <v>0</v>
      </c>
      <c r="O37" s="113">
        <v>0</v>
      </c>
      <c r="P37" s="113">
        <v>0</v>
      </c>
      <c r="Q37" s="113">
        <v>0</v>
      </c>
      <c r="R37" s="113">
        <v>0</v>
      </c>
      <c r="S37" s="113">
        <v>0</v>
      </c>
      <c r="T37" s="113">
        <v>0</v>
      </c>
      <c r="U37" s="113">
        <v>0</v>
      </c>
      <c r="V37" s="113">
        <v>0</v>
      </c>
      <c r="W37" s="113">
        <v>0</v>
      </c>
      <c r="X37" s="113">
        <v>0</v>
      </c>
      <c r="Y37" s="113">
        <v>0</v>
      </c>
      <c r="Z37" s="113">
        <v>0</v>
      </c>
      <c r="AA37" s="113">
        <v>0</v>
      </c>
      <c r="AB37" s="113">
        <v>0</v>
      </c>
      <c r="AC37" s="113">
        <v>0</v>
      </c>
      <c r="AD37" s="113">
        <v>0</v>
      </c>
      <c r="AE37" s="113">
        <v>0</v>
      </c>
      <c r="AF37" s="113">
        <v>0</v>
      </c>
      <c r="AG37" s="113">
        <v>0</v>
      </c>
      <c r="AH37" s="113">
        <v>0</v>
      </c>
      <c r="AI37" s="113">
        <v>0</v>
      </c>
      <c r="AJ37" s="113">
        <v>0</v>
      </c>
      <c r="AK37" s="113">
        <v>0</v>
      </c>
      <c r="AL37" s="113">
        <v>0</v>
      </c>
      <c r="AM37" s="113">
        <v>0</v>
      </c>
      <c r="AN37" s="113">
        <v>0</v>
      </c>
      <c r="AO37" s="113">
        <v>0</v>
      </c>
      <c r="AP37" s="113">
        <f t="shared" si="2"/>
        <v>428899</v>
      </c>
      <c r="AQ37" s="113">
        <f t="shared" si="4"/>
        <v>0</v>
      </c>
      <c r="AR37" s="113">
        <f t="shared" si="5"/>
        <v>0</v>
      </c>
      <c r="AS37" s="172">
        <f t="shared" si="3"/>
        <v>428899</v>
      </c>
    </row>
    <row r="38" spans="1:45" ht="16.5" x14ac:dyDescent="0.3">
      <c r="A38" s="109">
        <v>31</v>
      </c>
      <c r="B38" s="174" t="s">
        <v>256</v>
      </c>
      <c r="C38" s="113">
        <v>51454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>
        <v>0</v>
      </c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>
        <f t="shared" si="2"/>
        <v>51454</v>
      </c>
      <c r="AQ38" s="113"/>
      <c r="AR38" s="113">
        <f t="shared" si="5"/>
        <v>0</v>
      </c>
      <c r="AS38" s="172">
        <f t="shared" si="3"/>
        <v>51454</v>
      </c>
    </row>
    <row r="39" spans="1:45" ht="16.5" x14ac:dyDescent="0.3">
      <c r="A39" s="109">
        <v>32</v>
      </c>
      <c r="B39" s="174" t="s">
        <v>375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>
        <v>600000</v>
      </c>
      <c r="V39" s="113">
        <v>0</v>
      </c>
      <c r="W39" s="113">
        <v>36000</v>
      </c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>
        <f t="shared" si="2"/>
        <v>600000</v>
      </c>
      <c r="AQ39" s="113"/>
      <c r="AR39" s="113">
        <f t="shared" si="5"/>
        <v>36000</v>
      </c>
      <c r="AS39" s="172">
        <f t="shared" si="3"/>
        <v>600000</v>
      </c>
    </row>
    <row r="40" spans="1:45" ht="16.5" x14ac:dyDescent="0.3">
      <c r="A40" s="109">
        <v>33</v>
      </c>
      <c r="B40" s="174"/>
      <c r="C40" s="113">
        <v>0</v>
      </c>
      <c r="D40" s="113">
        <v>0</v>
      </c>
      <c r="E40" s="113">
        <v>0</v>
      </c>
      <c r="F40" s="113">
        <v>0</v>
      </c>
      <c r="G40" s="113">
        <v>0</v>
      </c>
      <c r="H40" s="113">
        <v>0</v>
      </c>
      <c r="I40" s="113">
        <v>0</v>
      </c>
      <c r="J40" s="113">
        <v>0</v>
      </c>
      <c r="K40" s="113">
        <v>0</v>
      </c>
      <c r="L40" s="113">
        <v>0</v>
      </c>
      <c r="M40" s="113">
        <v>0</v>
      </c>
      <c r="N40" s="113">
        <v>0</v>
      </c>
      <c r="O40" s="113">
        <v>0</v>
      </c>
      <c r="P40" s="113">
        <v>0</v>
      </c>
      <c r="Q40" s="113">
        <v>0</v>
      </c>
      <c r="R40" s="113">
        <v>0</v>
      </c>
      <c r="S40" s="113">
        <v>0</v>
      </c>
      <c r="T40" s="113">
        <v>0</v>
      </c>
      <c r="U40" s="113">
        <v>0</v>
      </c>
      <c r="V40" s="113">
        <v>0</v>
      </c>
      <c r="W40" s="113">
        <v>0</v>
      </c>
      <c r="X40" s="113">
        <v>0</v>
      </c>
      <c r="Y40" s="113">
        <v>0</v>
      </c>
      <c r="Z40" s="113">
        <v>0</v>
      </c>
      <c r="AA40" s="113">
        <v>0</v>
      </c>
      <c r="AB40" s="113">
        <v>0</v>
      </c>
      <c r="AC40" s="113">
        <v>0</v>
      </c>
      <c r="AD40" s="113">
        <v>0</v>
      </c>
      <c r="AE40" s="113">
        <v>0</v>
      </c>
      <c r="AF40" s="113">
        <v>0</v>
      </c>
      <c r="AG40" s="113">
        <v>0</v>
      </c>
      <c r="AH40" s="113">
        <v>0</v>
      </c>
      <c r="AI40" s="113">
        <v>0</v>
      </c>
      <c r="AJ40" s="113">
        <v>0</v>
      </c>
      <c r="AK40" s="113">
        <v>0</v>
      </c>
      <c r="AL40" s="113">
        <v>0</v>
      </c>
      <c r="AM40" s="113">
        <v>0</v>
      </c>
      <c r="AN40" s="113">
        <v>0</v>
      </c>
      <c r="AO40" s="113">
        <v>0</v>
      </c>
      <c r="AP40" s="113">
        <f t="shared" si="2"/>
        <v>0</v>
      </c>
      <c r="AQ40" s="113">
        <f t="shared" si="4"/>
        <v>0</v>
      </c>
      <c r="AR40" s="113">
        <f t="shared" si="5"/>
        <v>0</v>
      </c>
      <c r="AS40" s="172">
        <f t="shared" si="3"/>
        <v>0</v>
      </c>
    </row>
    <row r="41" spans="1:45" ht="15.75" x14ac:dyDescent="0.3">
      <c r="A41" s="114"/>
      <c r="B41" s="114" t="s">
        <v>0</v>
      </c>
      <c r="C41" s="115">
        <f>SUM(C5:C40)</f>
        <v>23081408</v>
      </c>
      <c r="D41" s="115">
        <f t="shared" ref="D41:E41" si="6">SUM(D5:D40)</f>
        <v>2220948</v>
      </c>
      <c r="E41" s="115">
        <f t="shared" si="6"/>
        <v>1268000</v>
      </c>
      <c r="F41" s="115">
        <f>SUM(F5:F40)</f>
        <v>0</v>
      </c>
      <c r="G41" s="115">
        <f t="shared" ref="G41:H41" si="7">SUM(G5:G40)</f>
        <v>0</v>
      </c>
      <c r="H41" s="115">
        <f t="shared" si="7"/>
        <v>0</v>
      </c>
      <c r="I41" s="115">
        <f>SUM(I5:I40)</f>
        <v>1000000</v>
      </c>
      <c r="J41" s="115">
        <f t="shared" ref="J41:AS41" si="8">SUM(J5:J40)</f>
        <v>2000000</v>
      </c>
      <c r="K41" s="115">
        <f t="shared" si="8"/>
        <v>30000</v>
      </c>
      <c r="L41" s="115">
        <f t="shared" si="8"/>
        <v>200000</v>
      </c>
      <c r="M41" s="115">
        <f t="shared" si="8"/>
        <v>2190000</v>
      </c>
      <c r="N41" s="115">
        <f t="shared" si="8"/>
        <v>6000</v>
      </c>
      <c r="O41" s="115">
        <f t="shared" si="8"/>
        <v>3500000</v>
      </c>
      <c r="P41" s="115">
        <f t="shared" si="8"/>
        <v>2200000</v>
      </c>
      <c r="Q41" s="115">
        <f t="shared" si="8"/>
        <v>204000</v>
      </c>
      <c r="R41" s="115">
        <f t="shared" si="8"/>
        <v>1690000</v>
      </c>
      <c r="S41" s="115">
        <f t="shared" si="8"/>
        <v>1000000</v>
      </c>
      <c r="T41" s="115">
        <f t="shared" si="8"/>
        <v>30000</v>
      </c>
      <c r="U41" s="115">
        <f t="shared" si="8"/>
        <v>1555000</v>
      </c>
      <c r="V41" s="115">
        <f t="shared" si="8"/>
        <v>2000000</v>
      </c>
      <c r="W41" s="115">
        <f t="shared" si="8"/>
        <v>74200</v>
      </c>
      <c r="X41" s="115">
        <f t="shared" si="8"/>
        <v>1000000</v>
      </c>
      <c r="Y41" s="115">
        <f t="shared" si="8"/>
        <v>1096532</v>
      </c>
      <c r="Z41" s="115">
        <f t="shared" si="8"/>
        <v>50000</v>
      </c>
      <c r="AA41" s="115">
        <f t="shared" si="8"/>
        <v>1600000</v>
      </c>
      <c r="AB41" s="115">
        <f t="shared" si="8"/>
        <v>2150000</v>
      </c>
      <c r="AC41" s="115">
        <f t="shared" si="8"/>
        <v>0</v>
      </c>
      <c r="AD41" s="115">
        <f t="shared" si="8"/>
        <v>0</v>
      </c>
      <c r="AE41" s="115">
        <f t="shared" si="8"/>
        <v>1102500</v>
      </c>
      <c r="AF41" s="115">
        <f t="shared" si="8"/>
        <v>0</v>
      </c>
      <c r="AG41" s="115">
        <f t="shared" si="8"/>
        <v>0</v>
      </c>
      <c r="AH41" s="115">
        <f t="shared" si="8"/>
        <v>430000</v>
      </c>
      <c r="AI41" s="115">
        <f t="shared" si="8"/>
        <v>0</v>
      </c>
      <c r="AJ41" s="115">
        <f t="shared" si="8"/>
        <v>0</v>
      </c>
      <c r="AK41" s="115">
        <f t="shared" si="8"/>
        <v>0</v>
      </c>
      <c r="AL41" s="115">
        <f t="shared" si="8"/>
        <v>0</v>
      </c>
      <c r="AM41" s="115">
        <f t="shared" si="8"/>
        <v>0</v>
      </c>
      <c r="AN41" s="115">
        <f t="shared" si="8"/>
        <v>0</v>
      </c>
      <c r="AO41" s="115">
        <f t="shared" si="8"/>
        <v>0</v>
      </c>
      <c r="AP41" s="115">
        <f t="shared" si="8"/>
        <v>33626408</v>
      </c>
      <c r="AQ41" s="115">
        <f t="shared" si="8"/>
        <v>15389980</v>
      </c>
      <c r="AR41" s="115">
        <f t="shared" si="8"/>
        <v>1662200</v>
      </c>
      <c r="AS41" s="115">
        <f t="shared" si="8"/>
        <v>18236428</v>
      </c>
    </row>
  </sheetData>
  <mergeCells count="16">
    <mergeCell ref="AS2:AS4"/>
    <mergeCell ref="O2:Q2"/>
    <mergeCell ref="A1:E1"/>
    <mergeCell ref="C2:E2"/>
    <mergeCell ref="F2:H2"/>
    <mergeCell ref="I2:K2"/>
    <mergeCell ref="L2:N2"/>
    <mergeCell ref="AJ2:AL2"/>
    <mergeCell ref="AM2:AO2"/>
    <mergeCell ref="AP2:AR2"/>
    <mergeCell ref="R2:T2"/>
    <mergeCell ref="U2:W2"/>
    <mergeCell ref="X2:Z2"/>
    <mergeCell ref="AA2:AC2"/>
    <mergeCell ref="AD2:AF2"/>
    <mergeCell ref="AG2:AI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3"/>
  <sheetViews>
    <sheetView topLeftCell="A294" workbookViewId="0">
      <selection activeCell="F235" sqref="F235"/>
    </sheetView>
  </sheetViews>
  <sheetFormatPr baseColWidth="10" defaultRowHeight="15" x14ac:dyDescent="0.25"/>
  <cols>
    <col min="1" max="1" width="5" customWidth="1"/>
    <col min="2" max="2" width="25.85546875" customWidth="1"/>
    <col min="3" max="3" width="32.85546875" customWidth="1"/>
    <col min="4" max="7" width="13.140625" customWidth="1"/>
    <col min="8" max="8" width="20.5703125" customWidth="1"/>
    <col min="9" max="9" width="33.85546875" customWidth="1"/>
  </cols>
  <sheetData>
    <row r="1" spans="1:9" s="16" customFormat="1" ht="21.75" customHeight="1" x14ac:dyDescent="0.3">
      <c r="B1" s="292" t="s">
        <v>139</v>
      </c>
      <c r="C1" s="292"/>
      <c r="D1" s="292"/>
      <c r="E1" s="292"/>
      <c r="F1" s="292"/>
      <c r="G1" s="292"/>
      <c r="H1" s="292"/>
      <c r="I1" s="292"/>
    </row>
    <row r="2" spans="1:9" ht="30" x14ac:dyDescent="0.25">
      <c r="A2" s="81"/>
      <c r="B2" s="116" t="s">
        <v>56</v>
      </c>
      <c r="C2" s="116" t="s">
        <v>131</v>
      </c>
      <c r="D2" s="116" t="s">
        <v>132</v>
      </c>
      <c r="E2" s="116" t="s">
        <v>133</v>
      </c>
      <c r="F2" s="116" t="s">
        <v>134</v>
      </c>
      <c r="G2" s="116" t="s">
        <v>135</v>
      </c>
      <c r="H2" s="116" t="s">
        <v>136</v>
      </c>
      <c r="I2" s="116" t="s">
        <v>137</v>
      </c>
    </row>
    <row r="3" spans="1:9" ht="18" x14ac:dyDescent="0.4">
      <c r="A3" s="81"/>
      <c r="B3" s="81"/>
      <c r="C3" s="81"/>
      <c r="D3" s="117"/>
      <c r="E3" s="117"/>
      <c r="F3" s="117"/>
      <c r="G3" s="117"/>
      <c r="H3" s="118">
        <v>5945971</v>
      </c>
      <c r="I3" s="119" t="s">
        <v>258</v>
      </c>
    </row>
    <row r="4" spans="1:9" ht="18" x14ac:dyDescent="0.4">
      <c r="A4" s="81"/>
      <c r="B4" s="81"/>
      <c r="C4" s="81" t="s">
        <v>259</v>
      </c>
      <c r="D4" s="117"/>
      <c r="E4" s="117"/>
      <c r="F4" s="117"/>
      <c r="G4" s="117"/>
      <c r="H4" s="118">
        <v>3425000</v>
      </c>
      <c r="I4" s="119"/>
    </row>
    <row r="5" spans="1:9" x14ac:dyDescent="0.25">
      <c r="A5" s="81">
        <v>1</v>
      </c>
      <c r="B5" s="81" t="s">
        <v>206</v>
      </c>
      <c r="C5" s="81" t="s">
        <v>242</v>
      </c>
      <c r="D5" s="117">
        <v>300000</v>
      </c>
      <c r="E5" s="117">
        <v>40000</v>
      </c>
      <c r="F5" s="117">
        <v>70000</v>
      </c>
      <c r="G5" s="117">
        <f>+D5-E5-F5</f>
        <v>190000</v>
      </c>
      <c r="H5" s="117"/>
      <c r="I5" s="120" t="s">
        <v>295</v>
      </c>
    </row>
    <row r="6" spans="1:9" x14ac:dyDescent="0.25">
      <c r="A6" s="81">
        <f>1+A5</f>
        <v>2</v>
      </c>
      <c r="B6" s="81" t="s">
        <v>216</v>
      </c>
      <c r="C6" s="81" t="s">
        <v>242</v>
      </c>
      <c r="D6" s="117">
        <v>300000</v>
      </c>
      <c r="E6" s="117">
        <v>45000</v>
      </c>
      <c r="F6" s="117">
        <v>140000</v>
      </c>
      <c r="G6" s="117">
        <f t="shared" ref="G6:G28" si="0">+D6-E6-F6</f>
        <v>115000</v>
      </c>
      <c r="H6" s="117"/>
      <c r="I6" s="120"/>
    </row>
    <row r="7" spans="1:9" x14ac:dyDescent="0.25">
      <c r="A7" s="81">
        <f t="shared" ref="A7:A32" si="1">1+A6</f>
        <v>3</v>
      </c>
      <c r="B7" s="81" t="s">
        <v>243</v>
      </c>
      <c r="C7" s="81" t="s">
        <v>244</v>
      </c>
      <c r="D7" s="117">
        <v>60000</v>
      </c>
      <c r="E7" s="117">
        <v>60000</v>
      </c>
      <c r="F7" s="117">
        <v>0</v>
      </c>
      <c r="G7" s="117">
        <f t="shared" si="0"/>
        <v>0</v>
      </c>
      <c r="H7" s="117"/>
      <c r="I7" s="120"/>
    </row>
    <row r="8" spans="1:9" x14ac:dyDescent="0.25">
      <c r="A8" s="81">
        <f t="shared" si="1"/>
        <v>4</v>
      </c>
      <c r="B8" s="81" t="s">
        <v>245</v>
      </c>
      <c r="C8" s="81" t="s">
        <v>244</v>
      </c>
      <c r="D8" s="117">
        <v>60000</v>
      </c>
      <c r="E8" s="117">
        <v>60000</v>
      </c>
      <c r="F8" s="117">
        <v>0</v>
      </c>
      <c r="G8" s="117">
        <f t="shared" si="0"/>
        <v>0</v>
      </c>
      <c r="H8" s="117"/>
      <c r="I8" s="120"/>
    </row>
    <row r="9" spans="1:9" x14ac:dyDescent="0.25">
      <c r="A9" s="81">
        <f t="shared" si="1"/>
        <v>5</v>
      </c>
      <c r="B9" s="81" t="s">
        <v>241</v>
      </c>
      <c r="C9" s="81" t="s">
        <v>244</v>
      </c>
      <c r="D9" s="117">
        <v>60000</v>
      </c>
      <c r="E9" s="117">
        <v>60000</v>
      </c>
      <c r="F9" s="117">
        <v>0</v>
      </c>
      <c r="G9" s="117">
        <f t="shared" si="0"/>
        <v>0</v>
      </c>
      <c r="H9" s="117"/>
      <c r="I9" s="120"/>
    </row>
    <row r="10" spans="1:9" x14ac:dyDescent="0.25">
      <c r="A10" s="81">
        <f t="shared" si="1"/>
        <v>6</v>
      </c>
      <c r="B10" s="81" t="s">
        <v>228</v>
      </c>
      <c r="C10" s="81" t="s">
        <v>244</v>
      </c>
      <c r="D10" s="117">
        <v>30000</v>
      </c>
      <c r="E10" s="117">
        <v>30000</v>
      </c>
      <c r="F10" s="117">
        <v>0</v>
      </c>
      <c r="G10" s="117">
        <f t="shared" si="0"/>
        <v>0</v>
      </c>
      <c r="H10" s="117">
        <v>0</v>
      </c>
      <c r="I10" s="120"/>
    </row>
    <row r="11" spans="1:9" x14ac:dyDescent="0.25">
      <c r="A11" s="81">
        <f t="shared" si="1"/>
        <v>7</v>
      </c>
      <c r="B11" s="81" t="s">
        <v>38</v>
      </c>
      <c r="C11" s="81" t="s">
        <v>244</v>
      </c>
      <c r="D11" s="117">
        <v>25000</v>
      </c>
      <c r="E11" s="117">
        <v>0</v>
      </c>
      <c r="F11" s="117">
        <v>0</v>
      </c>
      <c r="G11" s="117">
        <f t="shared" si="0"/>
        <v>25000</v>
      </c>
      <c r="H11" s="117">
        <v>0</v>
      </c>
      <c r="I11" s="120"/>
    </row>
    <row r="12" spans="1:9" x14ac:dyDescent="0.25">
      <c r="A12" s="81">
        <f t="shared" si="1"/>
        <v>8</v>
      </c>
      <c r="B12" s="81" t="s">
        <v>206</v>
      </c>
      <c r="C12" s="81" t="s">
        <v>246</v>
      </c>
      <c r="D12" s="117">
        <v>1200000</v>
      </c>
      <c r="E12" s="117">
        <v>125000</v>
      </c>
      <c r="F12" s="117"/>
      <c r="G12" s="117">
        <f t="shared" si="0"/>
        <v>1075000</v>
      </c>
      <c r="H12" s="117"/>
      <c r="I12" s="120"/>
    </row>
    <row r="13" spans="1:9" x14ac:dyDescent="0.25">
      <c r="A13" s="81">
        <f t="shared" si="1"/>
        <v>9</v>
      </c>
      <c r="B13" s="81" t="s">
        <v>38</v>
      </c>
      <c r="C13" s="81" t="s">
        <v>246</v>
      </c>
      <c r="D13" s="117">
        <v>1200000</v>
      </c>
      <c r="E13" s="117">
        <v>125000</v>
      </c>
      <c r="F13" s="117"/>
      <c r="G13" s="117">
        <f t="shared" si="0"/>
        <v>1075000</v>
      </c>
      <c r="H13" s="117"/>
      <c r="I13" s="120"/>
    </row>
    <row r="14" spans="1:9" x14ac:dyDescent="0.25">
      <c r="A14" s="81">
        <f t="shared" si="1"/>
        <v>10</v>
      </c>
      <c r="B14" s="81" t="s">
        <v>247</v>
      </c>
      <c r="C14" s="81" t="s">
        <v>246</v>
      </c>
      <c r="D14" s="117">
        <v>1200000</v>
      </c>
      <c r="E14" s="117">
        <f>125000+89000</f>
        <v>214000</v>
      </c>
      <c r="F14" s="117">
        <v>0</v>
      </c>
      <c r="G14" s="117">
        <f t="shared" si="0"/>
        <v>986000</v>
      </c>
      <c r="H14" s="117"/>
      <c r="I14" s="120"/>
    </row>
    <row r="15" spans="1:9" x14ac:dyDescent="0.25">
      <c r="A15" s="81">
        <f t="shared" si="1"/>
        <v>11</v>
      </c>
      <c r="B15" s="81" t="s">
        <v>38</v>
      </c>
      <c r="C15" s="81" t="s">
        <v>248</v>
      </c>
      <c r="D15" s="117">
        <v>200000</v>
      </c>
      <c r="E15" s="117">
        <v>0</v>
      </c>
      <c r="F15" s="117">
        <v>0</v>
      </c>
      <c r="G15" s="117">
        <f t="shared" si="0"/>
        <v>200000</v>
      </c>
      <c r="H15" s="117"/>
      <c r="I15" s="120"/>
    </row>
    <row r="16" spans="1:9" x14ac:dyDescent="0.25">
      <c r="A16" s="81">
        <f t="shared" si="1"/>
        <v>12</v>
      </c>
      <c r="B16" s="81" t="s">
        <v>228</v>
      </c>
      <c r="C16" s="81" t="s">
        <v>248</v>
      </c>
      <c r="D16" s="117">
        <v>75000</v>
      </c>
      <c r="E16" s="117">
        <v>75000</v>
      </c>
      <c r="F16" s="117"/>
      <c r="G16" s="117">
        <f t="shared" si="0"/>
        <v>0</v>
      </c>
      <c r="H16" s="117"/>
      <c r="I16" s="120"/>
    </row>
    <row r="17" spans="1:11" x14ac:dyDescent="0.25">
      <c r="A17" s="81">
        <f t="shared" si="1"/>
        <v>13</v>
      </c>
      <c r="B17" s="81" t="s">
        <v>216</v>
      </c>
      <c r="C17" s="81" t="s">
        <v>248</v>
      </c>
      <c r="D17" s="117">
        <v>50000</v>
      </c>
      <c r="E17" s="117">
        <v>50000</v>
      </c>
      <c r="F17" s="117"/>
      <c r="G17" s="117">
        <f t="shared" si="0"/>
        <v>0</v>
      </c>
      <c r="H17" s="117"/>
      <c r="I17" s="120"/>
    </row>
    <row r="18" spans="1:11" x14ac:dyDescent="0.25">
      <c r="A18" s="81">
        <f t="shared" si="1"/>
        <v>14</v>
      </c>
      <c r="B18" s="81" t="s">
        <v>38</v>
      </c>
      <c r="C18" s="81" t="s">
        <v>249</v>
      </c>
      <c r="D18" s="117">
        <v>900000</v>
      </c>
      <c r="E18" s="117">
        <v>105000</v>
      </c>
      <c r="F18" s="117"/>
      <c r="G18" s="117">
        <f t="shared" si="0"/>
        <v>795000</v>
      </c>
      <c r="H18" s="117"/>
      <c r="I18" s="120"/>
    </row>
    <row r="19" spans="1:11" x14ac:dyDescent="0.25">
      <c r="A19" s="81">
        <f t="shared" si="1"/>
        <v>15</v>
      </c>
      <c r="B19" s="81" t="s">
        <v>38</v>
      </c>
      <c r="C19" s="81" t="s">
        <v>250</v>
      </c>
      <c r="D19" s="117">
        <v>100000</v>
      </c>
      <c r="E19" s="117">
        <v>0</v>
      </c>
      <c r="F19" s="117"/>
      <c r="G19" s="117">
        <f t="shared" si="0"/>
        <v>100000</v>
      </c>
      <c r="H19" s="117"/>
      <c r="I19" s="120"/>
    </row>
    <row r="20" spans="1:11" x14ac:dyDescent="0.25">
      <c r="A20" s="81">
        <f t="shared" si="1"/>
        <v>16</v>
      </c>
      <c r="B20" s="81" t="s">
        <v>206</v>
      </c>
      <c r="C20" s="81" t="s">
        <v>251</v>
      </c>
      <c r="D20" s="117">
        <v>100000</v>
      </c>
      <c r="E20" s="117"/>
      <c r="F20" s="117"/>
      <c r="G20" s="117">
        <f t="shared" si="0"/>
        <v>100000</v>
      </c>
      <c r="H20" s="117"/>
      <c r="I20" s="120"/>
    </row>
    <row r="21" spans="1:11" x14ac:dyDescent="0.25">
      <c r="A21" s="81">
        <f t="shared" si="1"/>
        <v>17</v>
      </c>
      <c r="B21" s="81" t="s">
        <v>228</v>
      </c>
      <c r="C21" s="81" t="s">
        <v>251</v>
      </c>
      <c r="D21" s="117">
        <v>100000</v>
      </c>
      <c r="E21" s="117">
        <v>100000</v>
      </c>
      <c r="F21" s="117"/>
      <c r="G21" s="117">
        <f t="shared" si="0"/>
        <v>0</v>
      </c>
      <c r="H21" s="117"/>
      <c r="I21" s="120"/>
    </row>
    <row r="22" spans="1:11" x14ac:dyDescent="0.25">
      <c r="A22" s="81">
        <f t="shared" si="1"/>
        <v>18</v>
      </c>
      <c r="B22" s="81" t="s">
        <v>247</v>
      </c>
      <c r="C22" s="81" t="s">
        <v>251</v>
      </c>
      <c r="D22" s="117">
        <v>105000</v>
      </c>
      <c r="E22" s="117">
        <v>105000</v>
      </c>
      <c r="F22" s="117"/>
      <c r="G22" s="117">
        <f t="shared" si="0"/>
        <v>0</v>
      </c>
      <c r="H22" s="117"/>
      <c r="I22" s="120"/>
    </row>
    <row r="23" spans="1:11" x14ac:dyDescent="0.25">
      <c r="A23" s="81">
        <f t="shared" si="1"/>
        <v>19</v>
      </c>
      <c r="B23" s="81" t="s">
        <v>252</v>
      </c>
      <c r="C23" s="81" t="s">
        <v>253</v>
      </c>
      <c r="D23" s="117">
        <v>6000</v>
      </c>
      <c r="E23" s="117"/>
      <c r="F23" s="117"/>
      <c r="G23" s="117">
        <f t="shared" si="0"/>
        <v>6000</v>
      </c>
      <c r="H23" s="117"/>
      <c r="I23" s="120"/>
    </row>
    <row r="24" spans="1:11" x14ac:dyDescent="0.25">
      <c r="A24" s="81">
        <f t="shared" si="1"/>
        <v>20</v>
      </c>
      <c r="B24" s="81" t="s">
        <v>36</v>
      </c>
      <c r="C24" s="81" t="s">
        <v>254</v>
      </c>
      <c r="D24" s="117">
        <v>100000</v>
      </c>
      <c r="E24" s="117"/>
      <c r="F24" s="117"/>
      <c r="G24" s="117">
        <f t="shared" si="0"/>
        <v>100000</v>
      </c>
      <c r="H24" s="117"/>
      <c r="I24" s="120"/>
    </row>
    <row r="25" spans="1:11" x14ac:dyDescent="0.25">
      <c r="A25" s="81">
        <f t="shared" si="1"/>
        <v>21</v>
      </c>
      <c r="B25" s="81" t="s">
        <v>255</v>
      </c>
      <c r="C25" s="81" t="s">
        <v>78</v>
      </c>
      <c r="D25" s="117">
        <v>257000</v>
      </c>
      <c r="E25" s="117"/>
      <c r="F25" s="117"/>
      <c r="G25" s="117">
        <f t="shared" si="0"/>
        <v>257000</v>
      </c>
      <c r="H25" s="117"/>
      <c r="I25" s="120"/>
    </row>
    <row r="26" spans="1:11" x14ac:dyDescent="0.25">
      <c r="A26" s="81">
        <f t="shared" si="1"/>
        <v>22</v>
      </c>
      <c r="B26" s="81"/>
      <c r="C26" s="81"/>
      <c r="D26" s="117"/>
      <c r="E26" s="117"/>
      <c r="F26" s="117"/>
      <c r="G26" s="117">
        <f t="shared" si="0"/>
        <v>0</v>
      </c>
      <c r="H26" s="117"/>
      <c r="I26" s="120"/>
    </row>
    <row r="27" spans="1:11" x14ac:dyDescent="0.25">
      <c r="A27" s="81">
        <f t="shared" si="1"/>
        <v>23</v>
      </c>
      <c r="B27" s="81"/>
      <c r="C27" s="81"/>
      <c r="D27" s="117"/>
      <c r="E27" s="117"/>
      <c r="F27" s="117"/>
      <c r="G27" s="117">
        <f t="shared" si="0"/>
        <v>0</v>
      </c>
      <c r="H27" s="117"/>
      <c r="I27" s="120"/>
    </row>
    <row r="28" spans="1:11" x14ac:dyDescent="0.25">
      <c r="A28" s="81">
        <f t="shared" si="1"/>
        <v>24</v>
      </c>
      <c r="B28" s="81"/>
      <c r="C28" s="81"/>
      <c r="D28" s="117"/>
      <c r="E28" s="117"/>
      <c r="F28" s="117"/>
      <c r="G28" s="117">
        <f t="shared" si="0"/>
        <v>0</v>
      </c>
      <c r="H28" s="117"/>
      <c r="I28" s="120"/>
    </row>
    <row r="29" spans="1:11" x14ac:dyDescent="0.25">
      <c r="A29" s="81">
        <f t="shared" si="1"/>
        <v>25</v>
      </c>
      <c r="B29" s="81"/>
      <c r="C29" s="81"/>
      <c r="D29" s="117"/>
      <c r="E29" s="117"/>
      <c r="F29" s="117"/>
      <c r="G29" s="117"/>
      <c r="H29" s="117"/>
      <c r="I29" s="120"/>
    </row>
    <row r="30" spans="1:11" x14ac:dyDescent="0.25">
      <c r="A30" s="81">
        <f t="shared" si="1"/>
        <v>26</v>
      </c>
      <c r="B30" s="81"/>
      <c r="C30" s="81"/>
      <c r="D30" s="117"/>
      <c r="E30" s="117"/>
      <c r="F30" s="117"/>
      <c r="G30" s="117"/>
      <c r="H30" s="117"/>
      <c r="I30" s="120"/>
    </row>
    <row r="31" spans="1:11" x14ac:dyDescent="0.25">
      <c r="A31" s="81">
        <f>1+A30</f>
        <v>27</v>
      </c>
      <c r="B31" s="81"/>
      <c r="C31" s="81"/>
      <c r="D31" s="117"/>
      <c r="E31" s="117"/>
      <c r="F31" s="117"/>
      <c r="G31" s="117"/>
      <c r="H31" s="117"/>
      <c r="I31" s="120"/>
    </row>
    <row r="32" spans="1:11" x14ac:dyDescent="0.25">
      <c r="A32" s="81">
        <f t="shared" si="1"/>
        <v>28</v>
      </c>
      <c r="B32" s="81"/>
      <c r="C32" s="81"/>
      <c r="D32" s="117">
        <f>SUM(D3:D31)</f>
        <v>6428000</v>
      </c>
      <c r="E32" s="117">
        <f t="shared" ref="E32:G32" si="2">SUM(E3:E31)</f>
        <v>1194000</v>
      </c>
      <c r="F32" s="117">
        <f t="shared" si="2"/>
        <v>210000</v>
      </c>
      <c r="G32" s="117">
        <f t="shared" si="2"/>
        <v>5024000</v>
      </c>
      <c r="H32" s="117">
        <f>+H3+H4-G32</f>
        <v>4346971</v>
      </c>
      <c r="I32" s="120" t="s">
        <v>257</v>
      </c>
      <c r="J32">
        <f>4346971-4337431</f>
        <v>9540</v>
      </c>
      <c r="K32" t="s">
        <v>260</v>
      </c>
    </row>
    <row r="33" spans="1:9" ht="18.75" x14ac:dyDescent="0.3">
      <c r="A33" s="16"/>
      <c r="B33" s="292" t="s">
        <v>142</v>
      </c>
      <c r="C33" s="292"/>
      <c r="D33" s="292"/>
      <c r="E33" s="292"/>
      <c r="F33" s="292"/>
      <c r="G33" s="292"/>
      <c r="H33" s="292"/>
      <c r="I33" s="292"/>
    </row>
    <row r="34" spans="1:9" ht="30" x14ac:dyDescent="0.25">
      <c r="A34" s="81"/>
      <c r="B34" s="116" t="s">
        <v>56</v>
      </c>
      <c r="C34" s="116" t="s">
        <v>131</v>
      </c>
      <c r="D34" s="116" t="s">
        <v>132</v>
      </c>
      <c r="E34" s="116" t="s">
        <v>133</v>
      </c>
      <c r="F34" s="116" t="s">
        <v>134</v>
      </c>
      <c r="G34" s="116" t="s">
        <v>135</v>
      </c>
      <c r="H34" s="116" t="s">
        <v>140</v>
      </c>
      <c r="I34" s="116" t="s">
        <v>137</v>
      </c>
    </row>
    <row r="35" spans="1:9" ht="18" x14ac:dyDescent="0.4">
      <c r="A35" s="81"/>
      <c r="B35" s="81"/>
      <c r="C35" s="81"/>
      <c r="D35" s="117"/>
      <c r="E35" s="117"/>
      <c r="F35" s="117"/>
      <c r="G35" s="117"/>
      <c r="H35" s="118">
        <v>5735972</v>
      </c>
      <c r="I35" s="119"/>
    </row>
    <row r="36" spans="1:9" ht="18" x14ac:dyDescent="0.4">
      <c r="A36" s="81"/>
      <c r="B36" s="81"/>
      <c r="C36" s="81" t="s">
        <v>138</v>
      </c>
      <c r="D36" s="117"/>
      <c r="E36" s="117"/>
      <c r="F36" s="117"/>
      <c r="G36" s="117"/>
      <c r="H36" s="118"/>
      <c r="I36" s="119"/>
    </row>
    <row r="37" spans="1:9" x14ac:dyDescent="0.25">
      <c r="A37" s="81">
        <v>2</v>
      </c>
      <c r="B37" s="81" t="s">
        <v>207</v>
      </c>
      <c r="C37" s="81" t="s">
        <v>268</v>
      </c>
      <c r="D37" s="117">
        <v>35000</v>
      </c>
      <c r="E37" s="160">
        <v>35000</v>
      </c>
      <c r="F37" s="117"/>
      <c r="G37" s="117">
        <f>+D37-E37-F37</f>
        <v>0</v>
      </c>
      <c r="H37" s="117"/>
      <c r="I37" s="120"/>
    </row>
    <row r="38" spans="1:9" x14ac:dyDescent="0.25">
      <c r="A38" s="81">
        <f>1+A37</f>
        <v>3</v>
      </c>
      <c r="B38" s="81" t="s">
        <v>207</v>
      </c>
      <c r="C38" s="81" t="s">
        <v>269</v>
      </c>
      <c r="D38" s="117">
        <v>15000</v>
      </c>
      <c r="E38" s="160">
        <v>15000</v>
      </c>
      <c r="F38" s="117"/>
      <c r="G38" s="117">
        <f t="shared" ref="G38:G63" si="3">+D38-E38-F38</f>
        <v>0</v>
      </c>
      <c r="H38" s="117"/>
      <c r="I38" s="120"/>
    </row>
    <row r="39" spans="1:9" x14ac:dyDescent="0.25">
      <c r="A39" s="81">
        <f t="shared" ref="A39:A64" si="4">1+A38</f>
        <v>4</v>
      </c>
      <c r="B39" s="81" t="s">
        <v>207</v>
      </c>
      <c r="C39" s="81" t="s">
        <v>270</v>
      </c>
      <c r="D39" s="117">
        <v>12500</v>
      </c>
      <c r="E39" s="160">
        <v>12500</v>
      </c>
      <c r="F39" s="117"/>
      <c r="G39" s="117">
        <f t="shared" si="3"/>
        <v>0</v>
      </c>
      <c r="H39" s="117"/>
      <c r="I39" s="120"/>
    </row>
    <row r="40" spans="1:9" x14ac:dyDescent="0.25">
      <c r="A40" s="81">
        <f t="shared" si="4"/>
        <v>5</v>
      </c>
      <c r="B40" s="81" t="s">
        <v>243</v>
      </c>
      <c r="C40" s="81" t="s">
        <v>271</v>
      </c>
      <c r="D40" s="117">
        <v>300000</v>
      </c>
      <c r="E40" s="160">
        <v>196500</v>
      </c>
      <c r="F40" s="117">
        <f>3500+70000+30000</f>
        <v>103500</v>
      </c>
      <c r="G40" s="117">
        <f t="shared" si="3"/>
        <v>0</v>
      </c>
      <c r="H40" s="117"/>
      <c r="I40" s="120" t="s">
        <v>281</v>
      </c>
    </row>
    <row r="41" spans="1:9" x14ac:dyDescent="0.25">
      <c r="A41" s="81">
        <f t="shared" si="4"/>
        <v>6</v>
      </c>
      <c r="B41" s="81" t="s">
        <v>273</v>
      </c>
      <c r="C41" s="81" t="s">
        <v>271</v>
      </c>
      <c r="D41" s="117">
        <v>300000</v>
      </c>
      <c r="E41" s="160">
        <v>64500</v>
      </c>
      <c r="F41" s="117">
        <f>6500+70000</f>
        <v>76500</v>
      </c>
      <c r="G41" s="117">
        <f t="shared" si="3"/>
        <v>159000</v>
      </c>
      <c r="H41" s="117"/>
      <c r="I41" s="120" t="s">
        <v>280</v>
      </c>
    </row>
    <row r="42" spans="1:9" x14ac:dyDescent="0.25">
      <c r="A42" s="81">
        <f t="shared" si="4"/>
        <v>7</v>
      </c>
      <c r="B42" s="81" t="s">
        <v>228</v>
      </c>
      <c r="C42" s="81" t="s">
        <v>271</v>
      </c>
      <c r="D42" s="117">
        <v>300000</v>
      </c>
      <c r="E42" s="117">
        <v>0</v>
      </c>
      <c r="F42" s="117">
        <f>7500+70000</f>
        <v>77500</v>
      </c>
      <c r="G42" s="117">
        <f t="shared" si="3"/>
        <v>222500</v>
      </c>
      <c r="H42" s="117"/>
      <c r="I42" s="120" t="s">
        <v>280</v>
      </c>
    </row>
    <row r="43" spans="1:9" x14ac:dyDescent="0.25">
      <c r="A43" s="81">
        <f t="shared" si="4"/>
        <v>8</v>
      </c>
      <c r="B43" s="81" t="s">
        <v>207</v>
      </c>
      <c r="C43" s="81" t="s">
        <v>274</v>
      </c>
      <c r="D43" s="117">
        <v>900000</v>
      </c>
      <c r="E43" s="160">
        <v>378000</v>
      </c>
      <c r="F43" s="117">
        <f>22000+500000</f>
        <v>522000</v>
      </c>
      <c r="G43" s="117">
        <f t="shared" si="3"/>
        <v>0</v>
      </c>
      <c r="H43" s="117"/>
      <c r="I43" s="120" t="s">
        <v>279</v>
      </c>
    </row>
    <row r="44" spans="1:9" x14ac:dyDescent="0.25">
      <c r="A44" s="81">
        <f t="shared" si="4"/>
        <v>9</v>
      </c>
      <c r="B44" s="81" t="s">
        <v>275</v>
      </c>
      <c r="C44" s="81" t="s">
        <v>274</v>
      </c>
      <c r="D44" s="117">
        <v>900000</v>
      </c>
      <c r="E44" s="117"/>
      <c r="F44" s="117">
        <v>20000</v>
      </c>
      <c r="G44" s="117">
        <f t="shared" si="3"/>
        <v>880000</v>
      </c>
      <c r="H44" s="117"/>
      <c r="I44" s="120"/>
    </row>
    <row r="45" spans="1:9" x14ac:dyDescent="0.25">
      <c r="A45" s="81">
        <f t="shared" si="4"/>
        <v>10</v>
      </c>
      <c r="B45" s="81" t="s">
        <v>207</v>
      </c>
      <c r="C45" s="81" t="s">
        <v>272</v>
      </c>
      <c r="D45" s="117">
        <v>200000</v>
      </c>
      <c r="E45" s="160">
        <v>200000</v>
      </c>
      <c r="F45" s="117"/>
      <c r="G45" s="117">
        <f t="shared" si="3"/>
        <v>0</v>
      </c>
      <c r="H45" s="117"/>
      <c r="I45" s="120"/>
    </row>
    <row r="46" spans="1:9" x14ac:dyDescent="0.25">
      <c r="A46" s="81">
        <f t="shared" si="4"/>
        <v>11</v>
      </c>
      <c r="B46" s="81" t="s">
        <v>273</v>
      </c>
      <c r="C46" s="81" t="s">
        <v>276</v>
      </c>
      <c r="D46" s="117">
        <v>1200000</v>
      </c>
      <c r="E46" s="117"/>
      <c r="F46" s="117">
        <v>28000</v>
      </c>
      <c r="G46" s="117">
        <f t="shared" si="3"/>
        <v>1172000</v>
      </c>
      <c r="H46" s="117"/>
      <c r="I46" s="120"/>
    </row>
    <row r="47" spans="1:9" x14ac:dyDescent="0.25">
      <c r="A47" s="81">
        <f t="shared" si="4"/>
        <v>12</v>
      </c>
      <c r="B47" s="81" t="s">
        <v>275</v>
      </c>
      <c r="C47" s="81" t="s">
        <v>276</v>
      </c>
      <c r="D47" s="117">
        <v>1200000</v>
      </c>
      <c r="E47" s="117"/>
      <c r="F47" s="117">
        <f>28000+1000000</f>
        <v>1028000</v>
      </c>
      <c r="G47" s="117">
        <f t="shared" si="3"/>
        <v>172000</v>
      </c>
      <c r="H47" s="117"/>
      <c r="I47" s="120" t="s">
        <v>337</v>
      </c>
    </row>
    <row r="48" spans="1:9" x14ac:dyDescent="0.25">
      <c r="A48" s="81">
        <f t="shared" si="4"/>
        <v>13</v>
      </c>
      <c r="B48" s="81" t="s">
        <v>243</v>
      </c>
      <c r="C48" s="81" t="s">
        <v>277</v>
      </c>
      <c r="D48" s="117">
        <v>40000</v>
      </c>
      <c r="E48" s="160">
        <v>40000</v>
      </c>
      <c r="F48" s="117"/>
      <c r="G48" s="117">
        <f t="shared" si="3"/>
        <v>0</v>
      </c>
      <c r="H48" s="117"/>
      <c r="I48" s="120"/>
    </row>
    <row r="49" spans="1:9" x14ac:dyDescent="0.25">
      <c r="A49" s="81">
        <f t="shared" si="4"/>
        <v>14</v>
      </c>
      <c r="B49" s="81" t="s">
        <v>241</v>
      </c>
      <c r="C49" s="81" t="s">
        <v>277</v>
      </c>
      <c r="D49" s="117">
        <v>40000</v>
      </c>
      <c r="E49" s="160">
        <v>40000</v>
      </c>
      <c r="F49" s="117"/>
      <c r="G49" s="117">
        <f t="shared" si="3"/>
        <v>0</v>
      </c>
      <c r="H49" s="117"/>
      <c r="I49" s="120"/>
    </row>
    <row r="50" spans="1:9" x14ac:dyDescent="0.25">
      <c r="A50" s="81">
        <f t="shared" si="4"/>
        <v>15</v>
      </c>
      <c r="B50" s="81" t="s">
        <v>207</v>
      </c>
      <c r="C50" s="81" t="s">
        <v>277</v>
      </c>
      <c r="D50" s="117">
        <v>31500</v>
      </c>
      <c r="E50" s="160">
        <v>31500</v>
      </c>
      <c r="F50" s="117"/>
      <c r="G50" s="117">
        <f t="shared" si="3"/>
        <v>0</v>
      </c>
      <c r="H50" s="117"/>
      <c r="I50" s="120"/>
    </row>
    <row r="51" spans="1:9" x14ac:dyDescent="0.25">
      <c r="A51" s="81">
        <f t="shared" si="4"/>
        <v>16</v>
      </c>
      <c r="B51" s="81" t="s">
        <v>103</v>
      </c>
      <c r="C51" s="81" t="s">
        <v>57</v>
      </c>
      <c r="D51" s="117">
        <v>640700</v>
      </c>
      <c r="E51" s="117"/>
      <c r="F51" s="117"/>
      <c r="G51" s="117">
        <f t="shared" si="3"/>
        <v>640700</v>
      </c>
      <c r="H51" s="117"/>
      <c r="I51" s="120"/>
    </row>
    <row r="52" spans="1:9" x14ac:dyDescent="0.25">
      <c r="A52" s="81">
        <f t="shared" si="4"/>
        <v>17</v>
      </c>
      <c r="B52" s="81" t="s">
        <v>103</v>
      </c>
      <c r="C52" s="81" t="s">
        <v>278</v>
      </c>
      <c r="D52" s="117">
        <v>560000</v>
      </c>
      <c r="E52" s="117"/>
      <c r="F52" s="117"/>
      <c r="G52" s="117">
        <f t="shared" si="3"/>
        <v>560000</v>
      </c>
      <c r="H52" s="117"/>
      <c r="I52" s="120"/>
    </row>
    <row r="53" spans="1:9" x14ac:dyDescent="0.25">
      <c r="A53" s="81">
        <f t="shared" si="4"/>
        <v>18</v>
      </c>
      <c r="B53" s="81" t="s">
        <v>252</v>
      </c>
      <c r="C53" s="81" t="s">
        <v>253</v>
      </c>
      <c r="D53" s="117">
        <v>6000</v>
      </c>
      <c r="E53" s="117"/>
      <c r="F53" s="117"/>
      <c r="G53" s="117">
        <f t="shared" si="3"/>
        <v>6000</v>
      </c>
      <c r="H53" s="117"/>
      <c r="I53" s="120"/>
    </row>
    <row r="54" spans="1:9" x14ac:dyDescent="0.25">
      <c r="A54" s="81">
        <f t="shared" si="4"/>
        <v>19</v>
      </c>
      <c r="B54" s="81" t="s">
        <v>243</v>
      </c>
      <c r="C54" s="81" t="s">
        <v>282</v>
      </c>
      <c r="D54" s="117">
        <v>1000000</v>
      </c>
      <c r="E54" s="117">
        <v>0</v>
      </c>
      <c r="F54" s="117">
        <f>30000+970000</f>
        <v>1000000</v>
      </c>
      <c r="G54" s="117">
        <f t="shared" si="3"/>
        <v>0</v>
      </c>
      <c r="H54" s="117"/>
      <c r="I54" s="120" t="s">
        <v>283</v>
      </c>
    </row>
    <row r="55" spans="1:9" x14ac:dyDescent="0.25">
      <c r="A55" s="81">
        <f t="shared" si="4"/>
        <v>20</v>
      </c>
      <c r="B55" s="81" t="s">
        <v>216</v>
      </c>
      <c r="C55" s="81" t="s">
        <v>313</v>
      </c>
      <c r="D55" s="117">
        <v>190000</v>
      </c>
      <c r="E55" s="117"/>
      <c r="F55" s="117"/>
      <c r="G55" s="117">
        <f t="shared" si="3"/>
        <v>190000</v>
      </c>
      <c r="H55" s="117"/>
      <c r="I55" s="120"/>
    </row>
    <row r="56" spans="1:9" x14ac:dyDescent="0.25">
      <c r="A56" s="81">
        <f t="shared" si="4"/>
        <v>21</v>
      </c>
      <c r="B56" s="81"/>
      <c r="C56" s="81"/>
      <c r="D56" s="117"/>
      <c r="E56" s="117"/>
      <c r="F56" s="117"/>
      <c r="G56" s="117">
        <f t="shared" si="3"/>
        <v>0</v>
      </c>
      <c r="H56" s="117"/>
      <c r="I56" s="120"/>
    </row>
    <row r="57" spans="1:9" x14ac:dyDescent="0.25">
      <c r="A57" s="81">
        <f t="shared" si="4"/>
        <v>22</v>
      </c>
      <c r="B57" s="81"/>
      <c r="C57" s="81"/>
      <c r="D57" s="117"/>
      <c r="E57" s="117"/>
      <c r="F57" s="117"/>
      <c r="G57" s="117">
        <f t="shared" si="3"/>
        <v>0</v>
      </c>
      <c r="H57" s="117"/>
      <c r="I57" s="120"/>
    </row>
    <row r="58" spans="1:9" x14ac:dyDescent="0.25">
      <c r="A58" s="81">
        <f t="shared" si="4"/>
        <v>23</v>
      </c>
      <c r="B58" s="81"/>
      <c r="C58" s="81"/>
      <c r="D58" s="117"/>
      <c r="E58" s="117"/>
      <c r="F58" s="117"/>
      <c r="G58" s="117">
        <f t="shared" si="3"/>
        <v>0</v>
      </c>
      <c r="H58" s="117"/>
      <c r="I58" s="120"/>
    </row>
    <row r="59" spans="1:9" x14ac:dyDescent="0.25">
      <c r="A59" s="81">
        <f t="shared" si="4"/>
        <v>24</v>
      </c>
      <c r="B59" s="81"/>
      <c r="C59" s="81"/>
      <c r="D59" s="117"/>
      <c r="E59" s="117"/>
      <c r="F59" s="117"/>
      <c r="G59" s="117">
        <f t="shared" si="3"/>
        <v>0</v>
      </c>
      <c r="H59" s="117"/>
      <c r="I59" s="120"/>
    </row>
    <row r="60" spans="1:9" x14ac:dyDescent="0.25">
      <c r="A60" s="81">
        <f t="shared" si="4"/>
        <v>25</v>
      </c>
      <c r="B60" s="81"/>
      <c r="C60" s="81"/>
      <c r="D60" s="117"/>
      <c r="E60" s="117"/>
      <c r="F60" s="117"/>
      <c r="G60" s="117">
        <f t="shared" si="3"/>
        <v>0</v>
      </c>
      <c r="H60" s="117"/>
      <c r="I60" s="120"/>
    </row>
    <row r="61" spans="1:9" x14ac:dyDescent="0.25">
      <c r="A61" s="81">
        <f t="shared" si="4"/>
        <v>26</v>
      </c>
      <c r="B61" s="81"/>
      <c r="C61" s="81"/>
      <c r="D61" s="117"/>
      <c r="E61" s="117"/>
      <c r="F61" s="117"/>
      <c r="G61" s="117">
        <f t="shared" si="3"/>
        <v>0</v>
      </c>
      <c r="H61" s="117"/>
      <c r="I61" s="120"/>
    </row>
    <row r="62" spans="1:9" x14ac:dyDescent="0.25">
      <c r="A62" s="81">
        <f t="shared" si="4"/>
        <v>27</v>
      </c>
      <c r="B62" s="81"/>
      <c r="C62" s="81"/>
      <c r="D62" s="117"/>
      <c r="E62" s="117"/>
      <c r="F62" s="117"/>
      <c r="G62" s="117">
        <f t="shared" si="3"/>
        <v>0</v>
      </c>
      <c r="H62" s="117"/>
      <c r="I62" s="120"/>
    </row>
    <row r="63" spans="1:9" x14ac:dyDescent="0.25">
      <c r="A63" s="81">
        <f>1+A62</f>
        <v>28</v>
      </c>
      <c r="B63" s="81"/>
      <c r="C63" s="81"/>
      <c r="D63" s="117"/>
      <c r="E63" s="117"/>
      <c r="F63" s="117"/>
      <c r="G63" s="117">
        <f t="shared" si="3"/>
        <v>0</v>
      </c>
      <c r="H63" s="117"/>
      <c r="I63" s="120"/>
    </row>
    <row r="64" spans="1:9" x14ac:dyDescent="0.25">
      <c r="A64" s="81">
        <f t="shared" si="4"/>
        <v>29</v>
      </c>
      <c r="B64" s="81"/>
      <c r="C64" s="81"/>
      <c r="D64" s="117">
        <f>SUM(D35:D63)</f>
        <v>7870700</v>
      </c>
      <c r="E64" s="117">
        <f t="shared" ref="E64:G64" si="5">SUM(E35:E63)</f>
        <v>1013000</v>
      </c>
      <c r="F64" s="117">
        <f t="shared" si="5"/>
        <v>2855500</v>
      </c>
      <c r="G64" s="117">
        <f t="shared" si="5"/>
        <v>4002200</v>
      </c>
      <c r="H64" s="117" t="e">
        <f>+H35+#REF!-F64-G64</f>
        <v>#REF!</v>
      </c>
      <c r="I64" s="120"/>
    </row>
    <row r="65" spans="1:9" ht="18.75" x14ac:dyDescent="0.3">
      <c r="A65" s="16"/>
      <c r="B65" s="292" t="s">
        <v>143</v>
      </c>
      <c r="C65" s="292"/>
      <c r="D65" s="292"/>
      <c r="E65" s="292"/>
      <c r="F65" s="292"/>
      <c r="G65" s="292"/>
      <c r="H65" s="292"/>
      <c r="I65" s="292"/>
    </row>
    <row r="66" spans="1:9" ht="30" x14ac:dyDescent="0.25">
      <c r="A66" s="81"/>
      <c r="B66" s="116" t="s">
        <v>56</v>
      </c>
      <c r="C66" s="116" t="s">
        <v>131</v>
      </c>
      <c r="D66" s="116" t="s">
        <v>132</v>
      </c>
      <c r="E66" s="116" t="s">
        <v>133</v>
      </c>
      <c r="F66" s="116" t="s">
        <v>134</v>
      </c>
      <c r="G66" s="116" t="s">
        <v>135</v>
      </c>
      <c r="H66" s="116" t="s">
        <v>140</v>
      </c>
      <c r="I66" s="116" t="s">
        <v>137</v>
      </c>
    </row>
    <row r="67" spans="1:9" ht="18" x14ac:dyDescent="0.4">
      <c r="A67" s="81"/>
      <c r="B67" s="81"/>
      <c r="C67" s="81"/>
      <c r="D67" s="117"/>
      <c r="E67" s="117"/>
      <c r="F67" s="117"/>
      <c r="G67" s="117"/>
      <c r="H67" s="118">
        <v>5735972</v>
      </c>
      <c r="I67" s="119"/>
    </row>
    <row r="68" spans="1:9" ht="18" x14ac:dyDescent="0.4">
      <c r="A68" s="81"/>
      <c r="B68" s="81"/>
      <c r="C68" s="81" t="s">
        <v>138</v>
      </c>
      <c r="D68" s="117"/>
      <c r="E68" s="117"/>
      <c r="F68" s="117"/>
      <c r="G68" s="117"/>
      <c r="H68" s="118"/>
      <c r="I68" s="119"/>
    </row>
    <row r="69" spans="1:9" x14ac:dyDescent="0.25">
      <c r="A69" s="81">
        <v>2</v>
      </c>
      <c r="B69" s="81" t="s">
        <v>288</v>
      </c>
      <c r="C69" s="81" t="s">
        <v>289</v>
      </c>
      <c r="D69" s="117">
        <v>900000</v>
      </c>
      <c r="E69" s="117"/>
      <c r="F69" s="117">
        <v>900000</v>
      </c>
      <c r="G69" s="117">
        <f>+D69-E69-F69</f>
        <v>0</v>
      </c>
      <c r="H69" s="117" t="s">
        <v>290</v>
      </c>
      <c r="I69" s="120"/>
    </row>
    <row r="70" spans="1:9" x14ac:dyDescent="0.25">
      <c r="A70" s="81">
        <f>1+A69</f>
        <v>3</v>
      </c>
      <c r="B70" s="81" t="s">
        <v>288</v>
      </c>
      <c r="C70" s="81" t="s">
        <v>282</v>
      </c>
      <c r="D70" s="117">
        <v>200000</v>
      </c>
      <c r="E70" s="117"/>
      <c r="F70" s="117">
        <f>6000+107500</f>
        <v>113500</v>
      </c>
      <c r="G70" s="117">
        <f t="shared" ref="G70:G84" si="6">+D70-E70-F70</f>
        <v>86500</v>
      </c>
      <c r="H70" s="117"/>
      <c r="I70" s="120" t="s">
        <v>298</v>
      </c>
    </row>
    <row r="71" spans="1:9" x14ac:dyDescent="0.25">
      <c r="A71" s="81">
        <f t="shared" ref="A71:A96" si="7">1+A70</f>
        <v>4</v>
      </c>
      <c r="B71" s="81" t="s">
        <v>245</v>
      </c>
      <c r="C71" s="81" t="s">
        <v>289</v>
      </c>
      <c r="D71" s="117">
        <v>900000</v>
      </c>
      <c r="E71" s="117">
        <v>50000</v>
      </c>
      <c r="F71" s="117">
        <f>7500+842500</f>
        <v>850000</v>
      </c>
      <c r="G71" s="117">
        <f t="shared" si="6"/>
        <v>0</v>
      </c>
      <c r="H71" s="117"/>
      <c r="I71" s="120"/>
    </row>
    <row r="72" spans="1:9" x14ac:dyDescent="0.25">
      <c r="A72" s="81">
        <f t="shared" si="7"/>
        <v>5</v>
      </c>
      <c r="B72" s="81" t="s">
        <v>291</v>
      </c>
      <c r="C72" s="81" t="s">
        <v>292</v>
      </c>
      <c r="D72" s="117">
        <v>1200000</v>
      </c>
      <c r="E72" s="117"/>
      <c r="F72" s="117">
        <v>10000</v>
      </c>
      <c r="G72" s="160">
        <f t="shared" si="6"/>
        <v>1190000</v>
      </c>
      <c r="H72" s="117"/>
      <c r="I72" s="120"/>
    </row>
    <row r="73" spans="1:9" x14ac:dyDescent="0.25">
      <c r="A73" s="81">
        <f t="shared" si="7"/>
        <v>6</v>
      </c>
      <c r="B73" s="81" t="s">
        <v>216</v>
      </c>
      <c r="C73" s="81" t="s">
        <v>293</v>
      </c>
      <c r="D73" s="117">
        <v>1200000</v>
      </c>
      <c r="E73" s="117"/>
      <c r="F73" s="117">
        <f>10000+690000</f>
        <v>700000</v>
      </c>
      <c r="G73" s="160">
        <f t="shared" si="6"/>
        <v>500000</v>
      </c>
      <c r="H73" s="117"/>
      <c r="I73" s="120"/>
    </row>
    <row r="74" spans="1:9" x14ac:dyDescent="0.25">
      <c r="A74" s="81">
        <f t="shared" si="7"/>
        <v>7</v>
      </c>
      <c r="B74" s="81" t="s">
        <v>40</v>
      </c>
      <c r="C74" s="81" t="s">
        <v>294</v>
      </c>
      <c r="D74" s="117">
        <v>300000</v>
      </c>
      <c r="E74" s="117"/>
      <c r="F74" s="117">
        <f>11000+70000</f>
        <v>81000</v>
      </c>
      <c r="G74" s="160">
        <f t="shared" si="6"/>
        <v>219000</v>
      </c>
      <c r="H74" s="117"/>
      <c r="I74" s="120" t="s">
        <v>295</v>
      </c>
    </row>
    <row r="75" spans="1:9" x14ac:dyDescent="0.25">
      <c r="A75" s="81">
        <f t="shared" si="7"/>
        <v>8</v>
      </c>
      <c r="B75" s="81" t="s">
        <v>92</v>
      </c>
      <c r="C75" s="81" t="s">
        <v>294</v>
      </c>
      <c r="D75" s="117">
        <v>300000</v>
      </c>
      <c r="E75" s="117"/>
      <c r="F75" s="117">
        <f>10000+70000</f>
        <v>80000</v>
      </c>
      <c r="G75" s="160">
        <f t="shared" si="6"/>
        <v>220000</v>
      </c>
      <c r="H75" s="117"/>
      <c r="I75" s="120" t="s">
        <v>295</v>
      </c>
    </row>
    <row r="76" spans="1:9" x14ac:dyDescent="0.25">
      <c r="A76" s="81">
        <f t="shared" si="7"/>
        <v>9</v>
      </c>
      <c r="B76" s="81" t="s">
        <v>207</v>
      </c>
      <c r="C76" s="81" t="s">
        <v>294</v>
      </c>
      <c r="D76" s="117">
        <v>300000</v>
      </c>
      <c r="E76" s="117"/>
      <c r="F76" s="117">
        <f>11000+70000</f>
        <v>81000</v>
      </c>
      <c r="G76" s="160">
        <f t="shared" si="6"/>
        <v>219000</v>
      </c>
      <c r="H76" s="117"/>
      <c r="I76" s="120" t="s">
        <v>295</v>
      </c>
    </row>
    <row r="77" spans="1:9" x14ac:dyDescent="0.25">
      <c r="A77" s="81">
        <f t="shared" si="7"/>
        <v>10</v>
      </c>
      <c r="B77" s="81" t="s">
        <v>252</v>
      </c>
      <c r="C77" s="81" t="s">
        <v>296</v>
      </c>
      <c r="D77" s="117">
        <v>200000</v>
      </c>
      <c r="E77" s="117">
        <v>100000</v>
      </c>
      <c r="F77" s="117"/>
      <c r="G77" s="160">
        <f t="shared" si="6"/>
        <v>100000</v>
      </c>
      <c r="H77" s="117"/>
      <c r="I77" s="120" t="s">
        <v>297</v>
      </c>
    </row>
    <row r="78" spans="1:9" x14ac:dyDescent="0.25">
      <c r="A78" s="81">
        <f t="shared" si="7"/>
        <v>11</v>
      </c>
      <c r="B78" s="81" t="s">
        <v>207</v>
      </c>
      <c r="C78" s="81" t="s">
        <v>296</v>
      </c>
      <c r="D78" s="117">
        <v>200000</v>
      </c>
      <c r="E78" s="117">
        <v>105000</v>
      </c>
      <c r="F78" s="117"/>
      <c r="G78" s="160">
        <f t="shared" si="6"/>
        <v>95000</v>
      </c>
      <c r="H78" s="117"/>
      <c r="I78" s="120"/>
    </row>
    <row r="79" spans="1:9" x14ac:dyDescent="0.25">
      <c r="A79" s="81">
        <f t="shared" si="7"/>
        <v>12</v>
      </c>
      <c r="B79" s="81" t="s">
        <v>275</v>
      </c>
      <c r="C79" s="81" t="s">
        <v>296</v>
      </c>
      <c r="D79" s="117">
        <v>264000</v>
      </c>
      <c r="E79" s="117">
        <v>44000</v>
      </c>
      <c r="F79" s="117"/>
      <c r="G79" s="160">
        <f t="shared" si="6"/>
        <v>220000</v>
      </c>
      <c r="H79" s="117"/>
      <c r="I79" s="120" t="s">
        <v>300</v>
      </c>
    </row>
    <row r="80" spans="1:9" x14ac:dyDescent="0.25">
      <c r="A80" s="81">
        <f t="shared" si="7"/>
        <v>13</v>
      </c>
      <c r="B80" s="81" t="s">
        <v>206</v>
      </c>
      <c r="C80" s="81" t="s">
        <v>296</v>
      </c>
      <c r="D80" s="117">
        <v>200000</v>
      </c>
      <c r="E80" s="117">
        <v>0</v>
      </c>
      <c r="F80" s="117">
        <v>0</v>
      </c>
      <c r="G80" s="160">
        <f t="shared" si="6"/>
        <v>200000</v>
      </c>
      <c r="H80" s="117"/>
      <c r="I80" s="120"/>
    </row>
    <row r="81" spans="1:9" x14ac:dyDescent="0.25">
      <c r="A81" s="81">
        <f t="shared" si="7"/>
        <v>14</v>
      </c>
      <c r="B81" s="81" t="s">
        <v>273</v>
      </c>
      <c r="C81" s="81" t="s">
        <v>296</v>
      </c>
      <c r="D81" s="117">
        <v>100000</v>
      </c>
      <c r="E81" s="117"/>
      <c r="F81" s="117"/>
      <c r="G81" s="160">
        <f t="shared" si="6"/>
        <v>100000</v>
      </c>
      <c r="H81" s="117"/>
      <c r="I81" s="120"/>
    </row>
    <row r="82" spans="1:9" x14ac:dyDescent="0.25">
      <c r="A82" s="81">
        <f t="shared" si="7"/>
        <v>15</v>
      </c>
      <c r="B82" s="81" t="s">
        <v>245</v>
      </c>
      <c r="C82" s="81" t="s">
        <v>254</v>
      </c>
      <c r="D82" s="117">
        <v>100000</v>
      </c>
      <c r="E82" s="117"/>
      <c r="F82" s="117">
        <v>100000</v>
      </c>
      <c r="G82" s="117">
        <f t="shared" si="6"/>
        <v>0</v>
      </c>
      <c r="H82" s="117"/>
      <c r="I82" s="120"/>
    </row>
    <row r="83" spans="1:9" x14ac:dyDescent="0.25">
      <c r="A83" s="81">
        <f t="shared" si="7"/>
        <v>16</v>
      </c>
      <c r="B83" s="81" t="s">
        <v>226</v>
      </c>
      <c r="C83" s="81" t="s">
        <v>335</v>
      </c>
      <c r="D83" s="117">
        <v>100000</v>
      </c>
      <c r="E83" s="117"/>
      <c r="F83" s="117"/>
      <c r="G83" s="117">
        <f t="shared" si="6"/>
        <v>100000</v>
      </c>
      <c r="H83" s="117"/>
      <c r="I83" s="120"/>
    </row>
    <row r="84" spans="1:9" x14ac:dyDescent="0.25">
      <c r="A84" s="81">
        <f t="shared" si="7"/>
        <v>17</v>
      </c>
      <c r="B84" s="81" t="s">
        <v>252</v>
      </c>
      <c r="C84" s="81" t="s">
        <v>253</v>
      </c>
      <c r="D84" s="117">
        <v>6000</v>
      </c>
      <c r="E84" s="117"/>
      <c r="F84" s="117"/>
      <c r="G84" s="117">
        <f t="shared" si="6"/>
        <v>6000</v>
      </c>
      <c r="H84" s="117"/>
      <c r="I84" s="120"/>
    </row>
    <row r="85" spans="1:9" x14ac:dyDescent="0.25">
      <c r="A85" s="81">
        <f t="shared" si="7"/>
        <v>18</v>
      </c>
      <c r="B85" s="81" t="s">
        <v>252</v>
      </c>
      <c r="C85" s="81" t="s">
        <v>299</v>
      </c>
      <c r="D85" s="117">
        <v>1750000</v>
      </c>
      <c r="E85" s="117"/>
      <c r="F85" s="117"/>
      <c r="G85" s="117">
        <v>1750000</v>
      </c>
      <c r="H85" s="117"/>
      <c r="I85" s="120"/>
    </row>
    <row r="86" spans="1:9" x14ac:dyDescent="0.25">
      <c r="A86" s="81">
        <f t="shared" si="7"/>
        <v>19</v>
      </c>
      <c r="B86" s="81"/>
      <c r="C86" s="81"/>
      <c r="D86" s="117"/>
      <c r="E86" s="117"/>
      <c r="F86" s="117"/>
      <c r="G86" s="117"/>
      <c r="H86" s="117"/>
      <c r="I86" s="120"/>
    </row>
    <row r="87" spans="1:9" x14ac:dyDescent="0.25">
      <c r="A87" s="81">
        <f t="shared" si="7"/>
        <v>20</v>
      </c>
      <c r="B87" s="81"/>
      <c r="C87" s="81"/>
      <c r="D87" s="117"/>
      <c r="E87" s="117"/>
      <c r="F87" s="117"/>
      <c r="G87" s="117"/>
      <c r="H87" s="117"/>
      <c r="I87" s="120"/>
    </row>
    <row r="88" spans="1:9" x14ac:dyDescent="0.25">
      <c r="A88" s="81">
        <f t="shared" si="7"/>
        <v>21</v>
      </c>
      <c r="B88" s="81"/>
      <c r="C88" s="81"/>
      <c r="D88" s="117"/>
      <c r="E88" s="117"/>
      <c r="F88" s="117"/>
      <c r="G88" s="117"/>
      <c r="H88" s="117"/>
      <c r="I88" s="120"/>
    </row>
    <row r="89" spans="1:9" x14ac:dyDescent="0.25">
      <c r="A89" s="81">
        <f t="shared" si="7"/>
        <v>22</v>
      </c>
      <c r="B89" s="81"/>
      <c r="C89" s="81"/>
      <c r="D89" s="117"/>
      <c r="E89" s="117"/>
      <c r="F89" s="117"/>
      <c r="G89" s="117"/>
      <c r="H89" s="117"/>
      <c r="I89" s="120"/>
    </row>
    <row r="90" spans="1:9" x14ac:dyDescent="0.25">
      <c r="A90" s="81">
        <f t="shared" si="7"/>
        <v>23</v>
      </c>
      <c r="B90" s="81"/>
      <c r="C90" s="81"/>
      <c r="D90" s="117"/>
      <c r="E90" s="117"/>
      <c r="F90" s="117"/>
      <c r="G90" s="117"/>
      <c r="H90" s="117"/>
      <c r="I90" s="120"/>
    </row>
    <row r="91" spans="1:9" x14ac:dyDescent="0.25">
      <c r="A91" s="81">
        <f t="shared" si="7"/>
        <v>24</v>
      </c>
      <c r="B91" s="81"/>
      <c r="C91" s="81"/>
      <c r="D91" s="117"/>
      <c r="E91" s="117"/>
      <c r="F91" s="117"/>
      <c r="G91" s="117"/>
      <c r="H91" s="117"/>
      <c r="I91" s="120"/>
    </row>
    <row r="92" spans="1:9" x14ac:dyDescent="0.25">
      <c r="A92" s="81">
        <f t="shared" si="7"/>
        <v>25</v>
      </c>
      <c r="B92" s="81"/>
      <c r="C92" s="81"/>
      <c r="D92" s="117"/>
      <c r="E92" s="117"/>
      <c r="F92" s="117"/>
      <c r="G92" s="117"/>
      <c r="H92" s="117"/>
      <c r="I92" s="120"/>
    </row>
    <row r="93" spans="1:9" x14ac:dyDescent="0.25">
      <c r="A93" s="81">
        <f t="shared" si="7"/>
        <v>26</v>
      </c>
      <c r="B93" s="81"/>
      <c r="C93" s="81"/>
      <c r="D93" s="117"/>
      <c r="E93" s="117"/>
      <c r="F93" s="117"/>
      <c r="G93" s="117"/>
      <c r="H93" s="117"/>
      <c r="I93" s="120"/>
    </row>
    <row r="94" spans="1:9" x14ac:dyDescent="0.25">
      <c r="A94" s="81">
        <f t="shared" si="7"/>
        <v>27</v>
      </c>
      <c r="B94" s="81"/>
      <c r="C94" s="81"/>
      <c r="D94" s="117"/>
      <c r="E94" s="117"/>
      <c r="F94" s="117"/>
      <c r="G94" s="117"/>
      <c r="H94" s="117"/>
      <c r="I94" s="120"/>
    </row>
    <row r="95" spans="1:9" x14ac:dyDescent="0.25">
      <c r="A95" s="81">
        <f>1+A94</f>
        <v>28</v>
      </c>
      <c r="B95" s="81"/>
      <c r="C95" s="81"/>
      <c r="D95" s="117"/>
      <c r="E95" s="117"/>
      <c r="F95" s="117"/>
      <c r="G95" s="117"/>
      <c r="H95" s="117"/>
      <c r="I95" s="120"/>
    </row>
    <row r="96" spans="1:9" x14ac:dyDescent="0.25">
      <c r="A96" s="81">
        <f t="shared" si="7"/>
        <v>29</v>
      </c>
      <c r="B96" s="81"/>
      <c r="C96" s="81"/>
      <c r="D96" s="117">
        <f>SUM(D67:D95)</f>
        <v>8220000</v>
      </c>
      <c r="E96" s="117">
        <f t="shared" ref="E96:G96" si="8">SUM(E67:E95)</f>
        <v>299000</v>
      </c>
      <c r="F96" s="117">
        <f t="shared" si="8"/>
        <v>2915500</v>
      </c>
      <c r="G96" s="117">
        <f t="shared" si="8"/>
        <v>5005500</v>
      </c>
      <c r="H96" s="117" t="e">
        <f>+H67+#REF!-F96-G96</f>
        <v>#REF!</v>
      </c>
      <c r="I96" s="120"/>
    </row>
    <row r="97" spans="1:9" ht="18.75" x14ac:dyDescent="0.3">
      <c r="A97" s="16"/>
      <c r="B97" s="292" t="s">
        <v>147</v>
      </c>
      <c r="C97" s="292"/>
      <c r="D97" s="292"/>
      <c r="E97" s="292"/>
      <c r="F97" s="292"/>
      <c r="G97" s="292"/>
      <c r="H97" s="292"/>
      <c r="I97" s="292"/>
    </row>
    <row r="98" spans="1:9" ht="30" x14ac:dyDescent="0.25">
      <c r="A98" s="81"/>
      <c r="B98" s="116" t="s">
        <v>56</v>
      </c>
      <c r="C98" s="116" t="s">
        <v>131</v>
      </c>
      <c r="D98" s="116" t="s">
        <v>132</v>
      </c>
      <c r="E98" s="116" t="s">
        <v>133</v>
      </c>
      <c r="F98" s="116" t="s">
        <v>134</v>
      </c>
      <c r="G98" s="116" t="s">
        <v>135</v>
      </c>
      <c r="H98" s="116" t="s">
        <v>141</v>
      </c>
      <c r="I98" s="116" t="s">
        <v>137</v>
      </c>
    </row>
    <row r="99" spans="1:9" ht="18" x14ac:dyDescent="0.4">
      <c r="A99" s="81"/>
      <c r="B99" s="81"/>
      <c r="C99" s="81"/>
      <c r="D99" s="117"/>
      <c r="E99" s="117"/>
      <c r="F99" s="117"/>
      <c r="G99" s="117"/>
      <c r="H99" s="118">
        <v>5735973</v>
      </c>
      <c r="I99" s="119"/>
    </row>
    <row r="100" spans="1:9" ht="18" x14ac:dyDescent="0.4">
      <c r="A100" s="81"/>
      <c r="B100" s="81"/>
      <c r="C100" s="81" t="s">
        <v>138</v>
      </c>
      <c r="D100" s="117"/>
      <c r="E100" s="117"/>
      <c r="F100" s="117"/>
      <c r="G100" s="117"/>
      <c r="H100" s="118"/>
      <c r="I100" s="119"/>
    </row>
    <row r="101" spans="1:9" ht="18" x14ac:dyDescent="0.4">
      <c r="A101" s="81">
        <v>3</v>
      </c>
      <c r="B101" s="81" t="s">
        <v>206</v>
      </c>
      <c r="C101" s="81" t="s">
        <v>289</v>
      </c>
      <c r="D101" s="117">
        <v>900000</v>
      </c>
      <c r="E101" s="117"/>
      <c r="F101" s="117">
        <f>13000+887000</f>
        <v>900000</v>
      </c>
      <c r="G101" s="117">
        <f>+D101-E101-F101</f>
        <v>0</v>
      </c>
      <c r="H101" s="117"/>
      <c r="I101" s="119" t="s">
        <v>308</v>
      </c>
    </row>
    <row r="102" spans="1:9" x14ac:dyDescent="0.25">
      <c r="A102" s="81">
        <f>1+A101</f>
        <v>4</v>
      </c>
      <c r="B102" s="81" t="s">
        <v>228</v>
      </c>
      <c r="C102" s="81" t="s">
        <v>292</v>
      </c>
      <c r="D102" s="117">
        <v>1200000</v>
      </c>
      <c r="E102" s="117"/>
      <c r="F102" s="117">
        <f>20000+0</f>
        <v>20000</v>
      </c>
      <c r="G102" s="117">
        <f t="shared" ref="G102:G126" si="9">+D102-E102-F102</f>
        <v>1180000</v>
      </c>
      <c r="H102" s="117"/>
      <c r="I102" s="120"/>
    </row>
    <row r="103" spans="1:9" ht="30" x14ac:dyDescent="0.25">
      <c r="A103" s="81">
        <f t="shared" ref="A103:A128" si="10">1+A102</f>
        <v>5</v>
      </c>
      <c r="B103" s="81" t="s">
        <v>245</v>
      </c>
      <c r="C103" s="81" t="s">
        <v>242</v>
      </c>
      <c r="D103" s="117">
        <v>300000</v>
      </c>
      <c r="E103" s="117"/>
      <c r="F103" s="117">
        <f>10000+70000+157500</f>
        <v>237500</v>
      </c>
      <c r="G103" s="117">
        <f t="shared" si="9"/>
        <v>62500</v>
      </c>
      <c r="H103" s="117"/>
      <c r="I103" s="120" t="s">
        <v>309</v>
      </c>
    </row>
    <row r="104" spans="1:9" x14ac:dyDescent="0.25">
      <c r="A104" s="81">
        <f t="shared" si="10"/>
        <v>6</v>
      </c>
      <c r="B104" s="81" t="s">
        <v>243</v>
      </c>
      <c r="C104" s="81" t="s">
        <v>310</v>
      </c>
      <c r="D104" s="117">
        <v>60000</v>
      </c>
      <c r="E104" s="117">
        <v>60000</v>
      </c>
      <c r="F104" s="117">
        <v>0</v>
      </c>
      <c r="G104" s="117">
        <f t="shared" si="9"/>
        <v>0</v>
      </c>
      <c r="H104" s="117"/>
      <c r="I104" s="120"/>
    </row>
    <row r="105" spans="1:9" x14ac:dyDescent="0.25">
      <c r="A105" s="81">
        <f t="shared" si="10"/>
        <v>7</v>
      </c>
      <c r="B105" s="81" t="s">
        <v>226</v>
      </c>
      <c r="C105" s="81" t="s">
        <v>310</v>
      </c>
      <c r="D105" s="117">
        <v>60000</v>
      </c>
      <c r="E105" s="117">
        <v>60000</v>
      </c>
      <c r="F105" s="117"/>
      <c r="G105" s="117">
        <f t="shared" si="9"/>
        <v>0</v>
      </c>
      <c r="H105" s="117"/>
      <c r="I105" s="120"/>
    </row>
    <row r="106" spans="1:9" x14ac:dyDescent="0.25">
      <c r="A106" s="81">
        <f t="shared" si="10"/>
        <v>8</v>
      </c>
      <c r="B106" s="81" t="s">
        <v>216</v>
      </c>
      <c r="C106" s="81" t="s">
        <v>310</v>
      </c>
      <c r="D106" s="117">
        <v>22500</v>
      </c>
      <c r="E106" s="117">
        <v>22500</v>
      </c>
      <c r="F106" s="117"/>
      <c r="G106" s="117">
        <f t="shared" si="9"/>
        <v>0</v>
      </c>
      <c r="H106" s="117"/>
      <c r="I106" s="120" t="s">
        <v>223</v>
      </c>
    </row>
    <row r="107" spans="1:9" x14ac:dyDescent="0.25">
      <c r="A107" s="81">
        <f t="shared" si="10"/>
        <v>9</v>
      </c>
      <c r="B107" s="81" t="s">
        <v>245</v>
      </c>
      <c r="C107" s="81" t="s">
        <v>311</v>
      </c>
      <c r="D107" s="117">
        <v>150000</v>
      </c>
      <c r="E107" s="117"/>
      <c r="F107" s="117"/>
      <c r="G107" s="117">
        <f t="shared" si="9"/>
        <v>150000</v>
      </c>
      <c r="H107" s="117"/>
      <c r="I107" s="120"/>
    </row>
    <row r="108" spans="1:9" x14ac:dyDescent="0.25">
      <c r="A108" s="81">
        <f t="shared" si="10"/>
        <v>10</v>
      </c>
      <c r="B108" s="81" t="s">
        <v>206</v>
      </c>
      <c r="C108" s="81" t="s">
        <v>311</v>
      </c>
      <c r="D108" s="117">
        <v>100000</v>
      </c>
      <c r="E108" s="117"/>
      <c r="F108" s="117"/>
      <c r="G108" s="117">
        <f t="shared" si="9"/>
        <v>100000</v>
      </c>
      <c r="H108" s="117"/>
      <c r="I108" s="120"/>
    </row>
    <row r="109" spans="1:9" x14ac:dyDescent="0.25">
      <c r="A109" s="81">
        <f t="shared" si="10"/>
        <v>11</v>
      </c>
      <c r="B109" s="81" t="s">
        <v>288</v>
      </c>
      <c r="C109" s="81" t="s">
        <v>311</v>
      </c>
      <c r="D109" s="117">
        <v>138000</v>
      </c>
      <c r="E109" s="117">
        <v>86500</v>
      </c>
      <c r="F109" s="117"/>
      <c r="G109" s="117">
        <f t="shared" si="9"/>
        <v>51500</v>
      </c>
      <c r="H109" s="117"/>
      <c r="I109" s="120"/>
    </row>
    <row r="110" spans="1:9" x14ac:dyDescent="0.25">
      <c r="A110" s="81">
        <f t="shared" si="10"/>
        <v>12</v>
      </c>
      <c r="B110" s="81" t="s">
        <v>228</v>
      </c>
      <c r="C110" s="81" t="s">
        <v>296</v>
      </c>
      <c r="D110" s="117">
        <v>93000</v>
      </c>
      <c r="E110" s="117"/>
      <c r="F110" s="117"/>
      <c r="G110" s="117">
        <f t="shared" si="9"/>
        <v>93000</v>
      </c>
      <c r="H110" s="117"/>
      <c r="I110" s="120"/>
    </row>
    <row r="111" spans="1:9" x14ac:dyDescent="0.25">
      <c r="A111" s="81">
        <f t="shared" si="10"/>
        <v>13</v>
      </c>
      <c r="B111" s="81" t="s">
        <v>226</v>
      </c>
      <c r="C111" s="81" t="s">
        <v>242</v>
      </c>
      <c r="D111" s="117">
        <v>300000</v>
      </c>
      <c r="E111" s="117"/>
      <c r="F111" s="117">
        <f>11000+70000</f>
        <v>81000</v>
      </c>
      <c r="G111" s="117">
        <f t="shared" si="9"/>
        <v>219000</v>
      </c>
      <c r="H111" s="117"/>
      <c r="I111" s="120" t="s">
        <v>314</v>
      </c>
    </row>
    <row r="112" spans="1:9" x14ac:dyDescent="0.25">
      <c r="A112" s="81">
        <f t="shared" si="10"/>
        <v>14</v>
      </c>
      <c r="B112" s="81"/>
      <c r="C112" s="81" t="s">
        <v>312</v>
      </c>
      <c r="D112" s="117">
        <v>100000</v>
      </c>
      <c r="E112" s="117"/>
      <c r="F112" s="117"/>
      <c r="G112" s="117">
        <f t="shared" si="9"/>
        <v>100000</v>
      </c>
      <c r="H112" s="117"/>
      <c r="I112" s="120"/>
    </row>
    <row r="113" spans="1:9" x14ac:dyDescent="0.25">
      <c r="A113" s="81">
        <f t="shared" si="10"/>
        <v>15</v>
      </c>
      <c r="B113" s="81"/>
      <c r="C113" s="81" t="s">
        <v>253</v>
      </c>
      <c r="D113" s="117">
        <v>6000</v>
      </c>
      <c r="E113" s="117"/>
      <c r="F113" s="117"/>
      <c r="G113" s="117">
        <f t="shared" si="9"/>
        <v>6000</v>
      </c>
      <c r="H113" s="117"/>
      <c r="I113" s="120"/>
    </row>
    <row r="114" spans="1:9" x14ac:dyDescent="0.25">
      <c r="A114" s="81">
        <f t="shared" si="10"/>
        <v>16</v>
      </c>
      <c r="B114" s="81" t="s">
        <v>96</v>
      </c>
      <c r="C114" s="81" t="s">
        <v>282</v>
      </c>
      <c r="D114" s="117">
        <v>300000</v>
      </c>
      <c r="E114" s="117"/>
      <c r="F114" s="117">
        <f>12000+113000</f>
        <v>125000</v>
      </c>
      <c r="G114" s="117">
        <f t="shared" si="9"/>
        <v>175000</v>
      </c>
      <c r="H114" s="117" t="s">
        <v>206</v>
      </c>
      <c r="I114" s="120"/>
    </row>
    <row r="115" spans="1:9" x14ac:dyDescent="0.25">
      <c r="A115" s="81">
        <f t="shared" si="10"/>
        <v>17</v>
      </c>
      <c r="B115" s="81" t="s">
        <v>107</v>
      </c>
      <c r="C115" s="81" t="s">
        <v>282</v>
      </c>
      <c r="D115" s="117">
        <v>1000000</v>
      </c>
      <c r="E115" s="117"/>
      <c r="F115" s="117">
        <f>60000+0</f>
        <v>60000</v>
      </c>
      <c r="G115" s="117">
        <f t="shared" si="9"/>
        <v>940000</v>
      </c>
      <c r="H115" s="117" t="s">
        <v>264</v>
      </c>
      <c r="I115" s="120"/>
    </row>
    <row r="116" spans="1:9" x14ac:dyDescent="0.25">
      <c r="A116" s="81">
        <f t="shared" si="10"/>
        <v>18</v>
      </c>
      <c r="B116" s="81" t="s">
        <v>288</v>
      </c>
      <c r="C116" s="81" t="s">
        <v>282</v>
      </c>
      <c r="D116" s="117">
        <v>700000</v>
      </c>
      <c r="E116" s="117"/>
      <c r="F116" s="117">
        <f>42000+200000</f>
        <v>242000</v>
      </c>
      <c r="G116" s="117">
        <f t="shared" si="9"/>
        <v>458000</v>
      </c>
      <c r="H116" s="117" t="s">
        <v>264</v>
      </c>
      <c r="I116" s="120"/>
    </row>
    <row r="117" spans="1:9" x14ac:dyDescent="0.25">
      <c r="A117" s="81">
        <f t="shared" si="10"/>
        <v>19</v>
      </c>
      <c r="B117" s="81" t="s">
        <v>245</v>
      </c>
      <c r="C117" s="81" t="s">
        <v>282</v>
      </c>
      <c r="D117" s="117">
        <v>1000000</v>
      </c>
      <c r="E117" s="117"/>
      <c r="F117" s="117">
        <f>80000+0</f>
        <v>80000</v>
      </c>
      <c r="G117" s="117">
        <f t="shared" si="9"/>
        <v>920000</v>
      </c>
      <c r="H117" s="117"/>
      <c r="I117" s="120"/>
    </row>
    <row r="118" spans="1:9" x14ac:dyDescent="0.25">
      <c r="A118" s="81">
        <f t="shared" si="10"/>
        <v>20</v>
      </c>
      <c r="B118" s="81" t="s">
        <v>39</v>
      </c>
      <c r="C118" s="81" t="s">
        <v>282</v>
      </c>
      <c r="D118" s="117">
        <v>500000</v>
      </c>
      <c r="E118" s="117"/>
      <c r="F118" s="117">
        <v>10000</v>
      </c>
      <c r="G118" s="117">
        <f t="shared" si="9"/>
        <v>490000</v>
      </c>
      <c r="H118" s="117" t="s">
        <v>264</v>
      </c>
      <c r="I118" s="120"/>
    </row>
    <row r="119" spans="1:9" x14ac:dyDescent="0.25">
      <c r="A119" s="81">
        <f t="shared" si="10"/>
        <v>21</v>
      </c>
      <c r="B119" s="81"/>
      <c r="C119" s="81"/>
      <c r="D119" s="117"/>
      <c r="E119" s="117"/>
      <c r="F119" s="117"/>
      <c r="G119" s="117">
        <f t="shared" si="9"/>
        <v>0</v>
      </c>
      <c r="H119" s="117"/>
      <c r="I119" s="120"/>
    </row>
    <row r="120" spans="1:9" x14ac:dyDescent="0.25">
      <c r="A120" s="81">
        <f t="shared" si="10"/>
        <v>22</v>
      </c>
      <c r="B120" s="81"/>
      <c r="C120" s="81"/>
      <c r="D120" s="117"/>
      <c r="E120" s="117"/>
      <c r="F120" s="117"/>
      <c r="G120" s="117">
        <f t="shared" si="9"/>
        <v>0</v>
      </c>
      <c r="H120" s="117"/>
      <c r="I120" s="120"/>
    </row>
    <row r="121" spans="1:9" x14ac:dyDescent="0.25">
      <c r="A121" s="81">
        <f t="shared" si="10"/>
        <v>23</v>
      </c>
      <c r="B121" s="81"/>
      <c r="C121" s="81"/>
      <c r="D121" s="117"/>
      <c r="E121" s="117"/>
      <c r="F121" s="117"/>
      <c r="G121" s="117">
        <f t="shared" si="9"/>
        <v>0</v>
      </c>
      <c r="H121" s="117"/>
      <c r="I121" s="120"/>
    </row>
    <row r="122" spans="1:9" x14ac:dyDescent="0.25">
      <c r="A122" s="81">
        <f t="shared" si="10"/>
        <v>24</v>
      </c>
      <c r="B122" s="81"/>
      <c r="C122" s="81"/>
      <c r="D122" s="117"/>
      <c r="E122" s="117"/>
      <c r="F122" s="117"/>
      <c r="G122" s="117">
        <f t="shared" si="9"/>
        <v>0</v>
      </c>
      <c r="H122" s="117"/>
      <c r="I122" s="120"/>
    </row>
    <row r="123" spans="1:9" x14ac:dyDescent="0.25">
      <c r="A123" s="81">
        <f t="shared" si="10"/>
        <v>25</v>
      </c>
      <c r="B123" s="81"/>
      <c r="C123" s="81"/>
      <c r="D123" s="117"/>
      <c r="E123" s="117"/>
      <c r="F123" s="117"/>
      <c r="G123" s="117">
        <f t="shared" si="9"/>
        <v>0</v>
      </c>
      <c r="H123" s="117"/>
      <c r="I123" s="120"/>
    </row>
    <row r="124" spans="1:9" x14ac:dyDescent="0.25">
      <c r="A124" s="81">
        <f t="shared" si="10"/>
        <v>26</v>
      </c>
      <c r="B124" s="81"/>
      <c r="C124" s="81"/>
      <c r="D124" s="117"/>
      <c r="E124" s="117"/>
      <c r="F124" s="117"/>
      <c r="G124" s="117">
        <f t="shared" si="9"/>
        <v>0</v>
      </c>
      <c r="H124" s="117"/>
      <c r="I124" s="120"/>
    </row>
    <row r="125" spans="1:9" x14ac:dyDescent="0.25">
      <c r="A125" s="81">
        <f t="shared" si="10"/>
        <v>27</v>
      </c>
      <c r="B125" s="81"/>
      <c r="C125" s="81"/>
      <c r="D125" s="117"/>
      <c r="E125" s="117"/>
      <c r="F125" s="117"/>
      <c r="G125" s="117">
        <f t="shared" si="9"/>
        <v>0</v>
      </c>
      <c r="H125" s="117"/>
      <c r="I125" s="120"/>
    </row>
    <row r="126" spans="1:9" x14ac:dyDescent="0.25">
      <c r="A126" s="81">
        <f t="shared" si="10"/>
        <v>28</v>
      </c>
      <c r="B126" s="81"/>
      <c r="C126" s="81"/>
      <c r="D126" s="117"/>
      <c r="E126" s="117"/>
      <c r="F126" s="117"/>
      <c r="G126" s="117">
        <f t="shared" si="9"/>
        <v>0</v>
      </c>
      <c r="H126" s="117"/>
      <c r="I126" s="120"/>
    </row>
    <row r="127" spans="1:9" x14ac:dyDescent="0.25">
      <c r="A127" s="81">
        <f>1+A126</f>
        <v>29</v>
      </c>
      <c r="B127" s="81"/>
      <c r="C127" s="81"/>
      <c r="D127" s="117"/>
      <c r="E127" s="117"/>
      <c r="F127" s="117"/>
      <c r="G127" s="117"/>
      <c r="H127" s="117"/>
      <c r="I127" s="120"/>
    </row>
    <row r="128" spans="1:9" x14ac:dyDescent="0.25">
      <c r="A128" s="81">
        <f t="shared" si="10"/>
        <v>30</v>
      </c>
      <c r="B128" s="81"/>
      <c r="C128" s="81"/>
      <c r="D128" s="117">
        <f>SUM(D99:D127)</f>
        <v>6929500</v>
      </c>
      <c r="E128" s="117">
        <f t="shared" ref="E128:G128" si="11">SUM(E99:E127)</f>
        <v>229000</v>
      </c>
      <c r="F128" s="117">
        <f t="shared" si="11"/>
        <v>1755500</v>
      </c>
      <c r="G128" s="117">
        <f t="shared" si="11"/>
        <v>4945000</v>
      </c>
      <c r="H128" s="117" t="e">
        <f>+H99+#REF!-F128-G128</f>
        <v>#REF!</v>
      </c>
      <c r="I128" s="120"/>
    </row>
    <row r="129" spans="1:9" ht="18.75" x14ac:dyDescent="0.3">
      <c r="A129" s="16"/>
      <c r="B129" s="292" t="s">
        <v>148</v>
      </c>
      <c r="C129" s="292"/>
      <c r="D129" s="292"/>
      <c r="E129" s="292"/>
      <c r="F129" s="292"/>
      <c r="G129" s="292"/>
      <c r="H129" s="292"/>
      <c r="I129" s="292"/>
    </row>
    <row r="130" spans="1:9" ht="30" x14ac:dyDescent="0.25">
      <c r="A130" s="81"/>
      <c r="B130" s="116" t="s">
        <v>56</v>
      </c>
      <c r="C130" s="116" t="s">
        <v>131</v>
      </c>
      <c r="D130" s="116" t="s">
        <v>132</v>
      </c>
      <c r="E130" s="116" t="s">
        <v>133</v>
      </c>
      <c r="F130" s="116" t="s">
        <v>134</v>
      </c>
      <c r="G130" s="116" t="s">
        <v>135</v>
      </c>
      <c r="H130" s="116" t="s">
        <v>144</v>
      </c>
      <c r="I130" s="116" t="s">
        <v>137</v>
      </c>
    </row>
    <row r="131" spans="1:9" ht="18" x14ac:dyDescent="0.4">
      <c r="A131" s="81"/>
      <c r="B131" s="81"/>
      <c r="C131" s="81"/>
      <c r="D131" s="117"/>
      <c r="E131" s="117"/>
      <c r="F131" s="117"/>
      <c r="G131" s="117"/>
      <c r="H131" s="118">
        <v>5735974</v>
      </c>
      <c r="I131" s="119"/>
    </row>
    <row r="132" spans="1:9" ht="18" x14ac:dyDescent="0.4">
      <c r="A132" s="81"/>
      <c r="B132" s="81"/>
      <c r="C132" s="81" t="s">
        <v>138</v>
      </c>
      <c r="D132" s="117"/>
      <c r="E132" s="117"/>
      <c r="F132" s="117"/>
      <c r="G132" s="117"/>
      <c r="H132" s="118"/>
      <c r="I132" s="119"/>
    </row>
    <row r="133" spans="1:9" x14ac:dyDescent="0.25">
      <c r="A133" s="81">
        <v>1</v>
      </c>
      <c r="B133" s="81" t="s">
        <v>216</v>
      </c>
      <c r="C133" s="81" t="s">
        <v>313</v>
      </c>
      <c r="D133" s="117">
        <v>690000</v>
      </c>
      <c r="E133" s="117"/>
      <c r="F133" s="117"/>
      <c r="G133" s="117">
        <f t="shared" ref="G133:G152" si="12">+D133-E133-F133</f>
        <v>690000</v>
      </c>
      <c r="H133" s="117"/>
      <c r="I133" s="120"/>
    </row>
    <row r="134" spans="1:9" x14ac:dyDescent="0.25">
      <c r="A134" s="81">
        <f>1+A133</f>
        <v>2</v>
      </c>
      <c r="B134" s="81" t="s">
        <v>245</v>
      </c>
      <c r="C134" s="81" t="s">
        <v>333</v>
      </c>
      <c r="D134" s="117">
        <v>29500</v>
      </c>
      <c r="E134" s="117"/>
      <c r="F134" s="117"/>
      <c r="G134" s="117">
        <f t="shared" si="12"/>
        <v>29500</v>
      </c>
      <c r="H134" s="117"/>
      <c r="I134" s="120"/>
    </row>
    <row r="135" spans="1:9" x14ac:dyDescent="0.25">
      <c r="A135" s="81">
        <f t="shared" ref="A135:A159" si="13">1+A134</f>
        <v>3</v>
      </c>
      <c r="B135" s="81" t="s">
        <v>245</v>
      </c>
      <c r="C135" s="81" t="s">
        <v>330</v>
      </c>
      <c r="D135" s="117">
        <v>100000</v>
      </c>
      <c r="E135" s="117">
        <v>50000</v>
      </c>
      <c r="F135" s="117"/>
      <c r="G135" s="117">
        <f t="shared" si="12"/>
        <v>50000</v>
      </c>
      <c r="H135" s="117"/>
      <c r="I135" s="120"/>
    </row>
    <row r="136" spans="1:9" x14ac:dyDescent="0.25">
      <c r="A136" s="81">
        <f t="shared" si="13"/>
        <v>4</v>
      </c>
      <c r="B136" s="81" t="s">
        <v>325</v>
      </c>
      <c r="C136" s="81" t="s">
        <v>326</v>
      </c>
      <c r="D136" s="117">
        <v>100000</v>
      </c>
      <c r="E136" s="117"/>
      <c r="F136" s="117"/>
      <c r="G136" s="117">
        <f t="shared" si="12"/>
        <v>100000</v>
      </c>
      <c r="H136" s="117"/>
      <c r="I136" s="120"/>
    </row>
    <row r="137" spans="1:9" x14ac:dyDescent="0.25">
      <c r="A137" s="81">
        <f t="shared" si="13"/>
        <v>5</v>
      </c>
      <c r="B137" s="81" t="s">
        <v>325</v>
      </c>
      <c r="C137" s="81" t="s">
        <v>289</v>
      </c>
      <c r="D137" s="117">
        <v>900000</v>
      </c>
      <c r="E137" s="117"/>
      <c r="F137" s="117">
        <f>10000+70000</f>
        <v>80000</v>
      </c>
      <c r="G137" s="117">
        <f t="shared" si="12"/>
        <v>820000</v>
      </c>
      <c r="H137" s="117"/>
      <c r="I137" s="120"/>
    </row>
    <row r="138" spans="1:9" x14ac:dyDescent="0.25">
      <c r="A138" s="81">
        <f t="shared" si="13"/>
        <v>6</v>
      </c>
      <c r="B138" s="81" t="s">
        <v>325</v>
      </c>
      <c r="C138" s="81" t="s">
        <v>330</v>
      </c>
      <c r="D138" s="117">
        <v>38000</v>
      </c>
      <c r="E138" s="117">
        <v>23000</v>
      </c>
      <c r="F138" s="117"/>
      <c r="G138" s="117">
        <f t="shared" si="12"/>
        <v>15000</v>
      </c>
      <c r="H138" s="117"/>
      <c r="I138" s="120"/>
    </row>
    <row r="139" spans="1:9" x14ac:dyDescent="0.25">
      <c r="A139" s="81">
        <f t="shared" si="13"/>
        <v>7</v>
      </c>
      <c r="B139" s="81" t="s">
        <v>325</v>
      </c>
      <c r="C139" s="81" t="s">
        <v>329</v>
      </c>
      <c r="D139" s="117">
        <v>200000</v>
      </c>
      <c r="E139" s="117"/>
      <c r="F139" s="117"/>
      <c r="G139" s="117">
        <f t="shared" si="12"/>
        <v>200000</v>
      </c>
      <c r="H139" s="117"/>
      <c r="I139" s="120"/>
    </row>
    <row r="140" spans="1:9" x14ac:dyDescent="0.25">
      <c r="A140" s="81">
        <f t="shared" si="13"/>
        <v>8</v>
      </c>
      <c r="B140" s="81" t="s">
        <v>275</v>
      </c>
      <c r="C140" s="81" t="s">
        <v>242</v>
      </c>
      <c r="D140" s="117">
        <v>300000</v>
      </c>
      <c r="E140" s="117"/>
      <c r="F140" s="117">
        <f>70000+2500</f>
        <v>72500</v>
      </c>
      <c r="G140" s="117">
        <f t="shared" si="12"/>
        <v>227500</v>
      </c>
      <c r="H140" s="117"/>
      <c r="I140" s="120"/>
    </row>
    <row r="141" spans="1:9" x14ac:dyDescent="0.25">
      <c r="A141" s="81">
        <f t="shared" si="13"/>
        <v>9</v>
      </c>
      <c r="B141" s="81" t="s">
        <v>96</v>
      </c>
      <c r="C141" s="81" t="s">
        <v>328</v>
      </c>
      <c r="D141" s="117">
        <v>300000</v>
      </c>
      <c r="E141" s="117"/>
      <c r="F141" s="117">
        <f>3000+70000</f>
        <v>73000</v>
      </c>
      <c r="G141" s="117">
        <f t="shared" si="12"/>
        <v>227000</v>
      </c>
      <c r="H141" s="117"/>
      <c r="I141" s="120"/>
    </row>
    <row r="142" spans="1:9" x14ac:dyDescent="0.25">
      <c r="A142" s="81">
        <f t="shared" si="13"/>
        <v>10</v>
      </c>
      <c r="B142" s="81" t="s">
        <v>252</v>
      </c>
      <c r="C142" s="81" t="s">
        <v>329</v>
      </c>
      <c r="D142" s="117">
        <v>200000</v>
      </c>
      <c r="E142" s="117">
        <v>200000</v>
      </c>
      <c r="F142" s="117"/>
      <c r="G142" s="117">
        <f t="shared" si="12"/>
        <v>0</v>
      </c>
      <c r="H142" s="117"/>
      <c r="I142" s="120"/>
    </row>
    <row r="143" spans="1:9" x14ac:dyDescent="0.25">
      <c r="A143" s="81">
        <f t="shared" si="13"/>
        <v>11</v>
      </c>
      <c r="B143" s="81" t="s">
        <v>252</v>
      </c>
      <c r="C143" s="81" t="s">
        <v>253</v>
      </c>
      <c r="D143" s="117">
        <v>9000</v>
      </c>
      <c r="E143" s="117">
        <v>3000</v>
      </c>
      <c r="F143" s="117"/>
      <c r="G143" s="117">
        <f t="shared" si="12"/>
        <v>6000</v>
      </c>
      <c r="H143" s="117"/>
      <c r="I143" s="120"/>
    </row>
    <row r="144" spans="1:9" x14ac:dyDescent="0.25">
      <c r="A144" s="81">
        <f t="shared" si="13"/>
        <v>12</v>
      </c>
      <c r="B144" s="81" t="s">
        <v>38</v>
      </c>
      <c r="C144" s="81" t="s">
        <v>327</v>
      </c>
      <c r="D144" s="117">
        <v>300000</v>
      </c>
      <c r="E144" s="117"/>
      <c r="F144" s="117">
        <f>70000+3000</f>
        <v>73000</v>
      </c>
      <c r="G144" s="117">
        <f t="shared" si="12"/>
        <v>227000</v>
      </c>
      <c r="H144" s="117"/>
      <c r="I144" s="120"/>
    </row>
    <row r="145" spans="1:9" x14ac:dyDescent="0.25">
      <c r="A145" s="81">
        <f t="shared" si="13"/>
        <v>13</v>
      </c>
      <c r="B145" s="81" t="s">
        <v>228</v>
      </c>
      <c r="C145" s="81" t="s">
        <v>289</v>
      </c>
      <c r="D145" s="117">
        <v>900000</v>
      </c>
      <c r="E145" s="117"/>
      <c r="F145" s="117">
        <f>15000+27000+2000+20000</f>
        <v>64000</v>
      </c>
      <c r="G145" s="117">
        <f t="shared" si="12"/>
        <v>836000</v>
      </c>
      <c r="H145" s="117"/>
      <c r="I145" s="120"/>
    </row>
    <row r="146" spans="1:9" x14ac:dyDescent="0.25">
      <c r="A146" s="81">
        <f t="shared" si="13"/>
        <v>14</v>
      </c>
      <c r="B146" s="81" t="s">
        <v>228</v>
      </c>
      <c r="C146" s="81" t="s">
        <v>324</v>
      </c>
      <c r="D146" s="117">
        <v>100000</v>
      </c>
      <c r="E146" s="117"/>
      <c r="F146" s="117"/>
      <c r="G146" s="117">
        <f t="shared" si="12"/>
        <v>100000</v>
      </c>
      <c r="H146" s="117"/>
      <c r="I146" s="120"/>
    </row>
    <row r="147" spans="1:9" x14ac:dyDescent="0.25">
      <c r="A147" s="81">
        <f t="shared" si="13"/>
        <v>15</v>
      </c>
      <c r="B147" s="81" t="s">
        <v>243</v>
      </c>
      <c r="C147" s="81" t="s">
        <v>331</v>
      </c>
      <c r="D147" s="117">
        <v>1000000</v>
      </c>
      <c r="E147" s="117"/>
      <c r="F147" s="117">
        <f>30000+970000</f>
        <v>1000000</v>
      </c>
      <c r="G147" s="117">
        <f t="shared" si="12"/>
        <v>0</v>
      </c>
      <c r="H147" s="117"/>
      <c r="I147" s="120"/>
    </row>
    <row r="148" spans="1:9" x14ac:dyDescent="0.25">
      <c r="A148" s="81">
        <f t="shared" si="13"/>
        <v>16</v>
      </c>
      <c r="B148" s="81" t="s">
        <v>243</v>
      </c>
      <c r="C148" s="81" t="s">
        <v>332</v>
      </c>
      <c r="D148" s="117">
        <v>100000</v>
      </c>
      <c r="E148" s="117"/>
      <c r="F148" s="117">
        <v>30000</v>
      </c>
      <c r="G148" s="117">
        <f t="shared" si="12"/>
        <v>70000</v>
      </c>
      <c r="H148" s="117"/>
      <c r="I148" s="120" t="s">
        <v>334</v>
      </c>
    </row>
    <row r="149" spans="1:9" x14ac:dyDescent="0.25">
      <c r="A149" s="81">
        <f t="shared" si="13"/>
        <v>17</v>
      </c>
      <c r="B149" s="81" t="s">
        <v>320</v>
      </c>
      <c r="C149" s="81" t="s">
        <v>323</v>
      </c>
      <c r="D149" s="117">
        <v>1200000</v>
      </c>
      <c r="E149" s="117"/>
      <c r="F149" s="117">
        <f>10000+0</f>
        <v>10000</v>
      </c>
      <c r="G149" s="117">
        <f t="shared" si="12"/>
        <v>1190000</v>
      </c>
      <c r="H149" s="117"/>
      <c r="I149" s="120"/>
    </row>
    <row r="150" spans="1:9" x14ac:dyDescent="0.25">
      <c r="A150" s="81">
        <f t="shared" si="13"/>
        <v>18</v>
      </c>
      <c r="B150" s="81" t="s">
        <v>288</v>
      </c>
      <c r="C150" s="81" t="s">
        <v>330</v>
      </c>
      <c r="D150" s="117">
        <v>100000</v>
      </c>
      <c r="E150" s="117">
        <v>100000</v>
      </c>
      <c r="F150" s="117"/>
      <c r="G150" s="117">
        <f t="shared" si="12"/>
        <v>0</v>
      </c>
      <c r="H150" s="117"/>
      <c r="I150" s="120"/>
    </row>
    <row r="151" spans="1:9" x14ac:dyDescent="0.25">
      <c r="A151" s="81">
        <f t="shared" si="13"/>
        <v>19</v>
      </c>
      <c r="B151" s="81" t="s">
        <v>228</v>
      </c>
      <c r="C151" s="81" t="s">
        <v>330</v>
      </c>
      <c r="D151" s="117">
        <v>50000</v>
      </c>
      <c r="E151" s="117">
        <v>50000</v>
      </c>
      <c r="F151" s="117"/>
      <c r="G151" s="117">
        <f t="shared" si="12"/>
        <v>0</v>
      </c>
      <c r="H151" s="117"/>
      <c r="I151" s="120"/>
    </row>
    <row r="152" spans="1:9" x14ac:dyDescent="0.25">
      <c r="A152" s="81">
        <f t="shared" si="13"/>
        <v>20</v>
      </c>
      <c r="B152" s="81"/>
      <c r="C152" s="81"/>
      <c r="D152" s="117"/>
      <c r="E152" s="117"/>
      <c r="F152" s="117"/>
      <c r="G152" s="117">
        <f t="shared" si="12"/>
        <v>0</v>
      </c>
      <c r="H152" s="117"/>
      <c r="I152" s="120"/>
    </row>
    <row r="153" spans="1:9" x14ac:dyDescent="0.25">
      <c r="A153" s="81">
        <f t="shared" si="13"/>
        <v>21</v>
      </c>
      <c r="B153" s="81"/>
      <c r="C153" s="81"/>
      <c r="D153" s="117"/>
      <c r="E153" s="117"/>
      <c r="F153" s="117"/>
      <c r="G153" s="117">
        <f t="shared" ref="G153:G158" si="14">+D153-E153-F153</f>
        <v>0</v>
      </c>
      <c r="H153" s="117"/>
      <c r="I153" s="120"/>
    </row>
    <row r="154" spans="1:9" x14ac:dyDescent="0.25">
      <c r="A154" s="81">
        <f t="shared" si="13"/>
        <v>22</v>
      </c>
      <c r="B154" s="81"/>
      <c r="C154" s="81"/>
      <c r="D154" s="117"/>
      <c r="E154" s="117"/>
      <c r="F154" s="117"/>
      <c r="G154" s="117">
        <f t="shared" si="14"/>
        <v>0</v>
      </c>
      <c r="H154" s="117"/>
      <c r="I154" s="120"/>
    </row>
    <row r="155" spans="1:9" x14ac:dyDescent="0.25">
      <c r="A155" s="81">
        <f t="shared" si="13"/>
        <v>23</v>
      </c>
      <c r="B155" s="81"/>
      <c r="C155" s="81"/>
      <c r="D155" s="117"/>
      <c r="E155" s="117"/>
      <c r="F155" s="117"/>
      <c r="G155" s="117">
        <f t="shared" si="14"/>
        <v>0</v>
      </c>
      <c r="H155" s="117"/>
      <c r="I155" s="120"/>
    </row>
    <row r="156" spans="1:9" x14ac:dyDescent="0.25">
      <c r="A156" s="81">
        <f t="shared" si="13"/>
        <v>24</v>
      </c>
      <c r="B156" s="81"/>
      <c r="C156" s="81"/>
      <c r="D156" s="117"/>
      <c r="E156" s="117"/>
      <c r="F156" s="117"/>
      <c r="G156" s="117">
        <f t="shared" si="14"/>
        <v>0</v>
      </c>
      <c r="H156" s="117"/>
      <c r="I156" s="120"/>
    </row>
    <row r="157" spans="1:9" x14ac:dyDescent="0.25">
      <c r="A157" s="81">
        <f t="shared" si="13"/>
        <v>25</v>
      </c>
      <c r="B157" s="81"/>
      <c r="C157" s="81"/>
      <c r="D157" s="117"/>
      <c r="E157" s="117"/>
      <c r="F157" s="117"/>
      <c r="G157" s="117">
        <f t="shared" si="14"/>
        <v>0</v>
      </c>
      <c r="H157" s="117"/>
      <c r="I157" s="120"/>
    </row>
    <row r="158" spans="1:9" x14ac:dyDescent="0.25">
      <c r="A158" s="81">
        <f>1+A157</f>
        <v>26</v>
      </c>
      <c r="B158" s="81"/>
      <c r="C158" s="81"/>
      <c r="D158" s="117"/>
      <c r="E158" s="117"/>
      <c r="F158" s="117"/>
      <c r="G158" s="117">
        <f t="shared" si="14"/>
        <v>0</v>
      </c>
      <c r="H158" s="117"/>
      <c r="I158" s="120"/>
    </row>
    <row r="159" spans="1:9" x14ac:dyDescent="0.25">
      <c r="A159" s="81">
        <f t="shared" si="13"/>
        <v>27</v>
      </c>
      <c r="B159" s="81"/>
      <c r="C159" s="81"/>
      <c r="D159" s="117">
        <f>SUM(D131:D158)</f>
        <v>6616500</v>
      </c>
      <c r="E159" s="117">
        <f>SUM(E131:E158)</f>
        <v>426000</v>
      </c>
      <c r="F159" s="117">
        <f>SUM(F131:F158)</f>
        <v>1402500</v>
      </c>
      <c r="G159" s="117">
        <f>SUM(G131:G158)</f>
        <v>4788000</v>
      </c>
      <c r="H159" s="117" t="e">
        <f>+H131+#REF!-F159-G159</f>
        <v>#REF!</v>
      </c>
      <c r="I159" s="120"/>
    </row>
    <row r="160" spans="1:9" ht="18.75" x14ac:dyDescent="0.3">
      <c r="A160" s="176"/>
      <c r="B160" s="293" t="s">
        <v>149</v>
      </c>
      <c r="C160" s="293"/>
      <c r="D160" s="293"/>
      <c r="E160" s="293"/>
      <c r="F160" s="293"/>
      <c r="G160" s="293"/>
      <c r="H160" s="293"/>
      <c r="I160" s="293"/>
    </row>
    <row r="161" spans="1:9" ht="30" x14ac:dyDescent="0.25">
      <c r="A161" s="74"/>
      <c r="B161" s="186" t="s">
        <v>56</v>
      </c>
      <c r="C161" s="186" t="s">
        <v>131</v>
      </c>
      <c r="D161" s="186" t="s">
        <v>132</v>
      </c>
      <c r="E161" s="186" t="s">
        <v>133</v>
      </c>
      <c r="F161" s="186" t="s">
        <v>134</v>
      </c>
      <c r="G161" s="186" t="s">
        <v>135</v>
      </c>
      <c r="H161" s="186" t="s">
        <v>144</v>
      </c>
      <c r="I161" s="186" t="s">
        <v>137</v>
      </c>
    </row>
    <row r="162" spans="1:9" ht="18" x14ac:dyDescent="0.4">
      <c r="A162" s="74"/>
      <c r="B162" s="74"/>
      <c r="C162" s="74"/>
      <c r="D162" s="121"/>
      <c r="E162" s="121"/>
      <c r="F162" s="121"/>
      <c r="G162" s="121"/>
      <c r="H162" s="187">
        <v>5735974</v>
      </c>
      <c r="I162" s="188"/>
    </row>
    <row r="163" spans="1:9" ht="18" x14ac:dyDescent="0.4">
      <c r="A163" s="74"/>
      <c r="B163" s="74"/>
      <c r="C163" s="74" t="s">
        <v>138</v>
      </c>
      <c r="D163" s="121"/>
      <c r="E163" s="121"/>
      <c r="F163" s="121"/>
      <c r="G163" s="121"/>
      <c r="H163" s="187"/>
      <c r="I163" s="188"/>
    </row>
    <row r="164" spans="1:9" x14ac:dyDescent="0.25">
      <c r="A164" s="74">
        <v>4</v>
      </c>
      <c r="B164" s="74" t="s">
        <v>107</v>
      </c>
      <c r="C164" s="74" t="s">
        <v>289</v>
      </c>
      <c r="D164" s="121">
        <v>900000</v>
      </c>
      <c r="E164" s="121"/>
      <c r="F164" s="121">
        <f>7500+0</f>
        <v>7500</v>
      </c>
      <c r="G164" s="121">
        <f>+D164-E164-F164</f>
        <v>892500</v>
      </c>
      <c r="H164" s="121"/>
      <c r="I164" s="189"/>
    </row>
    <row r="165" spans="1:9" x14ac:dyDescent="0.25">
      <c r="A165" s="74">
        <f>1+A164</f>
        <v>5</v>
      </c>
      <c r="B165" s="74" t="s">
        <v>245</v>
      </c>
      <c r="C165" s="74" t="s">
        <v>365</v>
      </c>
      <c r="D165" s="121">
        <v>100000</v>
      </c>
      <c r="E165" s="121">
        <v>50000</v>
      </c>
      <c r="F165" s="121"/>
      <c r="G165" s="121">
        <f t="shared" ref="G165:G188" si="15">+D165-E165-F165</f>
        <v>50000</v>
      </c>
      <c r="H165" s="121"/>
      <c r="I165" s="189"/>
    </row>
    <row r="166" spans="1:9" x14ac:dyDescent="0.25">
      <c r="A166" s="74">
        <f t="shared" ref="A166:A191" si="16">1+A165</f>
        <v>6</v>
      </c>
      <c r="B166" s="74" t="s">
        <v>207</v>
      </c>
      <c r="C166" s="74" t="s">
        <v>311</v>
      </c>
      <c r="D166" s="121">
        <v>100000</v>
      </c>
      <c r="E166" s="121">
        <v>9000</v>
      </c>
      <c r="F166" s="121"/>
      <c r="G166" s="121">
        <f t="shared" si="15"/>
        <v>91000</v>
      </c>
      <c r="H166" s="121"/>
      <c r="I166" s="189"/>
    </row>
    <row r="167" spans="1:9" x14ac:dyDescent="0.25">
      <c r="A167" s="74">
        <f t="shared" si="16"/>
        <v>7</v>
      </c>
      <c r="B167" s="74" t="s">
        <v>288</v>
      </c>
      <c r="C167" s="74" t="s">
        <v>365</v>
      </c>
      <c r="D167" s="121">
        <v>100000</v>
      </c>
      <c r="E167" s="121"/>
      <c r="F167" s="121"/>
      <c r="G167" s="121">
        <f t="shared" si="15"/>
        <v>100000</v>
      </c>
      <c r="H167" s="121"/>
      <c r="I167" s="189"/>
    </row>
    <row r="168" spans="1:9" x14ac:dyDescent="0.25">
      <c r="A168" s="74">
        <f t="shared" si="16"/>
        <v>8</v>
      </c>
      <c r="B168" s="74" t="s">
        <v>228</v>
      </c>
      <c r="C168" s="74" t="s">
        <v>365</v>
      </c>
      <c r="D168" s="121">
        <v>100000</v>
      </c>
      <c r="E168" s="121"/>
      <c r="F168" s="121"/>
      <c r="G168" s="121">
        <f t="shared" si="15"/>
        <v>100000</v>
      </c>
      <c r="H168" s="121"/>
      <c r="I168" s="189"/>
    </row>
    <row r="169" spans="1:9" x14ac:dyDescent="0.25">
      <c r="A169" s="74">
        <f t="shared" si="16"/>
        <v>9</v>
      </c>
      <c r="B169" s="74" t="s">
        <v>252</v>
      </c>
      <c r="C169" s="74" t="s">
        <v>323</v>
      </c>
      <c r="D169" s="121">
        <v>1200000</v>
      </c>
      <c r="E169" s="121"/>
      <c r="F169" s="121">
        <f>10000+0</f>
        <v>10000</v>
      </c>
      <c r="G169" s="121">
        <f t="shared" si="15"/>
        <v>1190000</v>
      </c>
      <c r="H169" s="121"/>
      <c r="I169" s="189"/>
    </row>
    <row r="170" spans="1:9" x14ac:dyDescent="0.25">
      <c r="A170" s="74">
        <f t="shared" si="16"/>
        <v>10</v>
      </c>
      <c r="B170" s="74" t="s">
        <v>107</v>
      </c>
      <c r="C170" s="74" t="s">
        <v>323</v>
      </c>
      <c r="D170" s="121">
        <v>1200000</v>
      </c>
      <c r="E170" s="121"/>
      <c r="F170" s="121">
        <f>10000+0</f>
        <v>10000</v>
      </c>
      <c r="G170" s="121">
        <f t="shared" si="15"/>
        <v>1190000</v>
      </c>
      <c r="H170" s="121"/>
      <c r="I170" s="189"/>
    </row>
    <row r="171" spans="1:9" x14ac:dyDescent="0.25">
      <c r="A171" s="74">
        <f t="shared" si="16"/>
        <v>11</v>
      </c>
      <c r="B171" s="74" t="s">
        <v>216</v>
      </c>
      <c r="C171" s="74" t="s">
        <v>296</v>
      </c>
      <c r="D171" s="121">
        <v>184000</v>
      </c>
      <c r="E171" s="121"/>
      <c r="F171" s="121"/>
      <c r="G171" s="121">
        <f t="shared" si="15"/>
        <v>184000</v>
      </c>
      <c r="H171" s="121"/>
      <c r="I171" s="189"/>
    </row>
    <row r="172" spans="1:9" x14ac:dyDescent="0.25">
      <c r="A172" s="74">
        <f t="shared" si="16"/>
        <v>12</v>
      </c>
      <c r="B172" s="74" t="s">
        <v>207</v>
      </c>
      <c r="C172" s="74" t="s">
        <v>296</v>
      </c>
      <c r="D172" s="121">
        <v>200000</v>
      </c>
      <c r="E172" s="121"/>
      <c r="F172" s="121"/>
      <c r="G172" s="121">
        <f t="shared" si="15"/>
        <v>200000</v>
      </c>
      <c r="H172" s="121"/>
      <c r="I172" s="189"/>
    </row>
    <row r="173" spans="1:9" x14ac:dyDescent="0.25">
      <c r="A173" s="74">
        <f t="shared" si="16"/>
        <v>13</v>
      </c>
      <c r="B173" s="74" t="s">
        <v>252</v>
      </c>
      <c r="C173" s="74" t="s">
        <v>296</v>
      </c>
      <c r="D173" s="121">
        <v>200000</v>
      </c>
      <c r="E173" s="121"/>
      <c r="F173" s="121"/>
      <c r="G173" s="121">
        <f t="shared" si="15"/>
        <v>200000</v>
      </c>
      <c r="H173" s="121"/>
      <c r="I173" s="189" t="s">
        <v>366</v>
      </c>
    </row>
    <row r="174" spans="1:9" x14ac:dyDescent="0.25">
      <c r="A174" s="74">
        <f t="shared" si="16"/>
        <v>14</v>
      </c>
      <c r="B174" s="74" t="s">
        <v>367</v>
      </c>
      <c r="C174" s="74" t="s">
        <v>242</v>
      </c>
      <c r="D174" s="121">
        <v>300000</v>
      </c>
      <c r="E174" s="121"/>
      <c r="F174" s="121">
        <f>5000+295000</f>
        <v>300000</v>
      </c>
      <c r="G174" s="121">
        <f t="shared" si="15"/>
        <v>0</v>
      </c>
      <c r="H174" s="121"/>
      <c r="I174" s="189"/>
    </row>
    <row r="175" spans="1:9" x14ac:dyDescent="0.25">
      <c r="A175" s="74">
        <f t="shared" si="16"/>
        <v>15</v>
      </c>
      <c r="B175" s="74" t="s">
        <v>368</v>
      </c>
      <c r="C175" s="74" t="s">
        <v>328</v>
      </c>
      <c r="D175" s="121">
        <v>300000</v>
      </c>
      <c r="E175" s="121"/>
      <c r="F175" s="121">
        <f>4500+70000</f>
        <v>74500</v>
      </c>
      <c r="G175" s="121">
        <f t="shared" si="15"/>
        <v>225500</v>
      </c>
      <c r="H175" s="121"/>
      <c r="I175" s="189"/>
    </row>
    <row r="176" spans="1:9" x14ac:dyDescent="0.25">
      <c r="A176" s="74">
        <f t="shared" si="16"/>
        <v>16</v>
      </c>
      <c r="B176" s="74" t="s">
        <v>325</v>
      </c>
      <c r="C176" s="74" t="s">
        <v>369</v>
      </c>
      <c r="D176" s="121">
        <v>30000</v>
      </c>
      <c r="E176" s="121"/>
      <c r="F176" s="121">
        <f>28200+1800+0</f>
        <v>30000</v>
      </c>
      <c r="G176" s="121">
        <f t="shared" si="15"/>
        <v>0</v>
      </c>
      <c r="H176" s="121"/>
      <c r="I176" s="189"/>
    </row>
    <row r="177" spans="1:9" x14ac:dyDescent="0.25">
      <c r="A177" s="74">
        <f t="shared" si="16"/>
        <v>17</v>
      </c>
      <c r="B177" s="74" t="s">
        <v>38</v>
      </c>
      <c r="C177" s="74" t="s">
        <v>369</v>
      </c>
      <c r="D177" s="121">
        <v>60000</v>
      </c>
      <c r="E177" s="121"/>
      <c r="F177" s="121"/>
      <c r="G177" s="121">
        <f t="shared" si="15"/>
        <v>60000</v>
      </c>
      <c r="H177" s="121"/>
      <c r="I177" s="189"/>
    </row>
    <row r="178" spans="1:9" x14ac:dyDescent="0.25">
      <c r="A178" s="74">
        <f t="shared" si="16"/>
        <v>18</v>
      </c>
      <c r="B178" s="74" t="s">
        <v>245</v>
      </c>
      <c r="C178" s="74" t="s">
        <v>369</v>
      </c>
      <c r="D178" s="121">
        <v>30000</v>
      </c>
      <c r="E178" s="121"/>
      <c r="F178" s="121"/>
      <c r="G178" s="121">
        <f t="shared" si="15"/>
        <v>30000</v>
      </c>
      <c r="H178" s="121"/>
      <c r="I178" s="189"/>
    </row>
    <row r="179" spans="1:9" x14ac:dyDescent="0.25">
      <c r="A179" s="74">
        <f t="shared" si="16"/>
        <v>19</v>
      </c>
      <c r="B179" s="74" t="s">
        <v>362</v>
      </c>
      <c r="C179" s="74" t="s">
        <v>277</v>
      </c>
      <c r="D179" s="121">
        <v>30000</v>
      </c>
      <c r="E179" s="121"/>
      <c r="F179" s="121"/>
      <c r="G179" s="121">
        <f t="shared" si="15"/>
        <v>30000</v>
      </c>
      <c r="H179" s="121"/>
      <c r="I179" s="189"/>
    </row>
    <row r="180" spans="1:9" x14ac:dyDescent="0.25">
      <c r="A180" s="74">
        <f t="shared" si="16"/>
        <v>20</v>
      </c>
      <c r="B180" s="74" t="s">
        <v>362</v>
      </c>
      <c r="C180" s="74" t="s">
        <v>331</v>
      </c>
      <c r="D180" s="121">
        <v>600000</v>
      </c>
      <c r="E180" s="121"/>
      <c r="F180" s="121">
        <f>36000+0</f>
        <v>36000</v>
      </c>
      <c r="G180" s="121">
        <f t="shared" si="15"/>
        <v>564000</v>
      </c>
      <c r="H180" s="121"/>
      <c r="I180" s="189"/>
    </row>
    <row r="181" spans="1:9" x14ac:dyDescent="0.25">
      <c r="A181" s="74">
        <f t="shared" si="16"/>
        <v>21</v>
      </c>
      <c r="B181" s="74" t="s">
        <v>301</v>
      </c>
      <c r="C181" s="74" t="s">
        <v>331</v>
      </c>
      <c r="D181" s="121">
        <v>250000</v>
      </c>
      <c r="E181" s="121"/>
      <c r="F181" s="121">
        <f>10000+0</f>
        <v>10000</v>
      </c>
      <c r="G181" s="121">
        <f t="shared" si="15"/>
        <v>240000</v>
      </c>
      <c r="H181" s="121"/>
      <c r="I181" s="189"/>
    </row>
    <row r="182" spans="1:9" x14ac:dyDescent="0.25">
      <c r="A182" s="74">
        <f t="shared" si="16"/>
        <v>22</v>
      </c>
      <c r="B182" s="74" t="s">
        <v>207</v>
      </c>
      <c r="C182" s="74" t="s">
        <v>370</v>
      </c>
      <c r="D182" s="121">
        <v>15000</v>
      </c>
      <c r="E182" s="121">
        <v>15000</v>
      </c>
      <c r="F182" s="121"/>
      <c r="G182" s="121">
        <f t="shared" si="15"/>
        <v>0</v>
      </c>
      <c r="H182" s="121"/>
      <c r="I182" s="189"/>
    </row>
    <row r="183" spans="1:9" x14ac:dyDescent="0.25">
      <c r="A183" s="74">
        <f t="shared" si="16"/>
        <v>23</v>
      </c>
      <c r="B183" s="74" t="s">
        <v>252</v>
      </c>
      <c r="C183" s="74" t="s">
        <v>371</v>
      </c>
      <c r="D183" s="121">
        <v>20000</v>
      </c>
      <c r="E183" s="121">
        <v>20000</v>
      </c>
      <c r="F183" s="121"/>
      <c r="G183" s="121">
        <f t="shared" si="15"/>
        <v>0</v>
      </c>
      <c r="H183" s="121"/>
      <c r="I183" s="189"/>
    </row>
    <row r="184" spans="1:9" x14ac:dyDescent="0.25">
      <c r="A184" s="74">
        <f t="shared" si="16"/>
        <v>24</v>
      </c>
      <c r="B184" s="74" t="s">
        <v>252</v>
      </c>
      <c r="C184" s="74" t="s">
        <v>253</v>
      </c>
      <c r="D184" s="121">
        <v>6000</v>
      </c>
      <c r="E184" s="121"/>
      <c r="F184" s="121"/>
      <c r="G184" s="121">
        <f t="shared" si="15"/>
        <v>6000</v>
      </c>
      <c r="H184" s="121"/>
      <c r="I184" s="189"/>
    </row>
    <row r="185" spans="1:9" x14ac:dyDescent="0.25">
      <c r="A185" s="74">
        <f t="shared" si="16"/>
        <v>25</v>
      </c>
      <c r="B185" s="74" t="s">
        <v>207</v>
      </c>
      <c r="C185" s="74" t="s">
        <v>372</v>
      </c>
      <c r="D185" s="121">
        <v>3000</v>
      </c>
      <c r="E185" s="121"/>
      <c r="F185" s="121"/>
      <c r="G185" s="121">
        <f t="shared" si="15"/>
        <v>3000</v>
      </c>
      <c r="H185" s="121"/>
      <c r="I185" s="189"/>
    </row>
    <row r="186" spans="1:9" x14ac:dyDescent="0.25">
      <c r="A186" s="74">
        <f t="shared" si="16"/>
        <v>26</v>
      </c>
      <c r="B186" s="74" t="s">
        <v>368</v>
      </c>
      <c r="C186" s="74" t="s">
        <v>373</v>
      </c>
      <c r="D186" s="121">
        <v>100000</v>
      </c>
      <c r="E186" s="121"/>
      <c r="F186" s="121"/>
      <c r="G186" s="121">
        <f t="shared" si="15"/>
        <v>100000</v>
      </c>
      <c r="H186" s="121"/>
      <c r="I186" s="189"/>
    </row>
    <row r="187" spans="1:9" ht="30" x14ac:dyDescent="0.25">
      <c r="A187" s="74">
        <f t="shared" si="16"/>
        <v>27</v>
      </c>
      <c r="B187" s="74" t="s">
        <v>291</v>
      </c>
      <c r="C187" s="74" t="s">
        <v>331</v>
      </c>
      <c r="D187" s="121">
        <v>705000</v>
      </c>
      <c r="E187" s="121"/>
      <c r="F187" s="121">
        <f>28200+0+676800</f>
        <v>705000</v>
      </c>
      <c r="G187" s="121">
        <f t="shared" si="15"/>
        <v>0</v>
      </c>
      <c r="H187" s="121"/>
      <c r="I187" s="189" t="s">
        <v>374</v>
      </c>
    </row>
    <row r="188" spans="1:9" x14ac:dyDescent="0.25">
      <c r="A188" s="74">
        <f t="shared" si="16"/>
        <v>28</v>
      </c>
      <c r="B188" s="74"/>
      <c r="C188" s="74"/>
      <c r="D188" s="121"/>
      <c r="E188" s="121"/>
      <c r="F188" s="121"/>
      <c r="G188" s="121">
        <f t="shared" si="15"/>
        <v>0</v>
      </c>
      <c r="H188" s="121"/>
      <c r="I188" s="189"/>
    </row>
    <row r="189" spans="1:9" x14ac:dyDescent="0.25">
      <c r="A189" s="74">
        <f t="shared" si="16"/>
        <v>29</v>
      </c>
      <c r="B189" s="74"/>
      <c r="C189" s="74"/>
      <c r="D189" s="121"/>
      <c r="E189" s="121"/>
      <c r="F189" s="121"/>
      <c r="G189" s="121"/>
      <c r="H189" s="121"/>
      <c r="I189" s="189"/>
    </row>
    <row r="190" spans="1:9" x14ac:dyDescent="0.25">
      <c r="A190" s="74">
        <f>1+A189</f>
        <v>30</v>
      </c>
      <c r="B190" s="74"/>
      <c r="C190" s="74"/>
      <c r="D190" s="121"/>
      <c r="E190" s="121"/>
      <c r="F190" s="121"/>
      <c r="G190" s="121"/>
      <c r="H190" s="121"/>
      <c r="I190" s="189"/>
    </row>
    <row r="191" spans="1:9" x14ac:dyDescent="0.25">
      <c r="A191" s="74">
        <f t="shared" si="16"/>
        <v>31</v>
      </c>
      <c r="B191" s="74"/>
      <c r="C191" s="74"/>
      <c r="D191" s="121">
        <f>SUM(D162:D190)</f>
        <v>6733000</v>
      </c>
      <c r="E191" s="121">
        <f t="shared" ref="E191:G191" si="17">SUM(E162:E190)</f>
        <v>94000</v>
      </c>
      <c r="F191" s="121">
        <f t="shared" si="17"/>
        <v>1183000</v>
      </c>
      <c r="G191" s="121">
        <f t="shared" si="17"/>
        <v>5456000</v>
      </c>
      <c r="H191" s="121" t="e">
        <f>+H162+#REF!-F191-G191</f>
        <v>#REF!</v>
      </c>
      <c r="I191" s="189"/>
    </row>
    <row r="192" spans="1:9" ht="18.75" x14ac:dyDescent="0.3">
      <c r="A192" s="16"/>
      <c r="B192" s="292" t="s">
        <v>150</v>
      </c>
      <c r="C192" s="292"/>
      <c r="D192" s="292"/>
      <c r="E192" s="292"/>
      <c r="F192" s="292"/>
      <c r="G192" s="292"/>
      <c r="H192" s="292"/>
      <c r="I192" s="292"/>
    </row>
    <row r="193" spans="1:9" ht="30" x14ac:dyDescent="0.25">
      <c r="A193" s="74"/>
      <c r="B193" s="186" t="s">
        <v>56</v>
      </c>
      <c r="C193" s="186" t="s">
        <v>131</v>
      </c>
      <c r="D193" s="186" t="s">
        <v>132</v>
      </c>
      <c r="E193" s="186" t="s">
        <v>133</v>
      </c>
      <c r="F193" s="186" t="s">
        <v>134</v>
      </c>
      <c r="G193" s="186" t="s">
        <v>135</v>
      </c>
      <c r="H193" s="186" t="s">
        <v>145</v>
      </c>
      <c r="I193" s="186" t="s">
        <v>137</v>
      </c>
    </row>
    <row r="194" spans="1:9" ht="18" x14ac:dyDescent="0.4">
      <c r="A194" s="74"/>
      <c r="B194" s="74"/>
      <c r="C194" s="74"/>
      <c r="D194" s="121"/>
      <c r="E194" s="121"/>
      <c r="F194" s="121"/>
      <c r="G194" s="121"/>
      <c r="H194" s="187">
        <v>5735975</v>
      </c>
      <c r="I194" s="188"/>
    </row>
    <row r="195" spans="1:9" ht="18" x14ac:dyDescent="0.4">
      <c r="A195" s="74"/>
      <c r="B195" s="74"/>
      <c r="C195" s="74" t="s">
        <v>138</v>
      </c>
      <c r="D195" s="121"/>
      <c r="E195" s="121"/>
      <c r="F195" s="121"/>
      <c r="G195" s="121"/>
      <c r="H195" s="187"/>
      <c r="I195" s="188"/>
    </row>
    <row r="196" spans="1:9" x14ac:dyDescent="0.25">
      <c r="A196" s="74">
        <v>5</v>
      </c>
      <c r="B196" s="74" t="s">
        <v>379</v>
      </c>
      <c r="C196" s="74" t="s">
        <v>242</v>
      </c>
      <c r="D196" s="121">
        <v>300000</v>
      </c>
      <c r="E196" s="121">
        <v>0</v>
      </c>
      <c r="F196" s="121">
        <f>2500+70000</f>
        <v>72500</v>
      </c>
      <c r="G196" s="121">
        <f>+D196-E196-F196</f>
        <v>227500</v>
      </c>
      <c r="H196" s="121"/>
      <c r="I196" s="189"/>
    </row>
    <row r="197" spans="1:9" x14ac:dyDescent="0.25">
      <c r="A197" s="74">
        <f>1+A196</f>
        <v>6</v>
      </c>
      <c r="B197" s="74" t="s">
        <v>288</v>
      </c>
      <c r="C197" s="74" t="s">
        <v>242</v>
      </c>
      <c r="D197" s="121">
        <v>300000</v>
      </c>
      <c r="E197" s="121">
        <v>0</v>
      </c>
      <c r="F197" s="121">
        <f>2500+70000</f>
        <v>72500</v>
      </c>
      <c r="G197" s="121">
        <f t="shared" ref="G197:G222" si="18">+D197-E197-F197</f>
        <v>227500</v>
      </c>
      <c r="H197" s="121"/>
      <c r="I197" s="189"/>
    </row>
    <row r="198" spans="1:9" x14ac:dyDescent="0.25">
      <c r="A198" s="74">
        <f t="shared" ref="A198:A223" si="19">1+A197</f>
        <v>7</v>
      </c>
      <c r="B198" s="74" t="s">
        <v>380</v>
      </c>
      <c r="C198" s="74" t="s">
        <v>242</v>
      </c>
      <c r="D198" s="121">
        <v>300000</v>
      </c>
      <c r="E198" s="121">
        <v>0</v>
      </c>
      <c r="F198" s="121">
        <f>3000+140000</f>
        <v>143000</v>
      </c>
      <c r="G198" s="121">
        <f t="shared" si="18"/>
        <v>157000</v>
      </c>
      <c r="H198" s="121"/>
      <c r="I198" s="189"/>
    </row>
    <row r="199" spans="1:9" x14ac:dyDescent="0.25">
      <c r="A199" s="74">
        <f t="shared" si="19"/>
        <v>8</v>
      </c>
      <c r="B199" s="74" t="s">
        <v>379</v>
      </c>
      <c r="C199" s="74" t="s">
        <v>289</v>
      </c>
      <c r="D199" s="121">
        <v>900000</v>
      </c>
      <c r="E199" s="121">
        <v>0</v>
      </c>
      <c r="F199" s="121">
        <f>7500+0</f>
        <v>7500</v>
      </c>
      <c r="G199" s="121">
        <f t="shared" si="18"/>
        <v>892500</v>
      </c>
      <c r="H199" s="121"/>
      <c r="I199" s="189"/>
    </row>
    <row r="200" spans="1:9" x14ac:dyDescent="0.25">
      <c r="A200" s="74">
        <f t="shared" si="19"/>
        <v>9</v>
      </c>
      <c r="B200" s="74" t="s">
        <v>38</v>
      </c>
      <c r="C200" s="74" t="s">
        <v>381</v>
      </c>
      <c r="D200" s="121">
        <v>167000</v>
      </c>
      <c r="E200" s="121">
        <v>0</v>
      </c>
      <c r="F200" s="121">
        <f>61000+106000</f>
        <v>167000</v>
      </c>
      <c r="G200" s="121">
        <f t="shared" si="18"/>
        <v>0</v>
      </c>
      <c r="H200" s="121"/>
      <c r="I200" s="189"/>
    </row>
    <row r="201" spans="1:9" x14ac:dyDescent="0.25">
      <c r="A201" s="74">
        <f t="shared" si="19"/>
        <v>10</v>
      </c>
      <c r="B201" s="74" t="s">
        <v>207</v>
      </c>
      <c r="C201" s="74" t="s">
        <v>381</v>
      </c>
      <c r="D201" s="121">
        <v>75000</v>
      </c>
      <c r="E201" s="121">
        <v>0</v>
      </c>
      <c r="F201" s="121"/>
      <c r="G201" s="121">
        <f t="shared" si="18"/>
        <v>75000</v>
      </c>
      <c r="H201" s="121"/>
      <c r="I201" s="189"/>
    </row>
    <row r="202" spans="1:9" x14ac:dyDescent="0.25">
      <c r="A202" s="74">
        <f t="shared" si="19"/>
        <v>11</v>
      </c>
      <c r="B202" s="74" t="s">
        <v>273</v>
      </c>
      <c r="C202" s="74" t="s">
        <v>248</v>
      </c>
      <c r="D202" s="121">
        <v>100000</v>
      </c>
      <c r="E202" s="121"/>
      <c r="F202" s="121"/>
      <c r="G202" s="121">
        <f t="shared" si="18"/>
        <v>100000</v>
      </c>
      <c r="H202" s="121"/>
      <c r="I202" s="189"/>
    </row>
    <row r="203" spans="1:9" x14ac:dyDescent="0.25">
      <c r="A203" s="74">
        <f t="shared" si="19"/>
        <v>12</v>
      </c>
      <c r="B203" s="74" t="s">
        <v>228</v>
      </c>
      <c r="C203" s="74" t="s">
        <v>248</v>
      </c>
      <c r="D203" s="121">
        <v>100000</v>
      </c>
      <c r="E203" s="121"/>
      <c r="F203" s="121"/>
      <c r="G203" s="121">
        <f t="shared" si="18"/>
        <v>100000</v>
      </c>
      <c r="H203" s="121"/>
      <c r="I203" s="189"/>
    </row>
    <row r="204" spans="1:9" x14ac:dyDescent="0.25">
      <c r="A204" s="74">
        <f t="shared" si="19"/>
        <v>13</v>
      </c>
      <c r="B204" s="74" t="s">
        <v>38</v>
      </c>
      <c r="C204" s="74" t="s">
        <v>248</v>
      </c>
      <c r="D204" s="121">
        <v>100000</v>
      </c>
      <c r="E204" s="121">
        <v>0</v>
      </c>
      <c r="F204" s="121">
        <f>54000+0</f>
        <v>54000</v>
      </c>
      <c r="G204" s="121">
        <f t="shared" si="18"/>
        <v>46000</v>
      </c>
      <c r="H204" s="121"/>
      <c r="I204" s="189"/>
    </row>
    <row r="205" spans="1:9" x14ac:dyDescent="0.25">
      <c r="A205" s="74">
        <f t="shared" si="19"/>
        <v>14</v>
      </c>
      <c r="B205" s="74" t="s">
        <v>207</v>
      </c>
      <c r="C205" s="74" t="s">
        <v>248</v>
      </c>
      <c r="D205" s="121">
        <v>189500</v>
      </c>
      <c r="E205" s="121">
        <v>12500</v>
      </c>
      <c r="F205" s="121">
        <v>0</v>
      </c>
      <c r="G205" s="121">
        <f t="shared" si="18"/>
        <v>177000</v>
      </c>
      <c r="H205" s="121"/>
      <c r="I205" s="189"/>
    </row>
    <row r="206" spans="1:9" x14ac:dyDescent="0.25">
      <c r="A206" s="74">
        <f t="shared" si="19"/>
        <v>15</v>
      </c>
      <c r="B206" s="74" t="s">
        <v>288</v>
      </c>
      <c r="C206" s="74" t="s">
        <v>381</v>
      </c>
      <c r="D206" s="121">
        <v>75000</v>
      </c>
      <c r="E206" s="121">
        <v>75000</v>
      </c>
      <c r="F206" s="121"/>
      <c r="G206" s="121">
        <f t="shared" si="18"/>
        <v>0</v>
      </c>
      <c r="H206" s="121"/>
      <c r="I206" s="189"/>
    </row>
    <row r="207" spans="1:9" x14ac:dyDescent="0.25">
      <c r="A207" s="74">
        <f t="shared" si="19"/>
        <v>16</v>
      </c>
      <c r="B207" s="74" t="s">
        <v>207</v>
      </c>
      <c r="C207" s="74" t="s">
        <v>248</v>
      </c>
      <c r="D207" s="121">
        <v>100000</v>
      </c>
      <c r="E207" s="121">
        <v>100000</v>
      </c>
      <c r="F207" s="121"/>
      <c r="G207" s="121">
        <f t="shared" si="18"/>
        <v>0</v>
      </c>
      <c r="H207" s="121"/>
      <c r="I207" s="189"/>
    </row>
    <row r="208" spans="1:9" x14ac:dyDescent="0.25">
      <c r="A208" s="74">
        <f t="shared" si="19"/>
        <v>17</v>
      </c>
      <c r="B208" s="74" t="s">
        <v>216</v>
      </c>
      <c r="C208" s="74" t="s">
        <v>248</v>
      </c>
      <c r="D208" s="121">
        <v>200000</v>
      </c>
      <c r="E208" s="121">
        <v>200000</v>
      </c>
      <c r="F208" s="121"/>
      <c r="G208" s="121">
        <f t="shared" si="18"/>
        <v>0</v>
      </c>
      <c r="H208" s="121"/>
      <c r="I208" s="189"/>
    </row>
    <row r="209" spans="1:9" x14ac:dyDescent="0.25">
      <c r="A209" s="74">
        <f t="shared" si="19"/>
        <v>18</v>
      </c>
      <c r="B209" s="74" t="s">
        <v>273</v>
      </c>
      <c r="C209" s="74" t="s">
        <v>282</v>
      </c>
      <c r="D209" s="121">
        <v>1000000</v>
      </c>
      <c r="E209" s="121">
        <v>0</v>
      </c>
      <c r="F209" s="121">
        <f>50000+0</f>
        <v>50000</v>
      </c>
      <c r="G209" s="121">
        <f t="shared" si="18"/>
        <v>950000</v>
      </c>
      <c r="H209" s="121"/>
      <c r="I209" s="189"/>
    </row>
    <row r="210" spans="1:9" x14ac:dyDescent="0.25">
      <c r="A210" s="74">
        <f t="shared" si="19"/>
        <v>19</v>
      </c>
      <c r="B210" s="74" t="s">
        <v>325</v>
      </c>
      <c r="C210" s="74" t="s">
        <v>347</v>
      </c>
      <c r="D210" s="121">
        <v>100000</v>
      </c>
      <c r="E210" s="121"/>
      <c r="F210" s="121"/>
      <c r="G210" s="121">
        <f t="shared" si="18"/>
        <v>100000</v>
      </c>
      <c r="H210" s="121"/>
      <c r="I210" s="189"/>
    </row>
    <row r="211" spans="1:9" x14ac:dyDescent="0.25">
      <c r="A211" s="74">
        <f t="shared" si="19"/>
        <v>20</v>
      </c>
      <c r="B211" s="74" t="s">
        <v>252</v>
      </c>
      <c r="C211" s="74" t="s">
        <v>253</v>
      </c>
      <c r="D211" s="121">
        <v>6000</v>
      </c>
      <c r="E211" s="121"/>
      <c r="F211" s="121"/>
      <c r="G211" s="121">
        <f t="shared" si="18"/>
        <v>6000</v>
      </c>
      <c r="H211" s="121"/>
      <c r="I211" s="189"/>
    </row>
    <row r="212" spans="1:9" x14ac:dyDescent="0.25">
      <c r="A212" s="74">
        <f t="shared" si="19"/>
        <v>21</v>
      </c>
      <c r="B212" s="74" t="s">
        <v>379</v>
      </c>
      <c r="C212" s="74" t="s">
        <v>382</v>
      </c>
      <c r="D212" s="121">
        <v>50000</v>
      </c>
      <c r="E212" s="121"/>
      <c r="F212" s="121"/>
      <c r="G212" s="121">
        <f t="shared" si="18"/>
        <v>50000</v>
      </c>
      <c r="H212" s="121"/>
      <c r="I212" s="189"/>
    </row>
    <row r="213" spans="1:9" x14ac:dyDescent="0.25">
      <c r="A213" s="74">
        <f t="shared" si="19"/>
        <v>22</v>
      </c>
      <c r="B213" s="74"/>
      <c r="C213" s="74"/>
      <c r="D213" s="121"/>
      <c r="E213" s="121"/>
      <c r="F213" s="121"/>
      <c r="G213" s="121">
        <f t="shared" si="18"/>
        <v>0</v>
      </c>
      <c r="H213" s="121"/>
      <c r="I213" s="189"/>
    </row>
    <row r="214" spans="1:9" x14ac:dyDescent="0.25">
      <c r="A214" s="74">
        <f t="shared" si="19"/>
        <v>23</v>
      </c>
      <c r="B214" s="74"/>
      <c r="C214" s="74"/>
      <c r="D214" s="121"/>
      <c r="E214" s="121"/>
      <c r="F214" s="121"/>
      <c r="G214" s="121">
        <f t="shared" si="18"/>
        <v>0</v>
      </c>
      <c r="H214" s="121"/>
      <c r="I214" s="189"/>
    </row>
    <row r="215" spans="1:9" x14ac:dyDescent="0.25">
      <c r="A215" s="74">
        <f t="shared" si="19"/>
        <v>24</v>
      </c>
      <c r="B215" s="74"/>
      <c r="C215" s="74"/>
      <c r="D215" s="121"/>
      <c r="E215" s="121"/>
      <c r="F215" s="121"/>
      <c r="G215" s="121">
        <f t="shared" si="18"/>
        <v>0</v>
      </c>
      <c r="H215" s="121"/>
      <c r="I215" s="189"/>
    </row>
    <row r="216" spans="1:9" x14ac:dyDescent="0.25">
      <c r="A216" s="74">
        <f t="shared" si="19"/>
        <v>25</v>
      </c>
      <c r="B216" s="74"/>
      <c r="C216" s="74"/>
      <c r="D216" s="121"/>
      <c r="E216" s="121"/>
      <c r="F216" s="121"/>
      <c r="G216" s="121">
        <f t="shared" si="18"/>
        <v>0</v>
      </c>
      <c r="H216" s="121"/>
      <c r="I216" s="189"/>
    </row>
    <row r="217" spans="1:9" x14ac:dyDescent="0.25">
      <c r="A217" s="74">
        <f t="shared" si="19"/>
        <v>26</v>
      </c>
      <c r="B217" s="74"/>
      <c r="C217" s="74"/>
      <c r="D217" s="121"/>
      <c r="E217" s="121"/>
      <c r="F217" s="121"/>
      <c r="G217" s="121">
        <f t="shared" si="18"/>
        <v>0</v>
      </c>
      <c r="H217" s="121"/>
      <c r="I217" s="189"/>
    </row>
    <row r="218" spans="1:9" x14ac:dyDescent="0.25">
      <c r="A218" s="74">
        <f t="shared" si="19"/>
        <v>27</v>
      </c>
      <c r="B218" s="74"/>
      <c r="C218" s="74"/>
      <c r="D218" s="121"/>
      <c r="E218" s="121"/>
      <c r="F218" s="121"/>
      <c r="G218" s="121">
        <f t="shared" si="18"/>
        <v>0</v>
      </c>
      <c r="H218" s="121"/>
      <c r="I218" s="189"/>
    </row>
    <row r="219" spans="1:9" x14ac:dyDescent="0.25">
      <c r="A219" s="74">
        <f t="shared" si="19"/>
        <v>28</v>
      </c>
      <c r="B219" s="74"/>
      <c r="C219" s="74"/>
      <c r="D219" s="121"/>
      <c r="E219" s="121"/>
      <c r="F219" s="121"/>
      <c r="G219" s="121">
        <f t="shared" si="18"/>
        <v>0</v>
      </c>
      <c r="H219" s="121"/>
      <c r="I219" s="189"/>
    </row>
    <row r="220" spans="1:9" x14ac:dyDescent="0.25">
      <c r="A220" s="74">
        <f t="shared" si="19"/>
        <v>29</v>
      </c>
      <c r="B220" s="74"/>
      <c r="C220" s="74"/>
      <c r="D220" s="121"/>
      <c r="E220" s="121"/>
      <c r="F220" s="121"/>
      <c r="G220" s="121">
        <f t="shared" si="18"/>
        <v>0</v>
      </c>
      <c r="H220" s="121"/>
      <c r="I220" s="189"/>
    </row>
    <row r="221" spans="1:9" x14ac:dyDescent="0.25">
      <c r="A221" s="74">
        <f t="shared" si="19"/>
        <v>30</v>
      </c>
      <c r="B221" s="74"/>
      <c r="C221" s="74"/>
      <c r="D221" s="121"/>
      <c r="E221" s="121"/>
      <c r="F221" s="121"/>
      <c r="G221" s="121">
        <f t="shared" si="18"/>
        <v>0</v>
      </c>
      <c r="H221" s="121"/>
      <c r="I221" s="189"/>
    </row>
    <row r="222" spans="1:9" x14ac:dyDescent="0.25">
      <c r="A222" s="74">
        <f>1+A221</f>
        <v>31</v>
      </c>
      <c r="B222" s="74"/>
      <c r="C222" s="74"/>
      <c r="D222" s="121"/>
      <c r="E222" s="121"/>
      <c r="F222" s="121"/>
      <c r="G222" s="121">
        <f t="shared" si="18"/>
        <v>0</v>
      </c>
      <c r="H222" s="121"/>
      <c r="I222" s="189"/>
    </row>
    <row r="223" spans="1:9" x14ac:dyDescent="0.25">
      <c r="A223" s="74">
        <f t="shared" si="19"/>
        <v>32</v>
      </c>
      <c r="B223" s="74"/>
      <c r="C223" s="74"/>
      <c r="D223" s="121">
        <f>SUM(D194:D222)</f>
        <v>4062500</v>
      </c>
      <c r="E223" s="121">
        <f t="shared" ref="E223:G223" si="20">SUM(E194:E222)</f>
        <v>387500</v>
      </c>
      <c r="F223" s="121">
        <f t="shared" si="20"/>
        <v>566500</v>
      </c>
      <c r="G223" s="121">
        <f t="shared" si="20"/>
        <v>3108500</v>
      </c>
      <c r="H223" s="121" t="e">
        <f>+H194+#REF!-F223-G223</f>
        <v>#REF!</v>
      </c>
      <c r="I223" s="189"/>
    </row>
    <row r="224" spans="1:9" ht="18.75" x14ac:dyDescent="0.3">
      <c r="A224" s="16"/>
      <c r="B224" s="292" t="s">
        <v>151</v>
      </c>
      <c r="C224" s="292"/>
      <c r="D224" s="292"/>
      <c r="E224" s="292"/>
      <c r="F224" s="292"/>
      <c r="G224" s="292"/>
      <c r="H224" s="292"/>
      <c r="I224" s="292"/>
    </row>
    <row r="225" spans="1:9" ht="30" x14ac:dyDescent="0.25">
      <c r="A225" s="81"/>
      <c r="B225" s="181" t="s">
        <v>56</v>
      </c>
      <c r="C225" s="181" t="s">
        <v>131</v>
      </c>
      <c r="D225" s="181" t="s">
        <v>132</v>
      </c>
      <c r="E225" s="181" t="s">
        <v>133</v>
      </c>
      <c r="F225" s="181" t="s">
        <v>134</v>
      </c>
      <c r="G225" s="181" t="s">
        <v>135</v>
      </c>
      <c r="H225" s="181" t="s">
        <v>144</v>
      </c>
      <c r="I225" s="181" t="s">
        <v>137</v>
      </c>
    </row>
    <row r="226" spans="1:9" ht="18" x14ac:dyDescent="0.4">
      <c r="A226" s="81"/>
      <c r="B226" s="180"/>
      <c r="C226" s="180"/>
      <c r="D226" s="182"/>
      <c r="E226" s="182"/>
      <c r="F226" s="182"/>
      <c r="G226" s="182"/>
      <c r="H226" s="183">
        <v>5735974</v>
      </c>
      <c r="I226" s="184"/>
    </row>
    <row r="227" spans="1:9" ht="18" x14ac:dyDescent="0.4">
      <c r="A227" s="81"/>
      <c r="B227" s="180"/>
      <c r="C227" s="180" t="s">
        <v>138</v>
      </c>
      <c r="D227" s="182"/>
      <c r="E227" s="182"/>
      <c r="F227" s="182"/>
      <c r="G227" s="182"/>
      <c r="H227" s="183"/>
      <c r="I227" s="184"/>
    </row>
    <row r="228" spans="1:9" x14ac:dyDescent="0.25">
      <c r="A228" s="81">
        <v>4</v>
      </c>
      <c r="B228" s="180" t="s">
        <v>98</v>
      </c>
      <c r="C228" s="180" t="s">
        <v>242</v>
      </c>
      <c r="D228" s="182">
        <v>300000</v>
      </c>
      <c r="E228" s="182">
        <v>0</v>
      </c>
      <c r="F228" s="182">
        <f>2500+70000</f>
        <v>72500</v>
      </c>
      <c r="G228" s="182">
        <f>+D228-E228-F228</f>
        <v>227500</v>
      </c>
      <c r="H228" s="182"/>
      <c r="I228" s="185"/>
    </row>
    <row r="229" spans="1:9" x14ac:dyDescent="0.25">
      <c r="A229" s="81">
        <f>1+A228</f>
        <v>5</v>
      </c>
      <c r="B229" s="180" t="s">
        <v>46</v>
      </c>
      <c r="C229" s="180" t="s">
        <v>242</v>
      </c>
      <c r="D229" s="182">
        <v>300000</v>
      </c>
      <c r="E229" s="182"/>
      <c r="F229" s="182">
        <f>3000+70000</f>
        <v>73000</v>
      </c>
      <c r="G229" s="182">
        <f t="shared" ref="G229:G254" si="21">+D229-E229-F229</f>
        <v>227000</v>
      </c>
      <c r="H229" s="182"/>
      <c r="I229" s="185"/>
    </row>
    <row r="230" spans="1:9" x14ac:dyDescent="0.25">
      <c r="A230" s="81">
        <f t="shared" ref="A230:A255" si="22">1+A229</f>
        <v>6</v>
      </c>
      <c r="B230" s="180" t="s">
        <v>228</v>
      </c>
      <c r="C230" s="180" t="s">
        <v>289</v>
      </c>
      <c r="D230" s="182">
        <v>900000</v>
      </c>
      <c r="E230" s="182">
        <v>0</v>
      </c>
      <c r="F230" s="182">
        <f>7500+0</f>
        <v>7500</v>
      </c>
      <c r="G230" s="182">
        <f t="shared" si="21"/>
        <v>892500</v>
      </c>
      <c r="H230" s="182"/>
      <c r="I230" s="185"/>
    </row>
    <row r="231" spans="1:9" x14ac:dyDescent="0.25">
      <c r="A231" s="81">
        <f t="shared" si="22"/>
        <v>7</v>
      </c>
      <c r="B231" s="180" t="s">
        <v>46</v>
      </c>
      <c r="C231" s="180" t="s">
        <v>289</v>
      </c>
      <c r="D231" s="182">
        <v>900000</v>
      </c>
      <c r="E231" s="182">
        <v>0</v>
      </c>
      <c r="F231" s="182">
        <f>7500+0</f>
        <v>7500</v>
      </c>
      <c r="G231" s="182">
        <f t="shared" si="21"/>
        <v>892500</v>
      </c>
      <c r="H231" s="182"/>
      <c r="I231" s="185"/>
    </row>
    <row r="232" spans="1:9" x14ac:dyDescent="0.25">
      <c r="A232" s="81">
        <f t="shared" si="22"/>
        <v>8</v>
      </c>
      <c r="B232" s="180" t="s">
        <v>252</v>
      </c>
      <c r="C232" s="180" t="s">
        <v>323</v>
      </c>
      <c r="D232" s="182">
        <v>1200000</v>
      </c>
      <c r="E232" s="182">
        <v>0</v>
      </c>
      <c r="F232" s="182">
        <f>10000+0</f>
        <v>10000</v>
      </c>
      <c r="G232" s="182">
        <f t="shared" si="21"/>
        <v>1190000</v>
      </c>
      <c r="H232" s="182"/>
      <c r="I232" s="185"/>
    </row>
    <row r="233" spans="1:9" x14ac:dyDescent="0.25">
      <c r="A233" s="81">
        <f t="shared" si="22"/>
        <v>9</v>
      </c>
      <c r="B233" s="180" t="s">
        <v>325</v>
      </c>
      <c r="C233" s="180" t="s">
        <v>323</v>
      </c>
      <c r="D233" s="182">
        <v>1200000</v>
      </c>
      <c r="E233" s="182">
        <v>0</v>
      </c>
      <c r="F233" s="182">
        <f>10000+0</f>
        <v>10000</v>
      </c>
      <c r="G233" s="182">
        <f t="shared" si="21"/>
        <v>1190000</v>
      </c>
      <c r="H233" s="182"/>
      <c r="I233" s="185"/>
    </row>
    <row r="234" spans="1:9" x14ac:dyDescent="0.25">
      <c r="A234" s="81">
        <f t="shared" si="22"/>
        <v>10</v>
      </c>
      <c r="B234" s="180" t="s">
        <v>252</v>
      </c>
      <c r="C234" s="180" t="s">
        <v>282</v>
      </c>
      <c r="D234" s="182">
        <v>600000</v>
      </c>
      <c r="E234" s="182">
        <v>0</v>
      </c>
      <c r="F234" s="182">
        <f>24000+576000</f>
        <v>600000</v>
      </c>
      <c r="G234" s="182">
        <f t="shared" si="21"/>
        <v>0</v>
      </c>
      <c r="H234" s="182"/>
      <c r="I234" s="185"/>
    </row>
    <row r="235" spans="1:9" x14ac:dyDescent="0.25">
      <c r="A235" s="81">
        <f t="shared" si="22"/>
        <v>11</v>
      </c>
      <c r="B235" s="180" t="s">
        <v>243</v>
      </c>
      <c r="C235" s="180" t="s">
        <v>331</v>
      </c>
      <c r="D235" s="182">
        <v>1000000</v>
      </c>
      <c r="E235" s="182">
        <v>0</v>
      </c>
      <c r="F235" s="182">
        <f>40000+960000</f>
        <v>1000000</v>
      </c>
      <c r="G235" s="182">
        <f t="shared" si="21"/>
        <v>0</v>
      </c>
      <c r="H235" s="182"/>
      <c r="I235" s="185"/>
    </row>
    <row r="236" spans="1:9" x14ac:dyDescent="0.25">
      <c r="A236" s="81">
        <f t="shared" si="22"/>
        <v>12</v>
      </c>
      <c r="B236" s="180" t="s">
        <v>245</v>
      </c>
      <c r="C236" s="180" t="s">
        <v>277</v>
      </c>
      <c r="D236" s="182">
        <v>61500</v>
      </c>
      <c r="E236" s="182">
        <v>0</v>
      </c>
      <c r="F236" s="182">
        <v>0</v>
      </c>
      <c r="G236" s="182">
        <f t="shared" si="21"/>
        <v>61500</v>
      </c>
      <c r="H236" s="182"/>
      <c r="I236" s="185"/>
    </row>
    <row r="237" spans="1:9" x14ac:dyDescent="0.25">
      <c r="A237" s="81">
        <f t="shared" si="22"/>
        <v>13</v>
      </c>
      <c r="B237" s="180" t="s">
        <v>243</v>
      </c>
      <c r="C237" s="180" t="s">
        <v>277</v>
      </c>
      <c r="D237" s="182">
        <v>60000</v>
      </c>
      <c r="E237" s="182">
        <v>48000</v>
      </c>
      <c r="F237" s="182"/>
      <c r="G237" s="182">
        <f t="shared" si="21"/>
        <v>12000</v>
      </c>
      <c r="H237" s="182"/>
      <c r="I237" s="185"/>
    </row>
    <row r="238" spans="1:9" x14ac:dyDescent="0.25">
      <c r="A238" s="81">
        <f t="shared" si="22"/>
        <v>14</v>
      </c>
      <c r="B238" s="180" t="s">
        <v>207</v>
      </c>
      <c r="C238" s="180" t="s">
        <v>277</v>
      </c>
      <c r="D238" s="182">
        <v>60000</v>
      </c>
      <c r="E238" s="182"/>
      <c r="F238" s="182"/>
      <c r="G238" s="182">
        <f t="shared" si="21"/>
        <v>60000</v>
      </c>
      <c r="H238" s="182"/>
      <c r="I238" s="185"/>
    </row>
    <row r="239" spans="1:9" x14ac:dyDescent="0.25">
      <c r="A239" s="81">
        <f t="shared" si="22"/>
        <v>15</v>
      </c>
      <c r="B239" s="180" t="s">
        <v>245</v>
      </c>
      <c r="C239" s="180" t="s">
        <v>389</v>
      </c>
      <c r="D239" s="182">
        <v>167000</v>
      </c>
      <c r="E239" s="182"/>
      <c r="F239" s="182"/>
      <c r="G239" s="182">
        <f t="shared" si="21"/>
        <v>167000</v>
      </c>
      <c r="H239" s="182"/>
      <c r="I239" s="185"/>
    </row>
    <row r="240" spans="1:9" x14ac:dyDescent="0.25">
      <c r="A240" s="81">
        <f t="shared" si="22"/>
        <v>16</v>
      </c>
      <c r="B240" s="180" t="s">
        <v>207</v>
      </c>
      <c r="C240" s="180" t="s">
        <v>311</v>
      </c>
      <c r="D240" s="182">
        <v>150000</v>
      </c>
      <c r="E240" s="182"/>
      <c r="F240" s="182"/>
      <c r="G240" s="182">
        <f t="shared" si="21"/>
        <v>150000</v>
      </c>
      <c r="H240" s="182"/>
      <c r="I240" s="185"/>
    </row>
    <row r="241" spans="1:9" x14ac:dyDescent="0.25">
      <c r="A241" s="81">
        <f t="shared" si="22"/>
        <v>17</v>
      </c>
      <c r="B241" s="180" t="s">
        <v>288</v>
      </c>
      <c r="C241" s="180" t="s">
        <v>389</v>
      </c>
      <c r="D241" s="182">
        <v>75000</v>
      </c>
      <c r="E241" s="182"/>
      <c r="F241" s="182"/>
      <c r="G241" s="182">
        <f t="shared" si="21"/>
        <v>75000</v>
      </c>
      <c r="H241" s="182"/>
      <c r="I241" s="185"/>
    </row>
    <row r="242" spans="1:9" x14ac:dyDescent="0.25">
      <c r="A242" s="81">
        <f t="shared" si="22"/>
        <v>18</v>
      </c>
      <c r="B242" s="180" t="s">
        <v>216</v>
      </c>
      <c r="C242" s="180" t="s">
        <v>390</v>
      </c>
      <c r="D242" s="182">
        <v>300000</v>
      </c>
      <c r="E242" s="182">
        <v>200000</v>
      </c>
      <c r="F242" s="182"/>
      <c r="G242" s="182">
        <f t="shared" si="21"/>
        <v>100000</v>
      </c>
      <c r="H242" s="182"/>
      <c r="I242" s="185"/>
    </row>
    <row r="243" spans="1:9" x14ac:dyDescent="0.25">
      <c r="A243" s="81">
        <f t="shared" si="22"/>
        <v>19</v>
      </c>
      <c r="B243" s="180" t="s">
        <v>207</v>
      </c>
      <c r="C243" s="180" t="s">
        <v>296</v>
      </c>
      <c r="D243" s="182">
        <v>100000</v>
      </c>
      <c r="E243" s="182"/>
      <c r="F243" s="182"/>
      <c r="G243" s="182">
        <f t="shared" si="21"/>
        <v>100000</v>
      </c>
      <c r="H243" s="182"/>
      <c r="I243" s="185"/>
    </row>
    <row r="244" spans="1:9" x14ac:dyDescent="0.25">
      <c r="A244" s="81">
        <f t="shared" si="22"/>
        <v>20</v>
      </c>
      <c r="B244" s="180" t="s">
        <v>105</v>
      </c>
      <c r="C244" s="180" t="s">
        <v>347</v>
      </c>
      <c r="D244" s="182">
        <v>100000</v>
      </c>
      <c r="E244" s="182"/>
      <c r="F244" s="182"/>
      <c r="G244" s="182">
        <f t="shared" si="21"/>
        <v>100000</v>
      </c>
      <c r="H244" s="182"/>
      <c r="I244" s="185"/>
    </row>
    <row r="245" spans="1:9" x14ac:dyDescent="0.25">
      <c r="A245" s="81">
        <f t="shared" si="22"/>
        <v>21</v>
      </c>
      <c r="B245" s="180" t="s">
        <v>252</v>
      </c>
      <c r="C245" s="180" t="s">
        <v>253</v>
      </c>
      <c r="D245" s="182">
        <v>6000</v>
      </c>
      <c r="E245" s="182"/>
      <c r="F245" s="182"/>
      <c r="G245" s="182">
        <f t="shared" si="21"/>
        <v>6000</v>
      </c>
      <c r="H245" s="182"/>
      <c r="I245" s="185"/>
    </row>
    <row r="246" spans="1:9" x14ac:dyDescent="0.25">
      <c r="A246" s="81">
        <f t="shared" si="22"/>
        <v>22</v>
      </c>
      <c r="B246" s="180" t="s">
        <v>36</v>
      </c>
      <c r="C246" s="180" t="s">
        <v>278</v>
      </c>
      <c r="D246" s="182">
        <v>560000</v>
      </c>
      <c r="E246" s="182"/>
      <c r="F246" s="182"/>
      <c r="G246" s="182">
        <f t="shared" si="21"/>
        <v>560000</v>
      </c>
      <c r="H246" s="182"/>
      <c r="I246" s="185"/>
    </row>
    <row r="247" spans="1:9" x14ac:dyDescent="0.25">
      <c r="A247" s="81">
        <f t="shared" si="22"/>
        <v>23</v>
      </c>
      <c r="B247" s="180" t="s">
        <v>207</v>
      </c>
      <c r="C247" s="180" t="s">
        <v>392</v>
      </c>
      <c r="D247" s="182">
        <v>33000</v>
      </c>
      <c r="E247" s="182"/>
      <c r="F247" s="182"/>
      <c r="G247" s="182">
        <f t="shared" si="21"/>
        <v>33000</v>
      </c>
      <c r="H247" s="182"/>
      <c r="I247" s="185"/>
    </row>
    <row r="248" spans="1:9" x14ac:dyDescent="0.25">
      <c r="A248" s="81">
        <f t="shared" si="22"/>
        <v>24</v>
      </c>
      <c r="B248" s="180" t="s">
        <v>252</v>
      </c>
      <c r="C248" s="180" t="s">
        <v>253</v>
      </c>
      <c r="D248" s="182">
        <v>6000</v>
      </c>
      <c r="E248" s="182"/>
      <c r="F248" s="182"/>
      <c r="G248" s="182">
        <f t="shared" si="21"/>
        <v>6000</v>
      </c>
      <c r="H248" s="182"/>
      <c r="I248" s="185"/>
    </row>
    <row r="249" spans="1:9" x14ac:dyDescent="0.25">
      <c r="A249" s="81">
        <f t="shared" si="22"/>
        <v>25</v>
      </c>
      <c r="B249" s="180" t="s">
        <v>207</v>
      </c>
      <c r="C249" s="180" t="s">
        <v>391</v>
      </c>
      <c r="D249" s="182">
        <v>15000</v>
      </c>
      <c r="E249" s="182"/>
      <c r="F249" s="182"/>
      <c r="G249" s="182">
        <f t="shared" si="21"/>
        <v>15000</v>
      </c>
      <c r="H249" s="182"/>
      <c r="I249" s="185"/>
    </row>
    <row r="250" spans="1:9" x14ac:dyDescent="0.25">
      <c r="A250" s="81">
        <f t="shared" si="22"/>
        <v>26</v>
      </c>
      <c r="B250" s="180"/>
      <c r="C250" s="180"/>
      <c r="D250" s="182"/>
      <c r="E250" s="182"/>
      <c r="F250" s="182"/>
      <c r="G250" s="182">
        <f t="shared" si="21"/>
        <v>0</v>
      </c>
      <c r="H250" s="182"/>
      <c r="I250" s="185"/>
    </row>
    <row r="251" spans="1:9" x14ac:dyDescent="0.25">
      <c r="A251" s="81">
        <f t="shared" si="22"/>
        <v>27</v>
      </c>
      <c r="B251" s="180"/>
      <c r="C251" s="180"/>
      <c r="D251" s="182"/>
      <c r="E251" s="182"/>
      <c r="F251" s="182"/>
      <c r="G251" s="182">
        <f t="shared" si="21"/>
        <v>0</v>
      </c>
      <c r="H251" s="182"/>
      <c r="I251" s="185"/>
    </row>
    <row r="252" spans="1:9" x14ac:dyDescent="0.25">
      <c r="A252" s="81">
        <f t="shared" si="22"/>
        <v>28</v>
      </c>
      <c r="B252" s="180"/>
      <c r="C252" s="180"/>
      <c r="D252" s="182"/>
      <c r="E252" s="182"/>
      <c r="F252" s="182"/>
      <c r="G252" s="182">
        <f t="shared" si="21"/>
        <v>0</v>
      </c>
      <c r="H252" s="182"/>
      <c r="I252" s="185"/>
    </row>
    <row r="253" spans="1:9" x14ac:dyDescent="0.25">
      <c r="A253" s="81">
        <f t="shared" si="22"/>
        <v>29</v>
      </c>
      <c r="B253" s="180"/>
      <c r="C253" s="180"/>
      <c r="D253" s="182"/>
      <c r="E253" s="182"/>
      <c r="F253" s="182"/>
      <c r="G253" s="182">
        <f t="shared" si="21"/>
        <v>0</v>
      </c>
      <c r="H253" s="182"/>
      <c r="I253" s="294" t="s">
        <v>393</v>
      </c>
    </row>
    <row r="254" spans="1:9" x14ac:dyDescent="0.25">
      <c r="A254" s="81">
        <f>1+A253</f>
        <v>30</v>
      </c>
      <c r="B254" s="180"/>
      <c r="C254" s="180"/>
      <c r="D254" s="182"/>
      <c r="E254" s="182"/>
      <c r="F254" s="182"/>
      <c r="G254" s="182">
        <f t="shared" si="21"/>
        <v>0</v>
      </c>
      <c r="H254" s="182"/>
      <c r="I254" s="295"/>
    </row>
    <row r="255" spans="1:9" x14ac:dyDescent="0.25">
      <c r="A255" s="81">
        <f t="shared" si="22"/>
        <v>31</v>
      </c>
      <c r="B255" s="180"/>
      <c r="C255" s="180"/>
      <c r="D255" s="182">
        <f>SUM(D226:D254)</f>
        <v>8093500</v>
      </c>
      <c r="E255" s="182">
        <f t="shared" ref="E255:G255" si="23">SUM(E226:E254)</f>
        <v>248000</v>
      </c>
      <c r="F255" s="182">
        <f t="shared" si="23"/>
        <v>1780500</v>
      </c>
      <c r="G255" s="182">
        <f t="shared" si="23"/>
        <v>6065000</v>
      </c>
      <c r="H255" s="182" t="e">
        <f>+H226+#REF!-F255-G255</f>
        <v>#REF!</v>
      </c>
      <c r="I255" s="296"/>
    </row>
    <row r="256" spans="1:9" ht="18.75" x14ac:dyDescent="0.3">
      <c r="A256" s="16"/>
      <c r="B256" s="292" t="s">
        <v>152</v>
      </c>
      <c r="C256" s="292"/>
      <c r="D256" s="292"/>
      <c r="E256" s="292"/>
      <c r="F256" s="292"/>
      <c r="G256" s="292"/>
      <c r="H256" s="292"/>
      <c r="I256" s="292"/>
    </row>
    <row r="257" spans="1:9" ht="30" x14ac:dyDescent="0.25">
      <c r="A257" s="193"/>
      <c r="B257" s="194" t="s">
        <v>56</v>
      </c>
      <c r="C257" s="194" t="s">
        <v>131</v>
      </c>
      <c r="D257" s="194" t="s">
        <v>132</v>
      </c>
      <c r="E257" s="194" t="s">
        <v>133</v>
      </c>
      <c r="F257" s="194" t="s">
        <v>134</v>
      </c>
      <c r="G257" s="194" t="s">
        <v>135</v>
      </c>
      <c r="H257" s="194" t="s">
        <v>145</v>
      </c>
      <c r="I257" s="194" t="s">
        <v>137</v>
      </c>
    </row>
    <row r="258" spans="1:9" ht="18" x14ac:dyDescent="0.4">
      <c r="A258" s="193"/>
      <c r="B258" s="193"/>
      <c r="C258" s="193"/>
      <c r="D258" s="195"/>
      <c r="E258" s="195"/>
      <c r="F258" s="195"/>
      <c r="G258" s="195"/>
      <c r="H258" s="196">
        <v>5735975</v>
      </c>
      <c r="I258" s="197"/>
    </row>
    <row r="259" spans="1:9" ht="18" x14ac:dyDescent="0.4">
      <c r="A259" s="193"/>
      <c r="B259" s="193"/>
      <c r="C259" s="193" t="s">
        <v>138</v>
      </c>
      <c r="D259" s="195"/>
      <c r="E259" s="195"/>
      <c r="F259" s="195"/>
      <c r="G259" s="195"/>
      <c r="H259" s="196"/>
      <c r="I259" s="197"/>
    </row>
    <row r="260" spans="1:9" x14ac:dyDescent="0.25">
      <c r="A260" s="193">
        <v>5</v>
      </c>
      <c r="B260" s="193" t="s">
        <v>243</v>
      </c>
      <c r="C260" s="193" t="s">
        <v>310</v>
      </c>
      <c r="D260" s="195">
        <v>17000</v>
      </c>
      <c r="E260" s="195">
        <v>17000</v>
      </c>
      <c r="F260" s="195"/>
      <c r="G260" s="195">
        <f>+D260-E260-F260</f>
        <v>0</v>
      </c>
      <c r="H260" s="195"/>
      <c r="I260" s="198"/>
    </row>
    <row r="261" spans="1:9" x14ac:dyDescent="0.25">
      <c r="A261" s="193">
        <f>1+A260</f>
        <v>6</v>
      </c>
      <c r="B261" s="193" t="s">
        <v>394</v>
      </c>
      <c r="C261" s="193" t="s">
        <v>242</v>
      </c>
      <c r="D261" s="195">
        <v>300000</v>
      </c>
      <c r="E261" s="195">
        <v>50000</v>
      </c>
      <c r="F261" s="195">
        <f>70000+177500+2500</f>
        <v>250000</v>
      </c>
      <c r="G261" s="195">
        <f t="shared" ref="G261:G286" si="24">+D261-E261-F261</f>
        <v>0</v>
      </c>
      <c r="H261" s="195"/>
      <c r="I261" s="198" t="s">
        <v>401</v>
      </c>
    </row>
    <row r="262" spans="1:9" x14ac:dyDescent="0.25">
      <c r="A262" s="193">
        <f t="shared" ref="A262:A287" si="25">1+A261</f>
        <v>7</v>
      </c>
      <c r="B262" s="193" t="s">
        <v>402</v>
      </c>
      <c r="C262" s="193" t="s">
        <v>242</v>
      </c>
      <c r="D262" s="195">
        <v>300000</v>
      </c>
      <c r="E262" s="195"/>
      <c r="F262" s="195">
        <f>2500+70000+127500</f>
        <v>200000</v>
      </c>
      <c r="G262" s="195">
        <f t="shared" si="24"/>
        <v>100000</v>
      </c>
      <c r="H262" s="195"/>
      <c r="I262" s="198" t="s">
        <v>403</v>
      </c>
    </row>
    <row r="263" spans="1:9" x14ac:dyDescent="0.25">
      <c r="A263" s="193">
        <f t="shared" si="25"/>
        <v>8</v>
      </c>
      <c r="B263" s="193" t="s">
        <v>252</v>
      </c>
      <c r="C263" s="193" t="s">
        <v>242</v>
      </c>
      <c r="D263" s="195">
        <v>300000</v>
      </c>
      <c r="E263" s="195"/>
      <c r="F263" s="195">
        <f>2500+70000</f>
        <v>72500</v>
      </c>
      <c r="G263" s="195">
        <f t="shared" si="24"/>
        <v>227500</v>
      </c>
      <c r="H263" s="195"/>
      <c r="I263" s="198" t="s">
        <v>404</v>
      </c>
    </row>
    <row r="264" spans="1:9" x14ac:dyDescent="0.25">
      <c r="A264" s="193">
        <f t="shared" si="25"/>
        <v>9</v>
      </c>
      <c r="B264" s="193" t="s">
        <v>405</v>
      </c>
      <c r="C264" s="193" t="s">
        <v>289</v>
      </c>
      <c r="D264" s="195">
        <v>900000</v>
      </c>
      <c r="E264" s="195"/>
      <c r="F264" s="195">
        <f>7500+0</f>
        <v>7500</v>
      </c>
      <c r="G264" s="195">
        <f t="shared" si="24"/>
        <v>892500</v>
      </c>
      <c r="H264" s="195"/>
      <c r="I264" s="198"/>
    </row>
    <row r="265" spans="1:9" x14ac:dyDescent="0.25">
      <c r="A265" s="193">
        <f t="shared" si="25"/>
        <v>10</v>
      </c>
      <c r="B265" s="193" t="s">
        <v>368</v>
      </c>
      <c r="C265" s="193" t="s">
        <v>289</v>
      </c>
      <c r="D265" s="195">
        <v>900000</v>
      </c>
      <c r="E265" s="195"/>
      <c r="F265" s="195">
        <f>7500+892500</f>
        <v>900000</v>
      </c>
      <c r="G265" s="195">
        <f t="shared" si="24"/>
        <v>0</v>
      </c>
      <c r="H265" s="195"/>
      <c r="I265" s="198"/>
    </row>
    <row r="266" spans="1:9" x14ac:dyDescent="0.25">
      <c r="A266" s="193">
        <f t="shared" si="25"/>
        <v>11</v>
      </c>
      <c r="B266" s="193" t="s">
        <v>245</v>
      </c>
      <c r="C266" s="193" t="s">
        <v>406</v>
      </c>
      <c r="D266" s="195">
        <v>58000</v>
      </c>
      <c r="E266" s="195">
        <v>58000</v>
      </c>
      <c r="F266" s="195"/>
      <c r="G266" s="195">
        <f t="shared" si="24"/>
        <v>0</v>
      </c>
      <c r="H266" s="195"/>
      <c r="I266" s="198"/>
    </row>
    <row r="267" spans="1:9" x14ac:dyDescent="0.25">
      <c r="A267" s="193">
        <f t="shared" si="25"/>
        <v>12</v>
      </c>
      <c r="B267" s="193" t="s">
        <v>216</v>
      </c>
      <c r="C267" s="193" t="s">
        <v>407</v>
      </c>
      <c r="D267" s="195">
        <v>200000</v>
      </c>
      <c r="E267" s="195"/>
      <c r="F267" s="195"/>
      <c r="G267" s="195">
        <f t="shared" si="24"/>
        <v>200000</v>
      </c>
      <c r="H267" s="195"/>
      <c r="I267" s="198"/>
    </row>
    <row r="268" spans="1:9" x14ac:dyDescent="0.25">
      <c r="A268" s="193">
        <f t="shared" si="25"/>
        <v>13</v>
      </c>
      <c r="B268" s="193" t="s">
        <v>228</v>
      </c>
      <c r="C268" s="193" t="s">
        <v>407</v>
      </c>
      <c r="D268" s="195">
        <v>200000</v>
      </c>
      <c r="E268" s="195"/>
      <c r="F268" s="195"/>
      <c r="G268" s="195">
        <f t="shared" si="24"/>
        <v>200000</v>
      </c>
      <c r="H268" s="195"/>
      <c r="I268" s="198"/>
    </row>
    <row r="269" spans="1:9" x14ac:dyDescent="0.25">
      <c r="A269" s="193">
        <f t="shared" si="25"/>
        <v>14</v>
      </c>
      <c r="B269" s="193" t="s">
        <v>207</v>
      </c>
      <c r="C269" s="193" t="s">
        <v>407</v>
      </c>
      <c r="D269" s="195">
        <v>200000</v>
      </c>
      <c r="E269" s="195">
        <v>9000</v>
      </c>
      <c r="F269" s="195"/>
      <c r="G269" s="195">
        <f t="shared" si="24"/>
        <v>191000</v>
      </c>
      <c r="H269" s="195"/>
      <c r="I269" s="198"/>
    </row>
    <row r="270" spans="1:9" x14ac:dyDescent="0.25">
      <c r="A270" s="193">
        <f t="shared" si="25"/>
        <v>15</v>
      </c>
      <c r="B270" s="193" t="s">
        <v>275</v>
      </c>
      <c r="C270" s="193" t="s">
        <v>408</v>
      </c>
      <c r="D270" s="195">
        <v>200000</v>
      </c>
      <c r="E270" s="195"/>
      <c r="F270" s="195"/>
      <c r="G270" s="195">
        <f t="shared" si="24"/>
        <v>200000</v>
      </c>
      <c r="H270" s="195"/>
      <c r="I270" s="198"/>
    </row>
    <row r="271" spans="1:9" x14ac:dyDescent="0.25">
      <c r="A271" s="193">
        <f t="shared" si="25"/>
        <v>16</v>
      </c>
      <c r="B271" s="193" t="s">
        <v>38</v>
      </c>
      <c r="C271" s="193" t="s">
        <v>408</v>
      </c>
      <c r="D271" s="195">
        <v>200000</v>
      </c>
      <c r="E271" s="195"/>
      <c r="F271" s="195"/>
      <c r="G271" s="195">
        <f t="shared" si="24"/>
        <v>200000</v>
      </c>
      <c r="H271" s="195"/>
      <c r="I271" s="198"/>
    </row>
    <row r="272" spans="1:9" x14ac:dyDescent="0.25">
      <c r="A272" s="193">
        <f t="shared" si="25"/>
        <v>17</v>
      </c>
      <c r="B272" s="193" t="s">
        <v>325</v>
      </c>
      <c r="C272" s="193" t="s">
        <v>408</v>
      </c>
      <c r="D272" s="195">
        <v>200000</v>
      </c>
      <c r="E272" s="195"/>
      <c r="F272" s="195"/>
      <c r="G272" s="195">
        <f t="shared" si="24"/>
        <v>200000</v>
      </c>
      <c r="H272" s="195"/>
      <c r="I272" s="198"/>
    </row>
    <row r="273" spans="1:9" x14ac:dyDescent="0.25">
      <c r="A273" s="193">
        <f t="shared" si="25"/>
        <v>18</v>
      </c>
      <c r="B273" s="193" t="s">
        <v>252</v>
      </c>
      <c r="C273" s="193" t="s">
        <v>408</v>
      </c>
      <c r="D273" s="195">
        <v>100000</v>
      </c>
      <c r="E273" s="195">
        <v>100000</v>
      </c>
      <c r="F273" s="195"/>
      <c r="G273" s="195">
        <f t="shared" si="24"/>
        <v>0</v>
      </c>
      <c r="H273" s="195"/>
      <c r="I273" s="198"/>
    </row>
    <row r="274" spans="1:9" x14ac:dyDescent="0.25">
      <c r="A274" s="193">
        <f t="shared" si="25"/>
        <v>19</v>
      </c>
      <c r="B274" s="193" t="s">
        <v>320</v>
      </c>
      <c r="C274" s="193" t="s">
        <v>408</v>
      </c>
      <c r="D274" s="195">
        <v>30000</v>
      </c>
      <c r="E274" s="195">
        <v>30000</v>
      </c>
      <c r="F274" s="195"/>
      <c r="G274" s="195">
        <f t="shared" si="24"/>
        <v>0</v>
      </c>
      <c r="H274" s="195"/>
      <c r="I274" s="198"/>
    </row>
    <row r="275" spans="1:9" x14ac:dyDescent="0.25">
      <c r="A275" s="193">
        <f t="shared" si="25"/>
        <v>20</v>
      </c>
      <c r="B275" s="193" t="s">
        <v>301</v>
      </c>
      <c r="C275" s="193" t="s">
        <v>408</v>
      </c>
      <c r="D275" s="195">
        <v>100000</v>
      </c>
      <c r="E275" s="195"/>
      <c r="F275" s="195"/>
      <c r="G275" s="195">
        <f t="shared" si="24"/>
        <v>100000</v>
      </c>
      <c r="H275" s="195"/>
      <c r="I275" s="198"/>
    </row>
    <row r="276" spans="1:9" x14ac:dyDescent="0.25">
      <c r="A276" s="193">
        <f t="shared" si="25"/>
        <v>21</v>
      </c>
      <c r="B276" s="193" t="s">
        <v>252</v>
      </c>
      <c r="C276" s="193" t="s">
        <v>253</v>
      </c>
      <c r="D276" s="195">
        <v>6000</v>
      </c>
      <c r="E276" s="195"/>
      <c r="F276" s="195"/>
      <c r="G276" s="195">
        <f t="shared" si="24"/>
        <v>6000</v>
      </c>
      <c r="H276" s="195"/>
      <c r="I276" s="198"/>
    </row>
    <row r="277" spans="1:9" x14ac:dyDescent="0.25">
      <c r="A277" s="193">
        <f t="shared" si="25"/>
        <v>22</v>
      </c>
      <c r="B277" s="193" t="s">
        <v>207</v>
      </c>
      <c r="C277" s="193" t="s">
        <v>410</v>
      </c>
      <c r="D277" s="195">
        <v>140000</v>
      </c>
      <c r="E277" s="195"/>
      <c r="F277" s="195"/>
      <c r="G277" s="195">
        <f t="shared" si="24"/>
        <v>140000</v>
      </c>
      <c r="H277" s="195"/>
      <c r="I277" s="198"/>
    </row>
    <row r="278" spans="1:9" x14ac:dyDescent="0.25">
      <c r="A278" s="193">
        <f t="shared" si="25"/>
        <v>23</v>
      </c>
      <c r="B278" s="193" t="s">
        <v>207</v>
      </c>
      <c r="C278" s="193" t="s">
        <v>409</v>
      </c>
      <c r="D278" s="195">
        <v>100000</v>
      </c>
      <c r="E278" s="195"/>
      <c r="F278" s="195"/>
      <c r="G278" s="195">
        <f t="shared" si="24"/>
        <v>100000</v>
      </c>
      <c r="H278" s="195"/>
      <c r="I278" s="198"/>
    </row>
    <row r="279" spans="1:9" x14ac:dyDescent="0.25">
      <c r="A279" s="193">
        <f t="shared" si="25"/>
        <v>24</v>
      </c>
      <c r="B279" s="193"/>
      <c r="C279" s="193"/>
      <c r="D279" s="195"/>
      <c r="E279" s="195"/>
      <c r="F279" s="195"/>
      <c r="G279" s="195">
        <f t="shared" si="24"/>
        <v>0</v>
      </c>
      <c r="H279" s="195"/>
      <c r="I279" s="198"/>
    </row>
    <row r="280" spans="1:9" x14ac:dyDescent="0.25">
      <c r="A280" s="193">
        <f t="shared" si="25"/>
        <v>25</v>
      </c>
      <c r="B280" s="193"/>
      <c r="C280" s="193"/>
      <c r="D280" s="195"/>
      <c r="E280" s="195"/>
      <c r="F280" s="195"/>
      <c r="G280" s="195">
        <f t="shared" si="24"/>
        <v>0</v>
      </c>
      <c r="H280" s="195"/>
      <c r="I280" s="198"/>
    </row>
    <row r="281" spans="1:9" x14ac:dyDescent="0.25">
      <c r="A281" s="193">
        <f t="shared" si="25"/>
        <v>26</v>
      </c>
      <c r="B281" s="193"/>
      <c r="C281" s="193"/>
      <c r="D281" s="195"/>
      <c r="E281" s="195"/>
      <c r="F281" s="195"/>
      <c r="G281" s="195">
        <f t="shared" si="24"/>
        <v>0</v>
      </c>
      <c r="H281" s="195"/>
      <c r="I281" s="198"/>
    </row>
    <row r="282" spans="1:9" x14ac:dyDescent="0.25">
      <c r="A282" s="193">
        <f t="shared" si="25"/>
        <v>27</v>
      </c>
      <c r="B282" s="193"/>
      <c r="C282" s="193"/>
      <c r="D282" s="195"/>
      <c r="E282" s="195"/>
      <c r="F282" s="195"/>
      <c r="G282" s="195">
        <f t="shared" si="24"/>
        <v>0</v>
      </c>
      <c r="H282" s="195"/>
      <c r="I282" s="198"/>
    </row>
    <row r="283" spans="1:9" x14ac:dyDescent="0.25">
      <c r="A283" s="193">
        <f t="shared" si="25"/>
        <v>28</v>
      </c>
      <c r="B283" s="193"/>
      <c r="C283" s="193"/>
      <c r="D283" s="195"/>
      <c r="E283" s="195"/>
      <c r="F283" s="195"/>
      <c r="G283" s="195">
        <f t="shared" si="24"/>
        <v>0</v>
      </c>
      <c r="H283" s="195"/>
      <c r="I283" s="198"/>
    </row>
    <row r="284" spans="1:9" x14ac:dyDescent="0.25">
      <c r="A284" s="193">
        <f t="shared" si="25"/>
        <v>29</v>
      </c>
      <c r="B284" s="193"/>
      <c r="C284" s="193"/>
      <c r="D284" s="195"/>
      <c r="E284" s="195"/>
      <c r="F284" s="195"/>
      <c r="G284" s="195">
        <f t="shared" si="24"/>
        <v>0</v>
      </c>
      <c r="H284" s="195"/>
      <c r="I284" s="198"/>
    </row>
    <row r="285" spans="1:9" x14ac:dyDescent="0.25">
      <c r="A285" s="193">
        <f t="shared" si="25"/>
        <v>30</v>
      </c>
      <c r="B285" s="193"/>
      <c r="C285" s="193"/>
      <c r="D285" s="195"/>
      <c r="E285" s="195"/>
      <c r="F285" s="195"/>
      <c r="G285" s="195">
        <f t="shared" si="24"/>
        <v>0</v>
      </c>
      <c r="H285" s="195"/>
      <c r="I285" s="198"/>
    </row>
    <row r="286" spans="1:9" x14ac:dyDescent="0.25">
      <c r="A286" s="193">
        <f>1+A285</f>
        <v>31</v>
      </c>
      <c r="B286" s="193"/>
      <c r="C286" s="193"/>
      <c r="D286" s="195"/>
      <c r="E286" s="195"/>
      <c r="F286" s="195"/>
      <c r="G286" s="195">
        <f t="shared" si="24"/>
        <v>0</v>
      </c>
      <c r="H286" s="195"/>
      <c r="I286" s="198"/>
    </row>
    <row r="287" spans="1:9" x14ac:dyDescent="0.25">
      <c r="A287" s="193">
        <f t="shared" si="25"/>
        <v>32</v>
      </c>
      <c r="B287" s="193"/>
      <c r="C287" s="193"/>
      <c r="D287" s="195">
        <f>SUM(D258:D286)</f>
        <v>4451000</v>
      </c>
      <c r="E287" s="195">
        <f t="shared" ref="E287:G287" si="26">SUM(E258:E286)</f>
        <v>264000</v>
      </c>
      <c r="F287" s="195">
        <f t="shared" si="26"/>
        <v>1430000</v>
      </c>
      <c r="G287" s="195">
        <f t="shared" si="26"/>
        <v>2757000</v>
      </c>
      <c r="H287" s="195"/>
      <c r="I287" s="198"/>
    </row>
    <row r="288" spans="1:9" ht="18.75" x14ac:dyDescent="0.3">
      <c r="A288" s="16"/>
      <c r="B288" s="292" t="s">
        <v>153</v>
      </c>
      <c r="C288" s="292"/>
      <c r="D288" s="292"/>
      <c r="E288" s="292"/>
      <c r="F288" s="292"/>
      <c r="G288" s="292"/>
      <c r="H288" s="292"/>
      <c r="I288" s="292"/>
    </row>
    <row r="289" spans="1:9" ht="30" x14ac:dyDescent="0.25">
      <c r="A289" s="81"/>
      <c r="B289" s="116" t="s">
        <v>56</v>
      </c>
      <c r="C289" s="116" t="s">
        <v>131</v>
      </c>
      <c r="D289" s="116" t="s">
        <v>132</v>
      </c>
      <c r="E289" s="116" t="s">
        <v>133</v>
      </c>
      <c r="F289" s="116" t="s">
        <v>134</v>
      </c>
      <c r="G289" s="116" t="s">
        <v>135</v>
      </c>
      <c r="H289" s="116" t="s">
        <v>145</v>
      </c>
      <c r="I289" s="116" t="s">
        <v>137</v>
      </c>
    </row>
    <row r="290" spans="1:9" ht="18" x14ac:dyDescent="0.4">
      <c r="A290" s="81"/>
      <c r="B290" s="81"/>
      <c r="C290" s="81"/>
      <c r="D290" s="117"/>
      <c r="E290" s="117"/>
      <c r="F290" s="117"/>
      <c r="G290" s="117"/>
      <c r="H290" s="118">
        <v>5735975</v>
      </c>
      <c r="I290" s="119"/>
    </row>
    <row r="291" spans="1:9" ht="18" x14ac:dyDescent="0.4">
      <c r="A291" s="81"/>
      <c r="B291" s="81"/>
      <c r="C291" s="81" t="s">
        <v>138</v>
      </c>
      <c r="D291" s="117"/>
      <c r="E291" s="117"/>
      <c r="F291" s="117"/>
      <c r="G291" s="117"/>
      <c r="H291" s="118"/>
      <c r="I291" s="119"/>
    </row>
    <row r="292" spans="1:9" x14ac:dyDescent="0.25">
      <c r="A292" s="81">
        <v>5</v>
      </c>
      <c r="B292" s="81" t="s">
        <v>206</v>
      </c>
      <c r="C292" s="81" t="s">
        <v>331</v>
      </c>
      <c r="D292" s="117">
        <v>1000000</v>
      </c>
      <c r="E292" s="117"/>
      <c r="F292" s="117">
        <f>20000+0</f>
        <v>20000</v>
      </c>
      <c r="G292" s="117">
        <f>+D292-E292-F292</f>
        <v>980000</v>
      </c>
      <c r="H292" s="117"/>
      <c r="I292" s="120"/>
    </row>
    <row r="293" spans="1:9" x14ac:dyDescent="0.25">
      <c r="A293" s="81">
        <f>1+A292</f>
        <v>6</v>
      </c>
      <c r="B293" s="81" t="s">
        <v>275</v>
      </c>
      <c r="C293" s="81" t="s">
        <v>413</v>
      </c>
      <c r="D293" s="117">
        <v>500000</v>
      </c>
      <c r="E293" s="117"/>
      <c r="F293" s="117"/>
      <c r="G293" s="117">
        <f t="shared" ref="G293:G318" si="27">+D293-E293-F293</f>
        <v>500000</v>
      </c>
      <c r="H293" s="117"/>
      <c r="I293" s="120" t="s">
        <v>420</v>
      </c>
    </row>
    <row r="294" spans="1:9" x14ac:dyDescent="0.25">
      <c r="A294" s="81">
        <f t="shared" ref="A294:A319" si="28">1+A293</f>
        <v>7</v>
      </c>
      <c r="B294" s="81" t="s">
        <v>405</v>
      </c>
      <c r="C294" s="81" t="s">
        <v>242</v>
      </c>
      <c r="D294" s="117">
        <v>300000</v>
      </c>
      <c r="E294" s="117"/>
      <c r="F294" s="117">
        <f>2500+70000</f>
        <v>72500</v>
      </c>
      <c r="G294" s="117">
        <f t="shared" si="27"/>
        <v>227500</v>
      </c>
      <c r="H294" s="117"/>
      <c r="I294" s="120" t="s">
        <v>280</v>
      </c>
    </row>
    <row r="295" spans="1:9" ht="30" x14ac:dyDescent="0.25">
      <c r="A295" s="81">
        <f t="shared" si="28"/>
        <v>8</v>
      </c>
      <c r="B295" s="81" t="s">
        <v>224</v>
      </c>
      <c r="C295" s="81" t="s">
        <v>242</v>
      </c>
      <c r="D295" s="117">
        <v>300000</v>
      </c>
      <c r="E295" s="117"/>
      <c r="F295" s="117">
        <f>2500+70000+227500</f>
        <v>300000</v>
      </c>
      <c r="G295" s="117">
        <f t="shared" si="27"/>
        <v>0</v>
      </c>
      <c r="H295" s="117"/>
      <c r="I295" s="120" t="s">
        <v>414</v>
      </c>
    </row>
    <row r="296" spans="1:9" x14ac:dyDescent="0.25">
      <c r="A296" s="81">
        <f t="shared" si="28"/>
        <v>9</v>
      </c>
      <c r="B296" s="81" t="s">
        <v>243</v>
      </c>
      <c r="C296" s="81" t="s">
        <v>415</v>
      </c>
      <c r="D296" s="117">
        <v>6000</v>
      </c>
      <c r="E296" s="117"/>
      <c r="F296" s="117"/>
      <c r="G296" s="117">
        <f t="shared" si="27"/>
        <v>6000</v>
      </c>
      <c r="H296" s="117"/>
      <c r="I296" s="120"/>
    </row>
    <row r="297" spans="1:9" x14ac:dyDescent="0.25">
      <c r="A297" s="81">
        <f t="shared" si="28"/>
        <v>10</v>
      </c>
      <c r="B297" s="81" t="s">
        <v>252</v>
      </c>
      <c r="C297" s="81" t="s">
        <v>416</v>
      </c>
      <c r="D297" s="117">
        <v>7500</v>
      </c>
      <c r="E297" s="117"/>
      <c r="F297" s="117"/>
      <c r="G297" s="117">
        <f t="shared" si="27"/>
        <v>7500</v>
      </c>
      <c r="H297" s="117"/>
      <c r="I297" s="120"/>
    </row>
    <row r="298" spans="1:9" x14ac:dyDescent="0.25">
      <c r="A298" s="81">
        <f t="shared" si="28"/>
        <v>11</v>
      </c>
      <c r="B298" s="81" t="s">
        <v>92</v>
      </c>
      <c r="C298" s="81" t="s">
        <v>417</v>
      </c>
      <c r="D298" s="117">
        <v>500000</v>
      </c>
      <c r="E298" s="117"/>
      <c r="F298" s="117"/>
      <c r="G298" s="117">
        <f t="shared" si="27"/>
        <v>500000</v>
      </c>
      <c r="H298" s="117"/>
      <c r="I298" s="120" t="s">
        <v>419</v>
      </c>
    </row>
    <row r="299" spans="1:9" x14ac:dyDescent="0.25">
      <c r="A299" s="81">
        <f t="shared" si="28"/>
        <v>12</v>
      </c>
      <c r="B299" s="81" t="s">
        <v>275</v>
      </c>
      <c r="C299" s="81" t="s">
        <v>418</v>
      </c>
      <c r="D299" s="117">
        <v>100000</v>
      </c>
      <c r="E299" s="117"/>
      <c r="F299" s="117"/>
      <c r="G299" s="117">
        <f t="shared" si="27"/>
        <v>100000</v>
      </c>
      <c r="H299" s="117"/>
      <c r="I299" s="120"/>
    </row>
    <row r="300" spans="1:9" x14ac:dyDescent="0.25">
      <c r="A300" s="81">
        <f t="shared" si="28"/>
        <v>13</v>
      </c>
      <c r="B300" s="81" t="s">
        <v>320</v>
      </c>
      <c r="C300" s="81" t="s">
        <v>244</v>
      </c>
      <c r="D300" s="117">
        <v>30000</v>
      </c>
      <c r="E300" s="117"/>
      <c r="F300" s="117"/>
      <c r="G300" s="117">
        <f t="shared" si="27"/>
        <v>30000</v>
      </c>
      <c r="H300" s="117"/>
      <c r="I300" s="120"/>
    </row>
    <row r="301" spans="1:9" x14ac:dyDescent="0.25">
      <c r="A301" s="81">
        <f t="shared" si="28"/>
        <v>14</v>
      </c>
      <c r="B301" s="81" t="s">
        <v>206</v>
      </c>
      <c r="C301" s="81" t="s">
        <v>251</v>
      </c>
      <c r="D301" s="117">
        <v>150000</v>
      </c>
      <c r="E301" s="117">
        <v>100000</v>
      </c>
      <c r="F301" s="117"/>
      <c r="G301" s="117">
        <f t="shared" si="27"/>
        <v>50000</v>
      </c>
      <c r="H301" s="117"/>
      <c r="I301" s="120"/>
    </row>
    <row r="302" spans="1:9" x14ac:dyDescent="0.25">
      <c r="A302" s="81">
        <f t="shared" si="28"/>
        <v>15</v>
      </c>
      <c r="B302" s="81" t="s">
        <v>207</v>
      </c>
      <c r="C302" s="81" t="s">
        <v>421</v>
      </c>
      <c r="D302" s="117">
        <v>150000</v>
      </c>
      <c r="E302" s="117">
        <v>27000</v>
      </c>
      <c r="F302" s="117"/>
      <c r="G302" s="117">
        <f t="shared" si="27"/>
        <v>123000</v>
      </c>
      <c r="H302" s="117"/>
      <c r="I302" s="120"/>
    </row>
    <row r="303" spans="1:9" x14ac:dyDescent="0.25">
      <c r="A303" s="81">
        <f t="shared" si="28"/>
        <v>16</v>
      </c>
      <c r="B303" s="81" t="s">
        <v>245</v>
      </c>
      <c r="C303" s="81" t="s">
        <v>251</v>
      </c>
      <c r="D303" s="117">
        <v>75000</v>
      </c>
      <c r="E303" s="117">
        <v>75000</v>
      </c>
      <c r="F303" s="117"/>
      <c r="G303" s="117">
        <f t="shared" si="27"/>
        <v>0</v>
      </c>
      <c r="H303" s="117"/>
      <c r="I303" s="120"/>
    </row>
    <row r="304" spans="1:9" x14ac:dyDescent="0.25">
      <c r="A304" s="81">
        <f t="shared" si="28"/>
        <v>17</v>
      </c>
      <c r="B304" s="81" t="s">
        <v>243</v>
      </c>
      <c r="C304" s="81" t="s">
        <v>333</v>
      </c>
      <c r="D304" s="117">
        <v>60000</v>
      </c>
      <c r="E304" s="117">
        <v>60000</v>
      </c>
      <c r="F304" s="117"/>
      <c r="G304" s="117">
        <f t="shared" si="27"/>
        <v>0</v>
      </c>
      <c r="H304" s="117"/>
      <c r="I304" s="120"/>
    </row>
    <row r="305" spans="1:9" x14ac:dyDescent="0.25">
      <c r="A305" s="81">
        <f t="shared" si="28"/>
        <v>18</v>
      </c>
      <c r="B305" s="81" t="s">
        <v>207</v>
      </c>
      <c r="C305" s="81" t="s">
        <v>333</v>
      </c>
      <c r="D305" s="117">
        <v>30000</v>
      </c>
      <c r="E305" s="117">
        <v>30000</v>
      </c>
      <c r="F305" s="117"/>
      <c r="G305" s="117">
        <f t="shared" si="27"/>
        <v>0</v>
      </c>
      <c r="H305" s="117"/>
      <c r="I305" s="120"/>
    </row>
    <row r="306" spans="1:9" x14ac:dyDescent="0.25">
      <c r="A306" s="81">
        <f t="shared" si="28"/>
        <v>19</v>
      </c>
      <c r="B306" s="81" t="s">
        <v>380</v>
      </c>
      <c r="C306" s="81" t="s">
        <v>244</v>
      </c>
      <c r="D306" s="117">
        <v>27500</v>
      </c>
      <c r="E306" s="117">
        <v>27500</v>
      </c>
      <c r="F306" s="117"/>
      <c r="G306" s="117">
        <f t="shared" si="27"/>
        <v>0</v>
      </c>
      <c r="H306" s="117"/>
      <c r="I306" s="120"/>
    </row>
    <row r="307" spans="1:9" x14ac:dyDescent="0.25">
      <c r="A307" s="81">
        <f t="shared" si="28"/>
        <v>20</v>
      </c>
      <c r="B307" s="81" t="s">
        <v>207</v>
      </c>
      <c r="C307" s="81" t="s">
        <v>248</v>
      </c>
      <c r="D307" s="117">
        <v>200000</v>
      </c>
      <c r="E307" s="117"/>
      <c r="F307" s="117"/>
      <c r="G307" s="117">
        <f t="shared" si="27"/>
        <v>200000</v>
      </c>
      <c r="H307" s="117"/>
      <c r="I307" s="120"/>
    </row>
    <row r="308" spans="1:9" x14ac:dyDescent="0.25">
      <c r="A308" s="81">
        <f t="shared" si="28"/>
        <v>21</v>
      </c>
      <c r="B308" s="81" t="s">
        <v>325</v>
      </c>
      <c r="C308" s="81" t="s">
        <v>248</v>
      </c>
      <c r="D308" s="117">
        <v>200000</v>
      </c>
      <c r="E308" s="117"/>
      <c r="F308" s="117"/>
      <c r="G308" s="117">
        <f t="shared" si="27"/>
        <v>200000</v>
      </c>
      <c r="H308" s="117"/>
      <c r="I308" s="120" t="s">
        <v>237</v>
      </c>
    </row>
    <row r="309" spans="1:9" x14ac:dyDescent="0.25">
      <c r="A309" s="81">
        <f t="shared" si="28"/>
        <v>22</v>
      </c>
      <c r="B309" s="81" t="s">
        <v>216</v>
      </c>
      <c r="C309" s="81" t="s">
        <v>248</v>
      </c>
      <c r="D309" s="117">
        <v>200000</v>
      </c>
      <c r="E309" s="117"/>
      <c r="F309" s="117"/>
      <c r="G309" s="117">
        <f t="shared" si="27"/>
        <v>200000</v>
      </c>
      <c r="H309" s="117"/>
      <c r="I309" s="120"/>
    </row>
    <row r="310" spans="1:9" x14ac:dyDescent="0.25">
      <c r="A310" s="81">
        <f t="shared" si="28"/>
        <v>23</v>
      </c>
      <c r="B310" s="81" t="s">
        <v>38</v>
      </c>
      <c r="C310" s="81" t="s">
        <v>248</v>
      </c>
      <c r="D310" s="117">
        <v>200000</v>
      </c>
      <c r="E310" s="117">
        <v>70000</v>
      </c>
      <c r="F310" s="117"/>
      <c r="G310" s="117">
        <f t="shared" si="27"/>
        <v>130000</v>
      </c>
      <c r="H310" s="117"/>
      <c r="I310" s="120"/>
    </row>
    <row r="311" spans="1:9" x14ac:dyDescent="0.25">
      <c r="A311" s="81">
        <f t="shared" si="28"/>
        <v>24</v>
      </c>
      <c r="B311" s="81" t="s">
        <v>228</v>
      </c>
      <c r="C311" s="81" t="s">
        <v>248</v>
      </c>
      <c r="D311" s="117">
        <v>200000</v>
      </c>
      <c r="E311" s="117"/>
      <c r="F311" s="117"/>
      <c r="G311" s="117">
        <f t="shared" si="27"/>
        <v>200000</v>
      </c>
      <c r="H311" s="117"/>
      <c r="I311" s="120"/>
    </row>
    <row r="312" spans="1:9" x14ac:dyDescent="0.25">
      <c r="A312" s="81">
        <f t="shared" si="28"/>
        <v>25</v>
      </c>
      <c r="B312" s="81" t="s">
        <v>275</v>
      </c>
      <c r="C312" s="81" t="s">
        <v>248</v>
      </c>
      <c r="D312" s="117">
        <v>200000</v>
      </c>
      <c r="E312" s="117"/>
      <c r="F312" s="117"/>
      <c r="G312" s="117">
        <f t="shared" si="27"/>
        <v>200000</v>
      </c>
      <c r="H312" s="117"/>
      <c r="I312" s="120" t="s">
        <v>237</v>
      </c>
    </row>
    <row r="313" spans="1:9" x14ac:dyDescent="0.25">
      <c r="A313" s="81">
        <f t="shared" si="28"/>
        <v>26</v>
      </c>
      <c r="B313" s="81" t="s">
        <v>252</v>
      </c>
      <c r="C313" s="81" t="s">
        <v>422</v>
      </c>
      <c r="D313" s="117">
        <v>100000</v>
      </c>
      <c r="E313" s="117"/>
      <c r="F313" s="117"/>
      <c r="G313" s="117">
        <f t="shared" si="27"/>
        <v>100000</v>
      </c>
      <c r="H313" s="117"/>
      <c r="I313" s="120"/>
    </row>
    <row r="314" spans="1:9" x14ac:dyDescent="0.25">
      <c r="A314" s="81">
        <f t="shared" si="28"/>
        <v>27</v>
      </c>
      <c r="B314" s="81" t="s">
        <v>252</v>
      </c>
      <c r="C314" s="81" t="s">
        <v>253</v>
      </c>
      <c r="D314" s="117">
        <v>6000</v>
      </c>
      <c r="E314" s="117"/>
      <c r="F314" s="117"/>
      <c r="G314" s="117">
        <f t="shared" si="27"/>
        <v>6000</v>
      </c>
      <c r="H314" s="117"/>
      <c r="I314" s="120"/>
    </row>
    <row r="315" spans="1:9" x14ac:dyDescent="0.25">
      <c r="A315" s="81">
        <f t="shared" si="28"/>
        <v>28</v>
      </c>
      <c r="B315" s="81" t="s">
        <v>92</v>
      </c>
      <c r="C315" s="81" t="s">
        <v>423</v>
      </c>
      <c r="D315" s="117">
        <v>500000</v>
      </c>
      <c r="E315" s="117"/>
      <c r="F315" s="117"/>
      <c r="G315" s="117">
        <f t="shared" si="27"/>
        <v>500000</v>
      </c>
      <c r="H315" s="117"/>
      <c r="I315" s="120"/>
    </row>
    <row r="316" spans="1:9" x14ac:dyDescent="0.25">
      <c r="A316" s="81">
        <f t="shared" si="28"/>
        <v>29</v>
      </c>
      <c r="B316" s="81" t="s">
        <v>275</v>
      </c>
      <c r="C316" s="81" t="s">
        <v>424</v>
      </c>
      <c r="D316" s="117">
        <v>30000</v>
      </c>
      <c r="E316" s="117"/>
      <c r="F316" s="117"/>
      <c r="G316" s="117">
        <f t="shared" si="27"/>
        <v>30000</v>
      </c>
      <c r="H316" s="117"/>
      <c r="I316" s="120"/>
    </row>
    <row r="317" spans="1:9" x14ac:dyDescent="0.25">
      <c r="A317" s="81">
        <f t="shared" si="28"/>
        <v>30</v>
      </c>
      <c r="B317" s="81"/>
      <c r="C317" s="81"/>
      <c r="D317" s="117"/>
      <c r="E317" s="117"/>
      <c r="F317" s="117"/>
      <c r="G317" s="117">
        <f t="shared" si="27"/>
        <v>0</v>
      </c>
      <c r="H317" s="117"/>
      <c r="I317" s="120"/>
    </row>
    <row r="318" spans="1:9" x14ac:dyDescent="0.25">
      <c r="A318" s="81">
        <f>1+A317</f>
        <v>31</v>
      </c>
      <c r="B318" s="81"/>
      <c r="C318" s="81"/>
      <c r="D318" s="117"/>
      <c r="E318" s="117"/>
      <c r="F318" s="117"/>
      <c r="G318" s="117">
        <f t="shared" si="27"/>
        <v>0</v>
      </c>
      <c r="H318" s="117"/>
      <c r="I318" s="120"/>
    </row>
    <row r="319" spans="1:9" x14ac:dyDescent="0.25">
      <c r="A319" s="81">
        <f t="shared" si="28"/>
        <v>32</v>
      </c>
      <c r="B319" s="81"/>
      <c r="C319" s="81"/>
      <c r="D319" s="117">
        <f>SUM(D290:D318)</f>
        <v>5072000</v>
      </c>
      <c r="E319" s="117">
        <f t="shared" ref="E319:G319" si="29">SUM(E290:E318)</f>
        <v>389500</v>
      </c>
      <c r="F319" s="117">
        <f t="shared" si="29"/>
        <v>392500</v>
      </c>
      <c r="G319" s="117">
        <f t="shared" si="29"/>
        <v>4290000</v>
      </c>
      <c r="H319" s="117"/>
      <c r="I319" s="120"/>
    </row>
    <row r="320" spans="1:9" ht="18.75" x14ac:dyDescent="0.3">
      <c r="A320" s="16"/>
      <c r="B320" s="292" t="s">
        <v>154</v>
      </c>
      <c r="C320" s="292"/>
      <c r="D320" s="292"/>
      <c r="E320" s="292"/>
      <c r="F320" s="292"/>
      <c r="G320" s="292"/>
      <c r="H320" s="292"/>
      <c r="I320" s="292"/>
    </row>
    <row r="321" spans="1:9" ht="30" x14ac:dyDescent="0.25">
      <c r="A321" s="81"/>
      <c r="B321" s="116" t="s">
        <v>56</v>
      </c>
      <c r="C321" s="116" t="s">
        <v>131</v>
      </c>
      <c r="D321" s="116" t="s">
        <v>132</v>
      </c>
      <c r="E321" s="116" t="s">
        <v>133</v>
      </c>
      <c r="F321" s="116" t="s">
        <v>134</v>
      </c>
      <c r="G321" s="116" t="s">
        <v>135</v>
      </c>
      <c r="H321" s="116" t="s">
        <v>146</v>
      </c>
      <c r="I321" s="116" t="s">
        <v>137</v>
      </c>
    </row>
    <row r="322" spans="1:9" ht="18" x14ac:dyDescent="0.4">
      <c r="A322" s="81"/>
      <c r="B322" s="81"/>
      <c r="C322" s="81"/>
      <c r="D322" s="117"/>
      <c r="E322" s="117"/>
      <c r="F322" s="117"/>
      <c r="G322" s="117"/>
      <c r="H322" s="118">
        <v>5735976</v>
      </c>
      <c r="I322" s="119"/>
    </row>
    <row r="323" spans="1:9" ht="18" x14ac:dyDescent="0.4">
      <c r="A323" s="81"/>
      <c r="B323" s="81"/>
      <c r="C323" s="81" t="s">
        <v>138</v>
      </c>
      <c r="D323" s="117"/>
      <c r="E323" s="117"/>
      <c r="F323" s="117"/>
      <c r="G323" s="117"/>
      <c r="H323" s="118"/>
      <c r="I323" s="119"/>
    </row>
    <row r="324" spans="1:9" x14ac:dyDescent="0.25">
      <c r="A324" s="81">
        <v>6</v>
      </c>
      <c r="B324" s="81" t="s">
        <v>107</v>
      </c>
      <c r="C324" s="81" t="s">
        <v>289</v>
      </c>
      <c r="D324" s="117">
        <v>900000</v>
      </c>
      <c r="E324" s="117">
        <v>0</v>
      </c>
      <c r="F324" s="117">
        <v>7500</v>
      </c>
      <c r="G324" s="117">
        <f>+D324-E324-F324</f>
        <v>892500</v>
      </c>
      <c r="H324" s="117"/>
      <c r="I324" s="120"/>
    </row>
    <row r="325" spans="1:9" x14ac:dyDescent="0.25">
      <c r="A325" s="81">
        <f>1+A324</f>
        <v>7</v>
      </c>
      <c r="B325" s="81" t="s">
        <v>425</v>
      </c>
      <c r="C325" s="81" t="s">
        <v>289</v>
      </c>
      <c r="D325" s="117">
        <v>900000</v>
      </c>
      <c r="E325" s="117">
        <v>0</v>
      </c>
      <c r="F325" s="117">
        <f>530000+7500+115000</f>
        <v>652500</v>
      </c>
      <c r="G325" s="117">
        <f t="shared" ref="G325:G350" si="30">+D325-E325-F325</f>
        <v>247500</v>
      </c>
      <c r="H325" s="117"/>
      <c r="I325" s="120"/>
    </row>
    <row r="326" spans="1:9" x14ac:dyDescent="0.25">
      <c r="A326" s="81">
        <f t="shared" ref="A326:A351" si="31">1+A325</f>
        <v>8</v>
      </c>
      <c r="B326" s="81" t="s">
        <v>105</v>
      </c>
      <c r="C326" s="81" t="s">
        <v>311</v>
      </c>
      <c r="D326" s="117">
        <v>100000</v>
      </c>
      <c r="E326" s="117"/>
      <c r="F326" s="117"/>
      <c r="G326" s="117">
        <f t="shared" si="30"/>
        <v>100000</v>
      </c>
      <c r="H326" s="117"/>
      <c r="I326" s="120"/>
    </row>
    <row r="327" spans="1:9" x14ac:dyDescent="0.25">
      <c r="A327" s="81">
        <f t="shared" si="31"/>
        <v>9</v>
      </c>
      <c r="B327" s="81" t="s">
        <v>301</v>
      </c>
      <c r="C327" s="81" t="s">
        <v>311</v>
      </c>
      <c r="D327" s="117">
        <v>200000</v>
      </c>
      <c r="E327" s="117"/>
      <c r="F327" s="117"/>
      <c r="G327" s="117">
        <f t="shared" si="30"/>
        <v>200000</v>
      </c>
      <c r="H327" s="117"/>
      <c r="I327" s="120"/>
    </row>
    <row r="328" spans="1:9" x14ac:dyDescent="0.25">
      <c r="A328" s="81">
        <f t="shared" si="31"/>
        <v>10</v>
      </c>
      <c r="B328" s="81" t="s">
        <v>405</v>
      </c>
      <c r="C328" s="81" t="s">
        <v>311</v>
      </c>
      <c r="D328" s="117">
        <v>100000</v>
      </c>
      <c r="E328" s="117"/>
      <c r="F328" s="117"/>
      <c r="G328" s="117">
        <f t="shared" si="30"/>
        <v>100000</v>
      </c>
      <c r="H328" s="117"/>
      <c r="I328" s="120"/>
    </row>
    <row r="329" spans="1:9" x14ac:dyDescent="0.25">
      <c r="A329" s="81">
        <f t="shared" si="31"/>
        <v>11</v>
      </c>
      <c r="B329" s="81" t="s">
        <v>38</v>
      </c>
      <c r="C329" s="81" t="s">
        <v>296</v>
      </c>
      <c r="D329" s="117">
        <v>200000</v>
      </c>
      <c r="E329" s="117"/>
      <c r="F329" s="117"/>
      <c r="G329" s="117">
        <f t="shared" si="30"/>
        <v>200000</v>
      </c>
      <c r="H329" s="117"/>
      <c r="I329" s="120"/>
    </row>
    <row r="330" spans="1:9" x14ac:dyDescent="0.25">
      <c r="A330" s="81">
        <f t="shared" si="31"/>
        <v>12</v>
      </c>
      <c r="B330" s="81" t="s">
        <v>228</v>
      </c>
      <c r="C330" s="81" t="s">
        <v>296</v>
      </c>
      <c r="D330" s="117">
        <v>200000</v>
      </c>
      <c r="E330" s="117"/>
      <c r="F330" s="117"/>
      <c r="G330" s="117">
        <f t="shared" si="30"/>
        <v>200000</v>
      </c>
      <c r="H330" s="117"/>
      <c r="I330" s="120"/>
    </row>
    <row r="331" spans="1:9" x14ac:dyDescent="0.25">
      <c r="A331" s="81">
        <f t="shared" si="31"/>
        <v>13</v>
      </c>
      <c r="B331" s="81" t="s">
        <v>426</v>
      </c>
      <c r="C331" s="81" t="s">
        <v>390</v>
      </c>
      <c r="D331" s="117">
        <v>100000</v>
      </c>
      <c r="E331" s="117">
        <v>17500</v>
      </c>
      <c r="F331" s="117"/>
      <c r="G331" s="117">
        <f t="shared" si="30"/>
        <v>82500</v>
      </c>
      <c r="H331" s="117"/>
      <c r="I331" s="120"/>
    </row>
    <row r="332" spans="1:9" x14ac:dyDescent="0.25">
      <c r="A332" s="81">
        <f t="shared" si="31"/>
        <v>14</v>
      </c>
      <c r="B332" s="81" t="s">
        <v>107</v>
      </c>
      <c r="C332" s="81" t="s">
        <v>242</v>
      </c>
      <c r="D332" s="117">
        <v>300000</v>
      </c>
      <c r="E332" s="117"/>
      <c r="F332" s="117">
        <f>70000+2500</f>
        <v>72500</v>
      </c>
      <c r="G332" s="117">
        <f t="shared" si="30"/>
        <v>227500</v>
      </c>
      <c r="H332" s="117"/>
      <c r="I332" s="120"/>
    </row>
    <row r="333" spans="1:9" x14ac:dyDescent="0.25">
      <c r="A333" s="81">
        <f t="shared" si="31"/>
        <v>15</v>
      </c>
      <c r="B333" s="81" t="s">
        <v>425</v>
      </c>
      <c r="C333" s="81" t="s">
        <v>242</v>
      </c>
      <c r="D333" s="117">
        <v>300000</v>
      </c>
      <c r="E333" s="117"/>
      <c r="F333" s="117">
        <f>70000+2500</f>
        <v>72500</v>
      </c>
      <c r="G333" s="117">
        <f t="shared" si="30"/>
        <v>227500</v>
      </c>
      <c r="H333" s="117"/>
      <c r="I333" s="120"/>
    </row>
    <row r="334" spans="1:9" x14ac:dyDescent="0.25">
      <c r="A334" s="81">
        <f t="shared" si="31"/>
        <v>16</v>
      </c>
      <c r="B334" s="81" t="s">
        <v>427</v>
      </c>
      <c r="C334" s="81" t="s">
        <v>242</v>
      </c>
      <c r="D334" s="117">
        <v>300000</v>
      </c>
      <c r="E334" s="117"/>
      <c r="F334" s="117">
        <f>70000+2500</f>
        <v>72500</v>
      </c>
      <c r="G334" s="117">
        <f t="shared" si="30"/>
        <v>227500</v>
      </c>
      <c r="H334" s="117"/>
      <c r="I334" s="120"/>
    </row>
    <row r="335" spans="1:9" x14ac:dyDescent="0.25">
      <c r="A335" s="81">
        <f t="shared" si="31"/>
        <v>17</v>
      </c>
      <c r="B335" s="81" t="s">
        <v>92</v>
      </c>
      <c r="C335" s="81" t="s">
        <v>428</v>
      </c>
      <c r="D335" s="117">
        <v>100000</v>
      </c>
      <c r="E335" s="117"/>
      <c r="F335" s="117"/>
      <c r="G335" s="117">
        <f t="shared" si="30"/>
        <v>100000</v>
      </c>
      <c r="H335" s="117"/>
      <c r="I335" s="120"/>
    </row>
    <row r="336" spans="1:9" x14ac:dyDescent="0.25">
      <c r="A336" s="81">
        <f t="shared" si="31"/>
        <v>18</v>
      </c>
      <c r="B336" s="81" t="s">
        <v>252</v>
      </c>
      <c r="C336" s="81" t="s">
        <v>253</v>
      </c>
      <c r="D336" s="117">
        <v>6000</v>
      </c>
      <c r="E336" s="117"/>
      <c r="F336" s="117"/>
      <c r="G336" s="117">
        <f t="shared" si="30"/>
        <v>6000</v>
      </c>
      <c r="H336" s="117"/>
      <c r="I336" s="120"/>
    </row>
    <row r="337" spans="1:9" x14ac:dyDescent="0.25">
      <c r="A337" s="81">
        <f t="shared" si="31"/>
        <v>19</v>
      </c>
      <c r="B337" s="81" t="s">
        <v>207</v>
      </c>
      <c r="C337" s="81" t="s">
        <v>311</v>
      </c>
      <c r="D337" s="117">
        <v>151000</v>
      </c>
      <c r="E337" s="117">
        <v>151000</v>
      </c>
      <c r="F337" s="117"/>
      <c r="G337" s="117">
        <f t="shared" si="30"/>
        <v>0</v>
      </c>
      <c r="H337" s="117"/>
      <c r="I337" s="120" t="s">
        <v>429</v>
      </c>
    </row>
    <row r="338" spans="1:9" x14ac:dyDescent="0.25">
      <c r="A338" s="81">
        <f t="shared" si="31"/>
        <v>20</v>
      </c>
      <c r="B338" s="81" t="s">
        <v>325</v>
      </c>
      <c r="C338" s="81" t="s">
        <v>311</v>
      </c>
      <c r="D338" s="117">
        <v>50000</v>
      </c>
      <c r="E338" s="117">
        <v>50000</v>
      </c>
      <c r="F338" s="117"/>
      <c r="G338" s="117">
        <f t="shared" si="30"/>
        <v>0</v>
      </c>
      <c r="H338" s="117"/>
      <c r="I338" s="120"/>
    </row>
    <row r="339" spans="1:9" x14ac:dyDescent="0.25">
      <c r="A339" s="81">
        <f t="shared" si="31"/>
        <v>21</v>
      </c>
      <c r="B339" s="81" t="s">
        <v>320</v>
      </c>
      <c r="C339" s="81" t="s">
        <v>296</v>
      </c>
      <c r="D339" s="117">
        <v>30000</v>
      </c>
      <c r="E339" s="117">
        <v>30000</v>
      </c>
      <c r="F339" s="117"/>
      <c r="G339" s="117">
        <f t="shared" si="30"/>
        <v>0</v>
      </c>
      <c r="H339" s="117"/>
      <c r="I339" s="120"/>
    </row>
    <row r="340" spans="1:9" x14ac:dyDescent="0.25">
      <c r="A340" s="81">
        <f t="shared" si="31"/>
        <v>22</v>
      </c>
      <c r="B340" s="81" t="s">
        <v>207</v>
      </c>
      <c r="C340" s="81" t="s">
        <v>430</v>
      </c>
      <c r="D340" s="117">
        <v>10000</v>
      </c>
      <c r="E340" s="117"/>
      <c r="F340" s="117"/>
      <c r="G340" s="117">
        <f t="shared" si="30"/>
        <v>10000</v>
      </c>
      <c r="H340" s="117"/>
      <c r="I340" s="120"/>
    </row>
    <row r="341" spans="1:9" x14ac:dyDescent="0.25">
      <c r="A341" s="81">
        <f t="shared" si="31"/>
        <v>23</v>
      </c>
      <c r="B341" s="81" t="s">
        <v>206</v>
      </c>
      <c r="C341" s="81" t="s">
        <v>431</v>
      </c>
      <c r="D341" s="117">
        <v>30000</v>
      </c>
      <c r="E341" s="117">
        <v>30000</v>
      </c>
      <c r="F341" s="117"/>
      <c r="G341" s="117">
        <f t="shared" si="30"/>
        <v>0</v>
      </c>
      <c r="H341" s="117"/>
      <c r="I341" s="120"/>
    </row>
    <row r="342" spans="1:9" x14ac:dyDescent="0.25">
      <c r="A342" s="81">
        <f t="shared" si="31"/>
        <v>24</v>
      </c>
      <c r="B342" s="81"/>
      <c r="C342" s="81"/>
      <c r="D342" s="117"/>
      <c r="E342" s="117"/>
      <c r="F342" s="117"/>
      <c r="G342" s="117">
        <f t="shared" si="30"/>
        <v>0</v>
      </c>
      <c r="H342" s="117"/>
      <c r="I342" s="120"/>
    </row>
    <row r="343" spans="1:9" x14ac:dyDescent="0.25">
      <c r="A343" s="81">
        <f t="shared" si="31"/>
        <v>25</v>
      </c>
      <c r="B343" s="81"/>
      <c r="C343" s="81"/>
      <c r="D343" s="117"/>
      <c r="E343" s="117"/>
      <c r="F343" s="117"/>
      <c r="G343" s="117">
        <f t="shared" si="30"/>
        <v>0</v>
      </c>
      <c r="H343" s="117"/>
      <c r="I343" s="120"/>
    </row>
    <row r="344" spans="1:9" x14ac:dyDescent="0.25">
      <c r="A344" s="81">
        <f t="shared" si="31"/>
        <v>26</v>
      </c>
      <c r="B344" s="81"/>
      <c r="C344" s="81"/>
      <c r="D344" s="117"/>
      <c r="E344" s="117"/>
      <c r="F344" s="117"/>
      <c r="G344" s="117">
        <f t="shared" si="30"/>
        <v>0</v>
      </c>
      <c r="H344" s="117"/>
      <c r="I344" s="120"/>
    </row>
    <row r="345" spans="1:9" x14ac:dyDescent="0.25">
      <c r="A345" s="81">
        <f t="shared" si="31"/>
        <v>27</v>
      </c>
      <c r="B345" s="81"/>
      <c r="C345" s="81"/>
      <c r="D345" s="117"/>
      <c r="E345" s="117"/>
      <c r="F345" s="117"/>
      <c r="G345" s="117">
        <f t="shared" si="30"/>
        <v>0</v>
      </c>
      <c r="H345" s="117"/>
      <c r="I345" s="120"/>
    </row>
    <row r="346" spans="1:9" x14ac:dyDescent="0.25">
      <c r="A346" s="81">
        <f t="shared" si="31"/>
        <v>28</v>
      </c>
      <c r="B346" s="81"/>
      <c r="C346" s="81"/>
      <c r="D346" s="117"/>
      <c r="E346" s="117"/>
      <c r="F346" s="117"/>
      <c r="G346" s="117">
        <f t="shared" si="30"/>
        <v>0</v>
      </c>
      <c r="H346" s="117"/>
      <c r="I346" s="120"/>
    </row>
    <row r="347" spans="1:9" x14ac:dyDescent="0.25">
      <c r="A347" s="81">
        <f t="shared" si="31"/>
        <v>29</v>
      </c>
      <c r="B347" s="81"/>
      <c r="C347" s="81"/>
      <c r="D347" s="117"/>
      <c r="E347" s="117"/>
      <c r="F347" s="117"/>
      <c r="G347" s="117">
        <f t="shared" si="30"/>
        <v>0</v>
      </c>
      <c r="H347" s="117"/>
      <c r="I347" s="120"/>
    </row>
    <row r="348" spans="1:9" x14ac:dyDescent="0.25">
      <c r="A348" s="81">
        <f t="shared" si="31"/>
        <v>30</v>
      </c>
      <c r="B348" s="81"/>
      <c r="C348" s="81"/>
      <c r="D348" s="117"/>
      <c r="E348" s="117"/>
      <c r="F348" s="117"/>
      <c r="G348" s="117">
        <f t="shared" si="30"/>
        <v>0</v>
      </c>
      <c r="H348" s="117"/>
      <c r="I348" s="120"/>
    </row>
    <row r="349" spans="1:9" x14ac:dyDescent="0.25">
      <c r="A349" s="81">
        <f t="shared" si="31"/>
        <v>31</v>
      </c>
      <c r="B349" s="81"/>
      <c r="C349" s="81"/>
      <c r="D349" s="117"/>
      <c r="E349" s="117"/>
      <c r="F349" s="117"/>
      <c r="G349" s="117">
        <f t="shared" si="30"/>
        <v>0</v>
      </c>
      <c r="H349" s="117"/>
      <c r="I349" s="120"/>
    </row>
    <row r="350" spans="1:9" x14ac:dyDescent="0.25">
      <c r="A350" s="81">
        <f>1+A349</f>
        <v>32</v>
      </c>
      <c r="B350" s="81"/>
      <c r="C350" s="81"/>
      <c r="D350" s="117"/>
      <c r="E350" s="117"/>
      <c r="F350" s="117"/>
      <c r="G350" s="117">
        <f t="shared" si="30"/>
        <v>0</v>
      </c>
      <c r="H350" s="117"/>
      <c r="I350" s="120"/>
    </row>
    <row r="351" spans="1:9" x14ac:dyDescent="0.25">
      <c r="A351" s="81">
        <f t="shared" si="31"/>
        <v>33</v>
      </c>
      <c r="B351" s="81"/>
      <c r="C351" s="81"/>
      <c r="D351" s="117">
        <f>SUM(D322:D350)</f>
        <v>3977000</v>
      </c>
      <c r="E351" s="117">
        <f t="shared" ref="E351:G351" si="32">SUM(E322:E350)</f>
        <v>278500</v>
      </c>
      <c r="F351" s="117">
        <f t="shared" si="32"/>
        <v>877500</v>
      </c>
      <c r="G351" s="117">
        <f t="shared" si="32"/>
        <v>2821000</v>
      </c>
      <c r="H351" s="117"/>
      <c r="I351" s="120"/>
    </row>
    <row r="352" spans="1:9" ht="18.75" x14ac:dyDescent="0.3">
      <c r="A352" s="16"/>
      <c r="B352" s="292" t="s">
        <v>156</v>
      </c>
      <c r="C352" s="292"/>
      <c r="D352" s="292"/>
      <c r="E352" s="292"/>
      <c r="F352" s="292"/>
      <c r="G352" s="292"/>
      <c r="H352" s="292"/>
      <c r="I352" s="292"/>
    </row>
    <row r="353" spans="1:9" ht="30" x14ac:dyDescent="0.25">
      <c r="A353" s="81"/>
      <c r="B353" s="116" t="s">
        <v>56</v>
      </c>
      <c r="C353" s="116" t="s">
        <v>131</v>
      </c>
      <c r="D353" s="116" t="s">
        <v>132</v>
      </c>
      <c r="E353" s="116" t="s">
        <v>133</v>
      </c>
      <c r="F353" s="116" t="s">
        <v>134</v>
      </c>
      <c r="G353" s="116" t="s">
        <v>135</v>
      </c>
      <c r="H353" s="116" t="s">
        <v>155</v>
      </c>
      <c r="I353" s="116" t="s">
        <v>137</v>
      </c>
    </row>
    <row r="354" spans="1:9" ht="18" x14ac:dyDescent="0.4">
      <c r="A354" s="81"/>
      <c r="B354" s="81"/>
      <c r="C354" s="81"/>
      <c r="D354" s="117"/>
      <c r="E354" s="117"/>
      <c r="F354" s="117"/>
      <c r="G354" s="117"/>
      <c r="H354" s="118">
        <v>5735977</v>
      </c>
      <c r="I354" s="119"/>
    </row>
    <row r="355" spans="1:9" ht="18" x14ac:dyDescent="0.4">
      <c r="A355" s="81"/>
      <c r="B355" s="81"/>
      <c r="C355" s="81" t="s">
        <v>138</v>
      </c>
      <c r="D355" s="117"/>
      <c r="E355" s="117"/>
      <c r="F355" s="117"/>
      <c r="G355" s="117"/>
      <c r="H355" s="118"/>
      <c r="I355" s="119"/>
    </row>
    <row r="356" spans="1:9" x14ac:dyDescent="0.25">
      <c r="A356" s="81">
        <v>7</v>
      </c>
      <c r="B356" s="81"/>
      <c r="C356" s="81"/>
      <c r="D356" s="117"/>
      <c r="E356" s="117"/>
      <c r="F356" s="117"/>
      <c r="G356" s="117"/>
      <c r="H356" s="117"/>
      <c r="I356" s="120"/>
    </row>
    <row r="357" spans="1:9" x14ac:dyDescent="0.25">
      <c r="A357" s="81">
        <f>1+A356</f>
        <v>8</v>
      </c>
      <c r="B357" s="81"/>
      <c r="C357" s="81"/>
      <c r="D357" s="117"/>
      <c r="E357" s="117"/>
      <c r="F357" s="117"/>
      <c r="G357" s="117"/>
      <c r="H357" s="117"/>
      <c r="I357" s="120"/>
    </row>
    <row r="358" spans="1:9" x14ac:dyDescent="0.25">
      <c r="A358" s="81">
        <f t="shared" ref="A358:A383" si="33">1+A357</f>
        <v>9</v>
      </c>
      <c r="B358" s="81"/>
      <c r="C358" s="81"/>
      <c r="D358" s="117"/>
      <c r="E358" s="117"/>
      <c r="F358" s="117"/>
      <c r="G358" s="117"/>
      <c r="H358" s="117"/>
      <c r="I358" s="120"/>
    </row>
    <row r="359" spans="1:9" x14ac:dyDescent="0.25">
      <c r="A359" s="81">
        <f t="shared" si="33"/>
        <v>10</v>
      </c>
      <c r="B359" s="81"/>
      <c r="C359" s="81"/>
      <c r="D359" s="117"/>
      <c r="E359" s="117"/>
      <c r="F359" s="117"/>
      <c r="G359" s="117"/>
      <c r="H359" s="117"/>
      <c r="I359" s="120"/>
    </row>
    <row r="360" spans="1:9" x14ac:dyDescent="0.25">
      <c r="A360" s="81">
        <f t="shared" si="33"/>
        <v>11</v>
      </c>
      <c r="B360" s="81"/>
      <c r="C360" s="81"/>
      <c r="D360" s="117"/>
      <c r="E360" s="117"/>
      <c r="F360" s="117"/>
      <c r="G360" s="117"/>
      <c r="H360" s="117"/>
      <c r="I360" s="120"/>
    </row>
    <row r="361" spans="1:9" x14ac:dyDescent="0.25">
      <c r="A361" s="81">
        <f t="shared" si="33"/>
        <v>12</v>
      </c>
      <c r="B361" s="81"/>
      <c r="C361" s="81"/>
      <c r="D361" s="117"/>
      <c r="E361" s="117"/>
      <c r="F361" s="117"/>
      <c r="G361" s="117"/>
      <c r="H361" s="117"/>
      <c r="I361" s="120"/>
    </row>
    <row r="362" spans="1:9" x14ac:dyDescent="0.25">
      <c r="A362" s="81">
        <f t="shared" si="33"/>
        <v>13</v>
      </c>
      <c r="B362" s="81"/>
      <c r="C362" s="81"/>
      <c r="D362" s="117"/>
      <c r="E362" s="117"/>
      <c r="F362" s="117"/>
      <c r="G362" s="117"/>
      <c r="H362" s="117"/>
      <c r="I362" s="120"/>
    </row>
    <row r="363" spans="1:9" x14ac:dyDescent="0.25">
      <c r="A363" s="81">
        <f t="shared" si="33"/>
        <v>14</v>
      </c>
      <c r="B363" s="81"/>
      <c r="C363" s="81"/>
      <c r="D363" s="117"/>
      <c r="E363" s="117"/>
      <c r="F363" s="117"/>
      <c r="G363" s="117"/>
      <c r="H363" s="117"/>
      <c r="I363" s="120"/>
    </row>
    <row r="364" spans="1:9" x14ac:dyDescent="0.25">
      <c r="A364" s="81">
        <f t="shared" si="33"/>
        <v>15</v>
      </c>
      <c r="B364" s="81"/>
      <c r="C364" s="81"/>
      <c r="D364" s="117"/>
      <c r="E364" s="117"/>
      <c r="F364" s="117"/>
      <c r="G364" s="117"/>
      <c r="H364" s="117"/>
      <c r="I364" s="120"/>
    </row>
    <row r="365" spans="1:9" x14ac:dyDescent="0.25">
      <c r="A365" s="81">
        <f t="shared" si="33"/>
        <v>16</v>
      </c>
      <c r="B365" s="81"/>
      <c r="C365" s="81"/>
      <c r="D365" s="117"/>
      <c r="E365" s="117"/>
      <c r="F365" s="117"/>
      <c r="G365" s="117"/>
      <c r="H365" s="117"/>
      <c r="I365" s="120"/>
    </row>
    <row r="366" spans="1:9" x14ac:dyDescent="0.25">
      <c r="A366" s="81">
        <f t="shared" si="33"/>
        <v>17</v>
      </c>
      <c r="B366" s="81"/>
      <c r="C366" s="81"/>
      <c r="D366" s="117"/>
      <c r="E366" s="117"/>
      <c r="F366" s="117"/>
      <c r="G366" s="117"/>
      <c r="H366" s="117"/>
      <c r="I366" s="120"/>
    </row>
    <row r="367" spans="1:9" x14ac:dyDescent="0.25">
      <c r="A367" s="81">
        <f t="shared" si="33"/>
        <v>18</v>
      </c>
      <c r="B367" s="81"/>
      <c r="C367" s="81"/>
      <c r="D367" s="117"/>
      <c r="E367" s="117"/>
      <c r="F367" s="117"/>
      <c r="G367" s="117"/>
      <c r="H367" s="117"/>
      <c r="I367" s="120"/>
    </row>
    <row r="368" spans="1:9" x14ac:dyDescent="0.25">
      <c r="A368" s="81">
        <f t="shared" si="33"/>
        <v>19</v>
      </c>
      <c r="B368" s="81"/>
      <c r="C368" s="81"/>
      <c r="D368" s="117"/>
      <c r="E368" s="117"/>
      <c r="F368" s="117"/>
      <c r="G368" s="117"/>
      <c r="H368" s="117"/>
      <c r="I368" s="120"/>
    </row>
    <row r="369" spans="1:9" x14ac:dyDescent="0.25">
      <c r="A369" s="81">
        <f t="shared" si="33"/>
        <v>20</v>
      </c>
      <c r="B369" s="81"/>
      <c r="C369" s="81"/>
      <c r="D369" s="117"/>
      <c r="E369" s="117"/>
      <c r="F369" s="117"/>
      <c r="G369" s="117"/>
      <c r="H369" s="117"/>
      <c r="I369" s="120"/>
    </row>
    <row r="370" spans="1:9" x14ac:dyDescent="0.25">
      <c r="A370" s="81">
        <f t="shared" si="33"/>
        <v>21</v>
      </c>
      <c r="B370" s="81"/>
      <c r="C370" s="81"/>
      <c r="D370" s="117"/>
      <c r="E370" s="117"/>
      <c r="F370" s="117"/>
      <c r="G370" s="117"/>
      <c r="H370" s="117"/>
      <c r="I370" s="120"/>
    </row>
    <row r="371" spans="1:9" x14ac:dyDescent="0.25">
      <c r="A371" s="81">
        <f t="shared" si="33"/>
        <v>22</v>
      </c>
      <c r="B371" s="81"/>
      <c r="C371" s="81"/>
      <c r="D371" s="117"/>
      <c r="E371" s="117"/>
      <c r="F371" s="117"/>
      <c r="G371" s="117"/>
      <c r="H371" s="117"/>
      <c r="I371" s="120"/>
    </row>
    <row r="372" spans="1:9" x14ac:dyDescent="0.25">
      <c r="A372" s="81">
        <f t="shared" si="33"/>
        <v>23</v>
      </c>
      <c r="B372" s="81"/>
      <c r="C372" s="81"/>
      <c r="D372" s="117"/>
      <c r="E372" s="117"/>
      <c r="F372" s="117"/>
      <c r="G372" s="117"/>
      <c r="H372" s="117"/>
      <c r="I372" s="120"/>
    </row>
    <row r="373" spans="1:9" x14ac:dyDescent="0.25">
      <c r="A373" s="81">
        <f t="shared" si="33"/>
        <v>24</v>
      </c>
      <c r="B373" s="81"/>
      <c r="C373" s="81"/>
      <c r="D373" s="117"/>
      <c r="E373" s="117"/>
      <c r="F373" s="117"/>
      <c r="G373" s="117"/>
      <c r="H373" s="117"/>
      <c r="I373" s="120"/>
    </row>
    <row r="374" spans="1:9" x14ac:dyDescent="0.25">
      <c r="A374" s="81">
        <f t="shared" si="33"/>
        <v>25</v>
      </c>
      <c r="B374" s="81"/>
      <c r="C374" s="81"/>
      <c r="D374" s="117"/>
      <c r="E374" s="117"/>
      <c r="F374" s="117"/>
      <c r="G374" s="117"/>
      <c r="H374" s="117"/>
      <c r="I374" s="120"/>
    </row>
    <row r="375" spans="1:9" x14ac:dyDescent="0.25">
      <c r="A375" s="81">
        <f t="shared" si="33"/>
        <v>26</v>
      </c>
      <c r="B375" s="81"/>
      <c r="C375" s="81"/>
      <c r="D375" s="117"/>
      <c r="E375" s="117"/>
      <c r="F375" s="117"/>
      <c r="G375" s="117"/>
      <c r="H375" s="117"/>
      <c r="I375" s="120"/>
    </row>
    <row r="376" spans="1:9" x14ac:dyDescent="0.25">
      <c r="A376" s="81">
        <f t="shared" si="33"/>
        <v>27</v>
      </c>
      <c r="B376" s="81"/>
      <c r="C376" s="81"/>
      <c r="D376" s="117"/>
      <c r="E376" s="117"/>
      <c r="F376" s="117"/>
      <c r="G376" s="117"/>
      <c r="H376" s="117"/>
      <c r="I376" s="120"/>
    </row>
    <row r="377" spans="1:9" x14ac:dyDescent="0.25">
      <c r="A377" s="81">
        <f t="shared" si="33"/>
        <v>28</v>
      </c>
      <c r="B377" s="81"/>
      <c r="C377" s="81"/>
      <c r="D377" s="117"/>
      <c r="E377" s="117"/>
      <c r="F377" s="117"/>
      <c r="G377" s="117"/>
      <c r="H377" s="117"/>
      <c r="I377" s="120"/>
    </row>
    <row r="378" spans="1:9" x14ac:dyDescent="0.25">
      <c r="A378" s="81">
        <f t="shared" si="33"/>
        <v>29</v>
      </c>
      <c r="B378" s="81"/>
      <c r="C378" s="81"/>
      <c r="D378" s="117"/>
      <c r="E378" s="117"/>
      <c r="F378" s="117"/>
      <c r="G378" s="117"/>
      <c r="H378" s="117"/>
      <c r="I378" s="120"/>
    </row>
    <row r="379" spans="1:9" x14ac:dyDescent="0.25">
      <c r="A379" s="81">
        <f t="shared" si="33"/>
        <v>30</v>
      </c>
      <c r="B379" s="81"/>
      <c r="C379" s="81"/>
      <c r="D379" s="117"/>
      <c r="E379" s="117"/>
      <c r="F379" s="117"/>
      <c r="G379" s="117"/>
      <c r="H379" s="117"/>
      <c r="I379" s="120"/>
    </row>
    <row r="380" spans="1:9" x14ac:dyDescent="0.25">
      <c r="A380" s="81">
        <f t="shared" si="33"/>
        <v>31</v>
      </c>
      <c r="B380" s="81"/>
      <c r="C380" s="81"/>
      <c r="D380" s="117"/>
      <c r="E380" s="117"/>
      <c r="F380" s="117"/>
      <c r="G380" s="117"/>
      <c r="H380" s="117"/>
      <c r="I380" s="120"/>
    </row>
    <row r="381" spans="1:9" x14ac:dyDescent="0.25">
      <c r="A381" s="81">
        <f t="shared" si="33"/>
        <v>32</v>
      </c>
      <c r="B381" s="81"/>
      <c r="C381" s="81"/>
      <c r="D381" s="117"/>
      <c r="E381" s="117"/>
      <c r="F381" s="117"/>
      <c r="G381" s="117"/>
      <c r="H381" s="117"/>
      <c r="I381" s="120"/>
    </row>
    <row r="382" spans="1:9" x14ac:dyDescent="0.25">
      <c r="A382" s="81">
        <f>1+A381</f>
        <v>33</v>
      </c>
      <c r="B382" s="81"/>
      <c r="C382" s="81"/>
      <c r="D382" s="117"/>
      <c r="E382" s="117"/>
      <c r="F382" s="117"/>
      <c r="G382" s="117"/>
      <c r="H382" s="117"/>
      <c r="I382" s="120"/>
    </row>
    <row r="383" spans="1:9" x14ac:dyDescent="0.25">
      <c r="A383" s="81">
        <f t="shared" si="33"/>
        <v>34</v>
      </c>
      <c r="B383" s="81"/>
      <c r="C383" s="81"/>
      <c r="D383" s="117">
        <f>SUM(D354:D382)</f>
        <v>0</v>
      </c>
      <c r="E383" s="117">
        <f t="shared" ref="E383:G383" si="34">SUM(E354:E382)</f>
        <v>0</v>
      </c>
      <c r="F383" s="117">
        <f t="shared" si="34"/>
        <v>0</v>
      </c>
      <c r="G383" s="117">
        <f t="shared" si="34"/>
        <v>0</v>
      </c>
      <c r="H383" s="117" t="e">
        <f>+H354+#REF!-F383-G383</f>
        <v>#REF!</v>
      </c>
      <c r="I383" s="120"/>
    </row>
  </sheetData>
  <sortState ref="B133:H151">
    <sortCondition ref="B133"/>
  </sortState>
  <mergeCells count="13">
    <mergeCell ref="B352:I352"/>
    <mergeCell ref="B1:I1"/>
    <mergeCell ref="B33:I33"/>
    <mergeCell ref="B65:I65"/>
    <mergeCell ref="B97:I97"/>
    <mergeCell ref="B129:I129"/>
    <mergeCell ref="B160:I160"/>
    <mergeCell ref="B192:I192"/>
    <mergeCell ref="B224:I224"/>
    <mergeCell ref="B256:I256"/>
    <mergeCell ref="B288:I288"/>
    <mergeCell ref="B320:I320"/>
    <mergeCell ref="I253:I25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topLeftCell="A14" workbookViewId="0">
      <selection activeCell="M21" sqref="M21"/>
    </sheetView>
  </sheetViews>
  <sheetFormatPr baseColWidth="10" defaultRowHeight="15" x14ac:dyDescent="0.25"/>
  <cols>
    <col min="1" max="1" width="5.42578125" style="2" customWidth="1"/>
    <col min="2" max="2" width="40.42578125" style="2" customWidth="1"/>
    <col min="3" max="3" width="11.5703125" style="2" bestFit="1" customWidth="1"/>
    <col min="4" max="4" width="13.28515625" style="2" bestFit="1" customWidth="1"/>
    <col min="5" max="9" width="11.5703125" style="2" bestFit="1" customWidth="1"/>
    <col min="10" max="10" width="10.140625" style="2" customWidth="1"/>
    <col min="11" max="11" width="10" style="2" customWidth="1"/>
    <col min="12" max="12" width="10.7109375" style="2" customWidth="1"/>
    <col min="13" max="13" width="10.140625" style="2" customWidth="1"/>
    <col min="14" max="14" width="7.7109375" style="2" customWidth="1"/>
    <col min="15" max="15" width="7.85546875" style="2" customWidth="1"/>
    <col min="16" max="16" width="7.5703125" style="2" customWidth="1"/>
    <col min="17" max="17" width="15.140625" style="2" customWidth="1"/>
    <col min="18" max="18" width="13.28515625" style="2" bestFit="1" customWidth="1"/>
    <col min="19" max="16384" width="11.42578125" style="2"/>
  </cols>
  <sheetData>
    <row r="1" spans="1:18" s="128" customFormat="1" x14ac:dyDescent="0.25">
      <c r="A1" s="297" t="s">
        <v>157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</row>
    <row r="2" spans="1:18" s="128" customFormat="1" x14ac:dyDescent="0.25">
      <c r="A2" s="122" t="s">
        <v>55</v>
      </c>
      <c r="B2" s="122" t="s">
        <v>56</v>
      </c>
      <c r="C2" s="122" t="s">
        <v>24</v>
      </c>
      <c r="D2" s="116" t="s">
        <v>158</v>
      </c>
      <c r="E2" s="129">
        <v>44562</v>
      </c>
      <c r="F2" s="122" t="s">
        <v>159</v>
      </c>
      <c r="G2" s="129">
        <v>44621</v>
      </c>
      <c r="H2" s="129">
        <v>44652</v>
      </c>
      <c r="I2" s="129">
        <v>44682</v>
      </c>
      <c r="J2" s="129">
        <v>44713</v>
      </c>
      <c r="K2" s="129">
        <v>44743</v>
      </c>
      <c r="L2" s="122" t="s">
        <v>160</v>
      </c>
      <c r="M2" s="129">
        <v>44805</v>
      </c>
      <c r="N2" s="129">
        <v>44835</v>
      </c>
      <c r="O2" s="129">
        <v>44866</v>
      </c>
      <c r="P2" s="122" t="s">
        <v>161</v>
      </c>
      <c r="Q2" s="122" t="s">
        <v>162</v>
      </c>
      <c r="R2" s="122" t="s">
        <v>163</v>
      </c>
    </row>
    <row r="3" spans="1:18" x14ac:dyDescent="0.25">
      <c r="A3" s="75">
        <v>0</v>
      </c>
      <c r="B3" s="75" t="s">
        <v>88</v>
      </c>
      <c r="C3" s="121">
        <v>0</v>
      </c>
      <c r="D3" s="123">
        <v>0</v>
      </c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17">
        <f>+E3+F3+G3+H3+I3+J3+L3+O3+P3</f>
        <v>0</v>
      </c>
      <c r="R3" s="124">
        <f>+C3+D3-Q3</f>
        <v>0</v>
      </c>
    </row>
    <row r="4" spans="1:18" x14ac:dyDescent="0.25">
      <c r="A4" s="75">
        <f>+A3+1</f>
        <v>1</v>
      </c>
      <c r="B4" s="75" t="s">
        <v>39</v>
      </c>
      <c r="C4" s="121">
        <v>0</v>
      </c>
      <c r="D4" s="123">
        <v>70000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17">
        <f t="shared" ref="Q4:Q39" si="0">+E4+F4+G4+H4+I4+J4+L4+O4+P4</f>
        <v>0</v>
      </c>
      <c r="R4" s="124">
        <f t="shared" ref="R4:R37" si="1">+C4+D4-Q4</f>
        <v>70000</v>
      </c>
    </row>
    <row r="5" spans="1:18" x14ac:dyDescent="0.25">
      <c r="A5" s="75">
        <f t="shared" ref="A5:A42" si="2">+A4+1</f>
        <v>2</v>
      </c>
      <c r="B5" s="75" t="s">
        <v>43</v>
      </c>
      <c r="C5" s="121">
        <v>70000</v>
      </c>
      <c r="D5" s="123">
        <v>70000</v>
      </c>
      <c r="E5" s="121">
        <v>140000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17">
        <f t="shared" si="0"/>
        <v>140000</v>
      </c>
      <c r="R5" s="124">
        <f t="shared" si="1"/>
        <v>0</v>
      </c>
    </row>
    <row r="6" spans="1:18" x14ac:dyDescent="0.25">
      <c r="A6" s="75">
        <f t="shared" si="2"/>
        <v>3</v>
      </c>
      <c r="B6" s="75" t="s">
        <v>89</v>
      </c>
      <c r="C6" s="121">
        <v>0</v>
      </c>
      <c r="D6" s="123">
        <v>70000</v>
      </c>
      <c r="E6" s="121"/>
      <c r="F6" s="121"/>
      <c r="G6" s="121"/>
      <c r="H6" s="121">
        <v>70000</v>
      </c>
      <c r="I6" s="121"/>
      <c r="J6" s="121"/>
      <c r="K6" s="121"/>
      <c r="L6" s="121"/>
      <c r="M6" s="121"/>
      <c r="N6" s="121"/>
      <c r="O6" s="121"/>
      <c r="P6" s="121"/>
      <c r="Q6" s="117">
        <f t="shared" si="0"/>
        <v>70000</v>
      </c>
      <c r="R6" s="124">
        <f t="shared" si="1"/>
        <v>0</v>
      </c>
    </row>
    <row r="7" spans="1:18" x14ac:dyDescent="0.25">
      <c r="A7" s="75">
        <f t="shared" si="2"/>
        <v>4</v>
      </c>
      <c r="B7" s="75" t="s">
        <v>124</v>
      </c>
      <c r="C7" s="121">
        <v>0</v>
      </c>
      <c r="D7" s="123">
        <v>70000</v>
      </c>
      <c r="E7" s="121"/>
      <c r="F7" s="121"/>
      <c r="G7" s="121"/>
      <c r="H7" s="121">
        <v>70000</v>
      </c>
      <c r="I7" s="121"/>
      <c r="J7" s="121"/>
      <c r="K7" s="121"/>
      <c r="L7" s="121"/>
      <c r="M7" s="121"/>
      <c r="N7" s="121"/>
      <c r="O7" s="121"/>
      <c r="P7" s="121"/>
      <c r="Q7" s="117">
        <f t="shared" si="0"/>
        <v>70000</v>
      </c>
      <c r="R7" s="124">
        <f t="shared" si="1"/>
        <v>0</v>
      </c>
    </row>
    <row r="8" spans="1:18" x14ac:dyDescent="0.25">
      <c r="A8" s="75">
        <f t="shared" si="2"/>
        <v>5</v>
      </c>
      <c r="B8" s="75" t="s">
        <v>91</v>
      </c>
      <c r="C8" s="121">
        <v>0</v>
      </c>
      <c r="D8" s="123">
        <v>70000</v>
      </c>
      <c r="E8" s="121"/>
      <c r="F8" s="121"/>
      <c r="G8" s="121"/>
      <c r="H8" s="121"/>
      <c r="I8" s="121">
        <v>70000</v>
      </c>
      <c r="J8" s="121"/>
      <c r="K8" s="121"/>
      <c r="L8" s="121"/>
      <c r="M8" s="121"/>
      <c r="N8" s="121"/>
      <c r="O8" s="121"/>
      <c r="P8" s="121"/>
      <c r="Q8" s="117">
        <f t="shared" si="0"/>
        <v>70000</v>
      </c>
      <c r="R8" s="124">
        <f t="shared" si="1"/>
        <v>0</v>
      </c>
    </row>
    <row r="9" spans="1:18" x14ac:dyDescent="0.25">
      <c r="A9" s="75">
        <f t="shared" si="2"/>
        <v>6</v>
      </c>
      <c r="B9" s="75" t="s">
        <v>92</v>
      </c>
      <c r="C9" s="121">
        <v>0</v>
      </c>
      <c r="D9" s="123">
        <v>70000</v>
      </c>
      <c r="E9" s="121"/>
      <c r="F9" s="121"/>
      <c r="G9" s="121">
        <v>70000</v>
      </c>
      <c r="H9" s="121"/>
      <c r="I9" s="121"/>
      <c r="J9" s="121"/>
      <c r="K9" s="121"/>
      <c r="L9" s="121"/>
      <c r="M9" s="121"/>
      <c r="N9" s="121"/>
      <c r="O9" s="121"/>
      <c r="P9" s="121"/>
      <c r="Q9" s="117">
        <f t="shared" si="0"/>
        <v>70000</v>
      </c>
      <c r="R9" s="124">
        <f t="shared" si="1"/>
        <v>0</v>
      </c>
    </row>
    <row r="10" spans="1:18" x14ac:dyDescent="0.25">
      <c r="A10" s="75">
        <f t="shared" si="2"/>
        <v>7</v>
      </c>
      <c r="B10" s="75" t="s">
        <v>93</v>
      </c>
      <c r="C10" s="121">
        <v>0</v>
      </c>
      <c r="D10" s="123">
        <v>70000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17">
        <f t="shared" si="0"/>
        <v>0</v>
      </c>
      <c r="R10" s="124">
        <f t="shared" si="1"/>
        <v>70000</v>
      </c>
    </row>
    <row r="11" spans="1:18" x14ac:dyDescent="0.25">
      <c r="A11" s="75">
        <f t="shared" si="2"/>
        <v>8</v>
      </c>
      <c r="B11" s="167" t="s">
        <v>114</v>
      </c>
      <c r="C11" s="121">
        <v>0</v>
      </c>
      <c r="D11" s="123">
        <v>0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17">
        <f t="shared" si="0"/>
        <v>0</v>
      </c>
      <c r="R11" s="124">
        <f t="shared" si="1"/>
        <v>0</v>
      </c>
    </row>
    <row r="12" spans="1:18" x14ac:dyDescent="0.25">
      <c r="A12" s="75">
        <f t="shared" si="2"/>
        <v>9</v>
      </c>
      <c r="B12" s="75" t="s">
        <v>42</v>
      </c>
      <c r="C12" s="121">
        <v>0</v>
      </c>
      <c r="D12" s="123">
        <v>70000</v>
      </c>
      <c r="E12" s="121"/>
      <c r="F12" s="121"/>
      <c r="G12" s="121"/>
      <c r="H12" s="121"/>
      <c r="I12" s="121"/>
      <c r="J12" s="121"/>
      <c r="K12" s="121">
        <v>70000</v>
      </c>
      <c r="L12" s="121"/>
      <c r="M12" s="121"/>
      <c r="N12" s="121"/>
      <c r="O12" s="121"/>
      <c r="P12" s="121"/>
      <c r="Q12" s="117">
        <f t="shared" si="0"/>
        <v>0</v>
      </c>
      <c r="R12" s="124">
        <f t="shared" si="1"/>
        <v>70000</v>
      </c>
    </row>
    <row r="13" spans="1:18" x14ac:dyDescent="0.25">
      <c r="A13" s="75">
        <f t="shared" si="2"/>
        <v>10</v>
      </c>
      <c r="B13" s="75" t="s">
        <v>37</v>
      </c>
      <c r="C13" s="121">
        <v>0</v>
      </c>
      <c r="D13" s="123">
        <v>70000</v>
      </c>
      <c r="E13" s="121"/>
      <c r="F13" s="121"/>
      <c r="G13" s="121"/>
      <c r="H13" s="121"/>
      <c r="I13" s="121">
        <v>70000</v>
      </c>
      <c r="J13" s="121"/>
      <c r="K13" s="121"/>
      <c r="L13" s="121"/>
      <c r="M13" s="121"/>
      <c r="N13" s="121"/>
      <c r="O13" s="121"/>
      <c r="P13" s="121"/>
      <c r="Q13" s="117">
        <f t="shared" si="0"/>
        <v>70000</v>
      </c>
      <c r="R13" s="124">
        <f t="shared" si="1"/>
        <v>0</v>
      </c>
    </row>
    <row r="14" spans="1:18" x14ac:dyDescent="0.25">
      <c r="A14" s="75">
        <f t="shared" si="2"/>
        <v>11</v>
      </c>
      <c r="B14" s="75" t="s">
        <v>94</v>
      </c>
      <c r="C14" s="121">
        <v>0</v>
      </c>
      <c r="D14" s="123">
        <v>70000</v>
      </c>
      <c r="E14" s="121"/>
      <c r="F14" s="121">
        <v>70000</v>
      </c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17">
        <f t="shared" si="0"/>
        <v>70000</v>
      </c>
      <c r="R14" s="124">
        <f t="shared" si="1"/>
        <v>0</v>
      </c>
    </row>
    <row r="15" spans="1:18" x14ac:dyDescent="0.25">
      <c r="A15" s="75">
        <f t="shared" si="2"/>
        <v>12</v>
      </c>
      <c r="B15" s="75" t="s">
        <v>95</v>
      </c>
      <c r="C15" s="121">
        <v>0</v>
      </c>
      <c r="D15" s="123">
        <v>70000</v>
      </c>
      <c r="E15" s="121">
        <v>70000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17">
        <f t="shared" si="0"/>
        <v>70000</v>
      </c>
      <c r="R15" s="124">
        <f t="shared" si="1"/>
        <v>0</v>
      </c>
    </row>
    <row r="16" spans="1:18" x14ac:dyDescent="0.25">
      <c r="A16" s="75">
        <f t="shared" si="2"/>
        <v>13</v>
      </c>
      <c r="B16" s="75" t="s">
        <v>96</v>
      </c>
      <c r="C16" s="121">
        <v>70000</v>
      </c>
      <c r="D16" s="123">
        <v>70000</v>
      </c>
      <c r="E16" s="121"/>
      <c r="F16" s="121"/>
      <c r="G16" s="121"/>
      <c r="H16" s="121"/>
      <c r="I16" s="121">
        <v>70000</v>
      </c>
      <c r="J16" s="121"/>
      <c r="K16" s="121"/>
      <c r="L16" s="121"/>
      <c r="M16" s="121"/>
      <c r="N16" s="121"/>
      <c r="O16" s="121"/>
      <c r="P16" s="121"/>
      <c r="Q16" s="117">
        <f t="shared" si="0"/>
        <v>70000</v>
      </c>
      <c r="R16" s="124">
        <f t="shared" si="1"/>
        <v>70000</v>
      </c>
    </row>
    <row r="17" spans="1:18" x14ac:dyDescent="0.25">
      <c r="A17" s="75">
        <f t="shared" si="2"/>
        <v>14</v>
      </c>
      <c r="B17" s="75" t="s">
        <v>97</v>
      </c>
      <c r="C17" s="121">
        <v>0</v>
      </c>
      <c r="D17" s="123">
        <v>70000</v>
      </c>
      <c r="E17" s="121"/>
      <c r="F17" s="121"/>
      <c r="G17" s="121">
        <v>70000</v>
      </c>
      <c r="H17" s="121"/>
      <c r="I17" s="121"/>
      <c r="J17" s="121"/>
      <c r="K17" s="121"/>
      <c r="L17" s="121"/>
      <c r="M17" s="121"/>
      <c r="N17" s="121"/>
      <c r="O17" s="121"/>
      <c r="P17" s="121"/>
      <c r="Q17" s="117">
        <f t="shared" si="0"/>
        <v>70000</v>
      </c>
      <c r="R17" s="124">
        <f t="shared" si="1"/>
        <v>0</v>
      </c>
    </row>
    <row r="18" spans="1:18" x14ac:dyDescent="0.25">
      <c r="A18" s="75">
        <f t="shared" si="2"/>
        <v>15</v>
      </c>
      <c r="B18" s="75" t="s">
        <v>98</v>
      </c>
      <c r="C18" s="121">
        <v>0</v>
      </c>
      <c r="D18" s="123">
        <v>70000</v>
      </c>
      <c r="E18" s="121"/>
      <c r="F18" s="121"/>
      <c r="G18" s="121"/>
      <c r="H18" s="121"/>
      <c r="I18" s="121"/>
      <c r="J18" s="121"/>
      <c r="K18" s="121"/>
      <c r="L18" s="121">
        <v>70000</v>
      </c>
      <c r="M18" s="121"/>
      <c r="N18" s="121"/>
      <c r="O18" s="121"/>
      <c r="P18" s="121"/>
      <c r="Q18" s="117">
        <f t="shared" si="0"/>
        <v>70000</v>
      </c>
      <c r="R18" s="124">
        <f t="shared" si="1"/>
        <v>0</v>
      </c>
    </row>
    <row r="19" spans="1:18" x14ac:dyDescent="0.25">
      <c r="A19" s="75">
        <f t="shared" si="2"/>
        <v>16</v>
      </c>
      <c r="B19" s="75" t="s">
        <v>99</v>
      </c>
      <c r="C19" s="121">
        <v>0</v>
      </c>
      <c r="D19" s="123">
        <v>70000</v>
      </c>
      <c r="E19" s="121"/>
      <c r="F19" s="121"/>
      <c r="G19" s="121"/>
      <c r="H19" s="121"/>
      <c r="I19" s="121"/>
      <c r="J19" s="121">
        <v>70000</v>
      </c>
      <c r="K19" s="121"/>
      <c r="L19" s="121"/>
      <c r="M19" s="121"/>
      <c r="N19" s="121"/>
      <c r="O19" s="121"/>
      <c r="P19" s="121"/>
      <c r="Q19" s="117">
        <f t="shared" si="0"/>
        <v>70000</v>
      </c>
      <c r="R19" s="124">
        <f t="shared" si="1"/>
        <v>0</v>
      </c>
    </row>
    <row r="20" spans="1:18" x14ac:dyDescent="0.25">
      <c r="A20" s="75">
        <f t="shared" si="2"/>
        <v>17</v>
      </c>
      <c r="B20" s="75" t="s">
        <v>100</v>
      </c>
      <c r="C20" s="121">
        <v>0</v>
      </c>
      <c r="D20" s="123">
        <v>70000</v>
      </c>
      <c r="E20" s="121"/>
      <c r="F20" s="121"/>
      <c r="G20" s="121"/>
      <c r="H20" s="121"/>
      <c r="I20" s="121"/>
      <c r="J20" s="121"/>
      <c r="K20" s="121"/>
      <c r="L20" s="121"/>
      <c r="M20" s="121">
        <v>70000</v>
      </c>
      <c r="N20" s="121"/>
      <c r="O20" s="121"/>
      <c r="P20" s="121"/>
      <c r="Q20" s="117">
        <f t="shared" si="0"/>
        <v>0</v>
      </c>
      <c r="R20" s="124">
        <f t="shared" si="1"/>
        <v>70000</v>
      </c>
    </row>
    <row r="21" spans="1:18" x14ac:dyDescent="0.25">
      <c r="A21" s="75">
        <f t="shared" si="2"/>
        <v>18</v>
      </c>
      <c r="B21" s="75" t="s">
        <v>38</v>
      </c>
      <c r="C21" s="121">
        <v>0</v>
      </c>
      <c r="D21" s="123">
        <v>70000</v>
      </c>
      <c r="E21" s="121"/>
      <c r="F21" s="121"/>
      <c r="G21" s="121"/>
      <c r="H21" s="121"/>
      <c r="I21" s="121">
        <v>70000</v>
      </c>
      <c r="J21" s="121"/>
      <c r="K21" s="121"/>
      <c r="L21" s="121"/>
      <c r="M21" s="121"/>
      <c r="N21" s="121"/>
      <c r="O21" s="121"/>
      <c r="P21" s="121"/>
      <c r="Q21" s="117">
        <f t="shared" si="0"/>
        <v>70000</v>
      </c>
      <c r="R21" s="124">
        <f t="shared" si="1"/>
        <v>0</v>
      </c>
    </row>
    <row r="22" spans="1:18" x14ac:dyDescent="0.25">
      <c r="A22" s="75">
        <f t="shared" si="2"/>
        <v>19</v>
      </c>
      <c r="B22" s="75" t="s">
        <v>164</v>
      </c>
      <c r="C22" s="121">
        <v>0</v>
      </c>
      <c r="D22" s="123">
        <v>70000</v>
      </c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17">
        <f t="shared" si="0"/>
        <v>0</v>
      </c>
      <c r="R22" s="124">
        <f t="shared" si="1"/>
        <v>70000</v>
      </c>
    </row>
    <row r="23" spans="1:18" x14ac:dyDescent="0.25">
      <c r="A23" s="75">
        <f t="shared" si="2"/>
        <v>20</v>
      </c>
      <c r="B23" s="75" t="s">
        <v>102</v>
      </c>
      <c r="C23" s="121">
        <v>0</v>
      </c>
      <c r="D23" s="123">
        <v>70000</v>
      </c>
      <c r="E23" s="121"/>
      <c r="F23" s="121">
        <v>70000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17">
        <f t="shared" si="0"/>
        <v>70000</v>
      </c>
      <c r="R23" s="124">
        <f t="shared" si="1"/>
        <v>0</v>
      </c>
    </row>
    <row r="24" spans="1:18" x14ac:dyDescent="0.25">
      <c r="A24" s="75">
        <f t="shared" si="2"/>
        <v>21</v>
      </c>
      <c r="B24" s="167" t="s">
        <v>109</v>
      </c>
      <c r="C24" s="121">
        <v>0</v>
      </c>
      <c r="D24" s="123">
        <v>0</v>
      </c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17">
        <f t="shared" si="0"/>
        <v>0</v>
      </c>
      <c r="R24" s="124">
        <f t="shared" si="1"/>
        <v>0</v>
      </c>
    </row>
    <row r="25" spans="1:18" x14ac:dyDescent="0.25">
      <c r="A25" s="75">
        <f t="shared" si="2"/>
        <v>22</v>
      </c>
      <c r="B25" s="75" t="s">
        <v>103</v>
      </c>
      <c r="C25" s="121">
        <v>0</v>
      </c>
      <c r="D25" s="123">
        <v>0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17">
        <f t="shared" si="0"/>
        <v>0</v>
      </c>
      <c r="R25" s="124">
        <f t="shared" si="1"/>
        <v>0</v>
      </c>
    </row>
    <row r="26" spans="1:18" x14ac:dyDescent="0.25">
      <c r="A26" s="75">
        <f t="shared" si="2"/>
        <v>23</v>
      </c>
      <c r="B26" s="75" t="s">
        <v>41</v>
      </c>
      <c r="C26" s="121">
        <v>0</v>
      </c>
      <c r="D26" s="123">
        <v>70000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17">
        <f t="shared" si="0"/>
        <v>0</v>
      </c>
      <c r="R26" s="124">
        <f t="shared" si="1"/>
        <v>70000</v>
      </c>
    </row>
    <row r="27" spans="1:18" x14ac:dyDescent="0.25">
      <c r="A27" s="75">
        <f t="shared" si="2"/>
        <v>24</v>
      </c>
      <c r="B27" s="75" t="s">
        <v>46</v>
      </c>
      <c r="C27" s="121">
        <v>0</v>
      </c>
      <c r="D27" s="123">
        <v>70000</v>
      </c>
      <c r="E27" s="121"/>
      <c r="F27" s="121"/>
      <c r="G27" s="121"/>
      <c r="H27" s="121"/>
      <c r="I27" s="121"/>
      <c r="J27" s="121"/>
      <c r="K27" s="121"/>
      <c r="L27" s="121">
        <v>70000</v>
      </c>
      <c r="M27" s="121"/>
      <c r="N27" s="121"/>
      <c r="O27" s="121"/>
      <c r="P27" s="121"/>
      <c r="Q27" s="117">
        <f t="shared" si="0"/>
        <v>70000</v>
      </c>
      <c r="R27" s="124">
        <f t="shared" si="1"/>
        <v>0</v>
      </c>
    </row>
    <row r="28" spans="1:18" x14ac:dyDescent="0.25">
      <c r="A28" s="75">
        <f t="shared" si="2"/>
        <v>25</v>
      </c>
      <c r="B28" s="167" t="s">
        <v>104</v>
      </c>
      <c r="C28" s="121">
        <v>0</v>
      </c>
      <c r="D28" s="123">
        <v>0</v>
      </c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17">
        <f t="shared" si="0"/>
        <v>0</v>
      </c>
      <c r="R28" s="124">
        <f t="shared" si="1"/>
        <v>0</v>
      </c>
    </row>
    <row r="29" spans="1:18" x14ac:dyDescent="0.25">
      <c r="A29" s="75">
        <f t="shared" si="2"/>
        <v>26</v>
      </c>
      <c r="B29" s="75" t="s">
        <v>40</v>
      </c>
      <c r="C29" s="121">
        <v>0</v>
      </c>
      <c r="D29" s="123">
        <v>70000</v>
      </c>
      <c r="E29" s="121"/>
      <c r="F29" s="121"/>
      <c r="G29" s="121">
        <v>70000</v>
      </c>
      <c r="H29" s="121"/>
      <c r="I29" s="121"/>
      <c r="J29" s="121"/>
      <c r="K29" s="121"/>
      <c r="L29" s="121"/>
      <c r="M29" s="121"/>
      <c r="N29" s="121"/>
      <c r="O29" s="121"/>
      <c r="P29" s="121"/>
      <c r="Q29" s="117">
        <f t="shared" si="0"/>
        <v>70000</v>
      </c>
      <c r="R29" s="124">
        <f t="shared" si="1"/>
        <v>0</v>
      </c>
    </row>
    <row r="30" spans="1:18" x14ac:dyDescent="0.25">
      <c r="A30" s="75">
        <f t="shared" si="2"/>
        <v>27</v>
      </c>
      <c r="B30" s="75" t="s">
        <v>105</v>
      </c>
      <c r="C30" s="121">
        <v>0</v>
      </c>
      <c r="D30" s="123">
        <v>70000</v>
      </c>
      <c r="E30" s="121"/>
      <c r="F30" s="121"/>
      <c r="G30" s="121"/>
      <c r="H30" s="121"/>
      <c r="I30" s="121"/>
      <c r="J30" s="121"/>
      <c r="K30" s="121">
        <v>70000</v>
      </c>
      <c r="L30" s="121"/>
      <c r="M30" s="121"/>
      <c r="N30" s="121"/>
      <c r="O30" s="121"/>
      <c r="P30" s="121"/>
      <c r="Q30" s="117">
        <f t="shared" si="0"/>
        <v>0</v>
      </c>
      <c r="R30" s="124">
        <f t="shared" si="1"/>
        <v>70000</v>
      </c>
    </row>
    <row r="31" spans="1:18" x14ac:dyDescent="0.25">
      <c r="A31" s="75">
        <f t="shared" si="2"/>
        <v>28</v>
      </c>
      <c r="B31" s="167" t="s">
        <v>110</v>
      </c>
      <c r="C31" s="121">
        <v>0</v>
      </c>
      <c r="D31" s="123">
        <v>0</v>
      </c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17">
        <f t="shared" si="0"/>
        <v>0</v>
      </c>
      <c r="R31" s="124">
        <f t="shared" si="1"/>
        <v>0</v>
      </c>
    </row>
    <row r="32" spans="1:18" x14ac:dyDescent="0.25">
      <c r="A32" s="75">
        <f t="shared" si="2"/>
        <v>29</v>
      </c>
      <c r="B32" s="75" t="s">
        <v>106</v>
      </c>
      <c r="C32" s="121">
        <v>0</v>
      </c>
      <c r="D32" s="123">
        <v>70000</v>
      </c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17">
        <f t="shared" si="0"/>
        <v>0</v>
      </c>
      <c r="R32" s="124">
        <f t="shared" si="1"/>
        <v>70000</v>
      </c>
    </row>
    <row r="33" spans="1:18" x14ac:dyDescent="0.25">
      <c r="A33" s="75">
        <f t="shared" si="2"/>
        <v>30</v>
      </c>
      <c r="B33" s="75" t="s">
        <v>107</v>
      </c>
      <c r="C33" s="121">
        <v>0</v>
      </c>
      <c r="D33" s="123">
        <v>70000</v>
      </c>
      <c r="E33" s="121"/>
      <c r="F33" s="121"/>
      <c r="G33" s="121"/>
      <c r="H33" s="121"/>
      <c r="I33" s="121"/>
      <c r="J33" s="121">
        <v>70000</v>
      </c>
      <c r="K33" s="121"/>
      <c r="L33" s="121"/>
      <c r="M33" s="121"/>
      <c r="N33" s="121"/>
      <c r="O33" s="121"/>
      <c r="P33" s="121"/>
      <c r="Q33" s="117">
        <f t="shared" si="0"/>
        <v>70000</v>
      </c>
      <c r="R33" s="124">
        <f t="shared" si="1"/>
        <v>0</v>
      </c>
    </row>
    <row r="34" spans="1:18" x14ac:dyDescent="0.25">
      <c r="A34" s="75">
        <f t="shared" si="2"/>
        <v>31</v>
      </c>
      <c r="B34" s="75" t="s">
        <v>111</v>
      </c>
      <c r="C34" s="121">
        <v>70000</v>
      </c>
      <c r="D34" s="123">
        <v>70000</v>
      </c>
      <c r="E34" s="121"/>
      <c r="F34" s="121"/>
      <c r="G34" s="121"/>
      <c r="H34" s="121"/>
      <c r="I34" s="121"/>
      <c r="J34" s="121"/>
      <c r="K34" s="121">
        <v>140000</v>
      </c>
      <c r="L34" s="121"/>
      <c r="M34" s="121"/>
      <c r="N34" s="121"/>
      <c r="O34" s="121"/>
      <c r="P34" s="121"/>
      <c r="Q34" s="117">
        <f t="shared" si="0"/>
        <v>0</v>
      </c>
      <c r="R34" s="124">
        <f t="shared" si="1"/>
        <v>140000</v>
      </c>
    </row>
    <row r="35" spans="1:18" x14ac:dyDescent="0.25">
      <c r="A35" s="75">
        <f t="shared" si="2"/>
        <v>32</v>
      </c>
      <c r="B35" s="75" t="s">
        <v>165</v>
      </c>
      <c r="C35" s="121">
        <v>0</v>
      </c>
      <c r="D35" s="123">
        <v>70000</v>
      </c>
      <c r="E35" s="121"/>
      <c r="F35" s="121"/>
      <c r="G35" s="121"/>
      <c r="H35" s="121"/>
      <c r="I35" s="121"/>
      <c r="J35" s="121"/>
      <c r="K35" s="121"/>
      <c r="L35" s="121"/>
      <c r="M35" s="121">
        <v>70000</v>
      </c>
      <c r="N35" s="121"/>
      <c r="O35" s="121"/>
      <c r="P35" s="121"/>
      <c r="Q35" s="117">
        <f t="shared" si="0"/>
        <v>0</v>
      </c>
      <c r="R35" s="124">
        <f t="shared" si="1"/>
        <v>70000</v>
      </c>
    </row>
    <row r="36" spans="1:18" x14ac:dyDescent="0.25">
      <c r="A36" s="75">
        <f t="shared" si="2"/>
        <v>33</v>
      </c>
      <c r="B36" s="75" t="s">
        <v>224</v>
      </c>
      <c r="C36" s="121">
        <v>170000</v>
      </c>
      <c r="D36" s="123">
        <v>70000</v>
      </c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17">
        <f t="shared" si="0"/>
        <v>0</v>
      </c>
      <c r="R36" s="124">
        <f t="shared" si="1"/>
        <v>240000</v>
      </c>
    </row>
    <row r="37" spans="1:18" x14ac:dyDescent="0.25">
      <c r="A37" s="75">
        <f t="shared" si="2"/>
        <v>34</v>
      </c>
      <c r="B37" s="75" t="s">
        <v>166</v>
      </c>
      <c r="C37" s="121">
        <v>0</v>
      </c>
      <c r="D37" s="123">
        <v>70000</v>
      </c>
      <c r="E37" s="121"/>
      <c r="F37" s="121"/>
      <c r="G37" s="121"/>
      <c r="H37" s="121"/>
      <c r="I37" s="121"/>
      <c r="J37" s="121"/>
      <c r="K37" s="121"/>
      <c r="L37" s="121"/>
      <c r="M37" s="121">
        <v>70000</v>
      </c>
      <c r="N37" s="121"/>
      <c r="O37" s="121"/>
      <c r="P37" s="121"/>
      <c r="Q37" s="117">
        <f t="shared" si="0"/>
        <v>0</v>
      </c>
      <c r="R37" s="124">
        <f t="shared" si="1"/>
        <v>70000</v>
      </c>
    </row>
    <row r="38" spans="1:18" x14ac:dyDescent="0.25">
      <c r="A38" s="75">
        <f t="shared" si="2"/>
        <v>35</v>
      </c>
      <c r="B38" s="75" t="s">
        <v>187</v>
      </c>
      <c r="C38" s="121">
        <v>0</v>
      </c>
      <c r="D38" s="123">
        <v>70000</v>
      </c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17">
        <f t="shared" si="0"/>
        <v>0</v>
      </c>
      <c r="R38" s="124"/>
    </row>
    <row r="39" spans="1:18" x14ac:dyDescent="0.25">
      <c r="A39" s="75">
        <f t="shared" si="2"/>
        <v>36</v>
      </c>
      <c r="B39" s="75"/>
      <c r="C39" s="121"/>
      <c r="D39" s="123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17">
        <f t="shared" si="0"/>
        <v>0</v>
      </c>
      <c r="R39" s="124"/>
    </row>
    <row r="40" spans="1:18" x14ac:dyDescent="0.25">
      <c r="A40" s="75">
        <f t="shared" si="2"/>
        <v>37</v>
      </c>
      <c r="B40" s="75"/>
      <c r="C40" s="121"/>
      <c r="D40" s="123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17"/>
      <c r="R40" s="124"/>
    </row>
    <row r="41" spans="1:18" x14ac:dyDescent="0.25">
      <c r="A41" s="75">
        <f t="shared" si="2"/>
        <v>38</v>
      </c>
      <c r="B41" s="75"/>
      <c r="C41" s="121"/>
      <c r="D41" s="123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17"/>
      <c r="R41" s="124"/>
    </row>
    <row r="42" spans="1:18" x14ac:dyDescent="0.25">
      <c r="A42" s="75">
        <f t="shared" si="2"/>
        <v>39</v>
      </c>
      <c r="B42" s="75"/>
      <c r="C42" s="121"/>
      <c r="D42" s="123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17"/>
      <c r="R42" s="124"/>
    </row>
    <row r="43" spans="1:18" x14ac:dyDescent="0.25">
      <c r="A43" s="298" t="s">
        <v>0</v>
      </c>
      <c r="B43" s="298"/>
      <c r="C43" s="125">
        <f>SUM(C3:C42)</f>
        <v>380000</v>
      </c>
      <c r="D43" s="125">
        <f t="shared" ref="D43:P43" si="3">SUM(D3:D42)</f>
        <v>2100000</v>
      </c>
      <c r="E43" s="125">
        <f t="shared" si="3"/>
        <v>210000</v>
      </c>
      <c r="F43" s="125">
        <f t="shared" si="3"/>
        <v>140000</v>
      </c>
      <c r="G43" s="125">
        <f t="shared" si="3"/>
        <v>210000</v>
      </c>
      <c r="H43" s="125">
        <f t="shared" si="3"/>
        <v>140000</v>
      </c>
      <c r="I43" s="125">
        <f t="shared" si="3"/>
        <v>280000</v>
      </c>
      <c r="J43" s="125">
        <f t="shared" si="3"/>
        <v>140000</v>
      </c>
      <c r="K43" s="125">
        <f t="shared" si="3"/>
        <v>280000</v>
      </c>
      <c r="L43" s="125">
        <f t="shared" si="3"/>
        <v>140000</v>
      </c>
      <c r="M43" s="125">
        <f t="shared" si="3"/>
        <v>210000</v>
      </c>
      <c r="N43" s="125">
        <f t="shared" si="3"/>
        <v>0</v>
      </c>
      <c r="O43" s="125">
        <f t="shared" si="3"/>
        <v>0</v>
      </c>
      <c r="P43" s="125">
        <f t="shared" si="3"/>
        <v>0</v>
      </c>
      <c r="Q43" s="126">
        <f t="shared" ref="Q43" si="4">SUM(Q3:Q37)</f>
        <v>1260000</v>
      </c>
      <c r="R43" s="124">
        <f>SUM(R3:R37)</f>
        <v>1150000</v>
      </c>
    </row>
    <row r="44" spans="1:18" x14ac:dyDescent="0.25">
      <c r="A44" s="298" t="s">
        <v>167</v>
      </c>
      <c r="B44" s="298"/>
      <c r="C44" s="298"/>
      <c r="D44" s="127">
        <f>+(C43+D43)-Q43</f>
        <v>1220000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</row>
  </sheetData>
  <mergeCells count="3">
    <mergeCell ref="A1:R1"/>
    <mergeCell ref="A43:B43"/>
    <mergeCell ref="A44:C4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3" sqref="E3"/>
    </sheetView>
  </sheetViews>
  <sheetFormatPr baseColWidth="10" defaultRowHeight="15" x14ac:dyDescent="0.25"/>
  <cols>
    <col min="1" max="1" width="5.42578125" customWidth="1"/>
    <col min="2" max="2" width="28.85546875" customWidth="1"/>
    <col min="3" max="6" width="18.140625" customWidth="1"/>
  </cols>
  <sheetData>
    <row r="1" spans="1:6" ht="37.5" x14ac:dyDescent="0.25">
      <c r="A1" s="173" t="s">
        <v>55</v>
      </c>
      <c r="B1" s="173" t="s">
        <v>338</v>
      </c>
      <c r="C1" s="173" t="s">
        <v>87</v>
      </c>
      <c r="D1" s="173" t="s">
        <v>339</v>
      </c>
      <c r="E1" s="173" t="s">
        <v>340</v>
      </c>
      <c r="F1" s="173" t="s">
        <v>341</v>
      </c>
    </row>
    <row r="2" spans="1:6" x14ac:dyDescent="0.25">
      <c r="A2" s="81">
        <v>1</v>
      </c>
      <c r="B2" s="81" t="s">
        <v>342</v>
      </c>
      <c r="C2" s="117">
        <v>21567166</v>
      </c>
      <c r="D2" s="117">
        <f>+'EPARGNE 2023'!AT39+640701+'EPARGNE 2023'!AU39</f>
        <v>8200467.962446182</v>
      </c>
      <c r="E2" s="117"/>
      <c r="F2" s="117">
        <f>+C2+D2-E2</f>
        <v>29767633.962446183</v>
      </c>
    </row>
    <row r="3" spans="1:6" x14ac:dyDescent="0.25">
      <c r="A3" s="81">
        <f>1+A2</f>
        <v>2</v>
      </c>
      <c r="B3" s="81" t="s">
        <v>343</v>
      </c>
      <c r="C3" s="117">
        <v>1996228</v>
      </c>
      <c r="D3" s="117">
        <f>+'BROUILLARD DE CAISSE 2023'!D610</f>
        <v>332000</v>
      </c>
      <c r="E3" s="117">
        <f>+'CAISSE 2023'!D23+'CAISSE 2023'!D37+'CAISSE 2023'!D38+'CAISSE 2023'!D39+'CAISSE 2023'!D45+'CAISSE 2023'!D53+'CAISSE 2023'!D84+'CAISSE 2023'!D113+'CAISSE 2023'!D143</f>
        <v>295500</v>
      </c>
      <c r="F3" s="117">
        <f t="shared" ref="F3:F17" si="0">+C3+D3-E3</f>
        <v>2032728</v>
      </c>
    </row>
    <row r="4" spans="1:6" x14ac:dyDescent="0.25">
      <c r="A4" s="81">
        <f t="shared" ref="A4:A17" si="1">1+A3</f>
        <v>3</v>
      </c>
      <c r="B4" s="81" t="s">
        <v>344</v>
      </c>
      <c r="C4" s="117">
        <v>1503460</v>
      </c>
      <c r="D4" s="117">
        <f>+'BROUILLARD DE CAISSE 2023'!E610</f>
        <v>329000</v>
      </c>
      <c r="E4" s="117"/>
      <c r="F4" s="117">
        <f t="shared" si="0"/>
        <v>1832460</v>
      </c>
    </row>
    <row r="5" spans="1:6" x14ac:dyDescent="0.25">
      <c r="A5" s="81">
        <f t="shared" si="1"/>
        <v>4</v>
      </c>
      <c r="B5" s="81" t="s">
        <v>225</v>
      </c>
      <c r="C5" s="117">
        <v>634762</v>
      </c>
      <c r="D5" s="117">
        <f>+'BROUILLARD DE CAISSE 2023'!R610</f>
        <v>360000</v>
      </c>
      <c r="E5" s="117">
        <f>+'CAISSE 2023'!D52+'CAISSE 2023'!D136+'CAISSE 2023'!D146</f>
        <v>760000</v>
      </c>
      <c r="F5" s="117">
        <f>+C5+D5-E5</f>
        <v>234762</v>
      </c>
    </row>
    <row r="6" spans="1:6" x14ac:dyDescent="0.25">
      <c r="A6" s="81">
        <f t="shared" si="1"/>
        <v>5</v>
      </c>
      <c r="B6" s="81" t="s">
        <v>345</v>
      </c>
      <c r="C6" s="117">
        <v>680000</v>
      </c>
      <c r="D6" s="117">
        <f>+'BROUILLARD DE CAISSE 2023'!N610</f>
        <v>75000</v>
      </c>
      <c r="E6" s="117"/>
      <c r="F6" s="117">
        <f t="shared" si="0"/>
        <v>755000</v>
      </c>
    </row>
    <row r="7" spans="1:6" x14ac:dyDescent="0.25">
      <c r="A7" s="81">
        <f t="shared" si="1"/>
        <v>6</v>
      </c>
      <c r="B7" s="81" t="s">
        <v>346</v>
      </c>
      <c r="C7" s="117">
        <v>768025</v>
      </c>
      <c r="D7" s="117">
        <f>+'BROUILLARD DE CAISSE 2023'!O610</f>
        <v>76000</v>
      </c>
      <c r="E7" s="117"/>
      <c r="F7" s="117">
        <f t="shared" si="0"/>
        <v>844025</v>
      </c>
    </row>
    <row r="8" spans="1:6" x14ac:dyDescent="0.25">
      <c r="A8" s="81">
        <f t="shared" si="1"/>
        <v>7</v>
      </c>
      <c r="B8" s="81" t="s">
        <v>347</v>
      </c>
      <c r="C8" s="117">
        <v>1320525</v>
      </c>
      <c r="D8" s="117">
        <f>+'BROUILLARD DE CAISSE 2023'!F610</f>
        <v>1320000</v>
      </c>
      <c r="E8" s="117">
        <f>+'CAISSE 2023'!D24+'CAISSE 2023'!D82+'CAISSE 2023'!D83+'CAISSE 2023'!D112+'CAISSE 2023'!D148</f>
        <v>500000</v>
      </c>
      <c r="F8" s="117">
        <f t="shared" si="0"/>
        <v>2140525</v>
      </c>
    </row>
    <row r="9" spans="1:6" x14ac:dyDescent="0.25">
      <c r="A9" s="81">
        <f t="shared" si="1"/>
        <v>8</v>
      </c>
      <c r="B9" s="81" t="s">
        <v>242</v>
      </c>
      <c r="C9" s="117">
        <v>94000</v>
      </c>
      <c r="D9" s="117">
        <f>+'BROUILLARD DE CAISSE 2023'!G610+'BROUILLARD DE CAISSE 2023'!H610</f>
        <v>9075500</v>
      </c>
      <c r="E9" s="117">
        <f>+'CAISSE 2023'!D5+'CAISSE 2023'!D6+'CAISSE 2023'!D7+'CAISSE 2023'!D8+'CAISSE 2023'!D9+'CAISSE 2023'!D10+'CAISSE 2023'!D11+'CAISSE 2023'!D40+'CAISSE 2023'!D41+'CAISSE 2023'!D42+'CAISSE 2023'!D48+'CAISSE 2023'!D49+'CAISSE 2023'!D50+'CAISSE 2023'!D74+'CAISSE 2023'!D75+'CAISSE 2023'!D76+'CAISSE 2023'!D103+'CAISSE 2023'!D104+'CAISSE 2023'!D105+'CAISSE 2023'!D106+'CAISSE 2023'!D111+'CAISSE 2023'!D134+'CAISSE 2023'!D140+'CAISSE 2023'!D141+'CAISSE 2023'!D144</f>
        <v>4418500</v>
      </c>
      <c r="F9" s="117">
        <f t="shared" si="0"/>
        <v>4751000</v>
      </c>
    </row>
    <row r="10" spans="1:6" x14ac:dyDescent="0.25">
      <c r="A10" s="81">
        <f t="shared" si="1"/>
        <v>9</v>
      </c>
      <c r="B10" s="81" t="s">
        <v>348</v>
      </c>
      <c r="C10" s="117">
        <v>0</v>
      </c>
      <c r="D10" s="117"/>
      <c r="E10" s="117"/>
      <c r="F10" s="117">
        <f t="shared" si="0"/>
        <v>0</v>
      </c>
    </row>
    <row r="11" spans="1:6" x14ac:dyDescent="0.25">
      <c r="A11" s="81">
        <f t="shared" si="1"/>
        <v>10</v>
      </c>
      <c r="B11" s="81" t="s">
        <v>178</v>
      </c>
      <c r="C11" s="117">
        <v>586000</v>
      </c>
      <c r="D11" s="117">
        <f>+'BROUILLARD DE CAISSE 2023'!Q610+1750000</f>
        <v>1260000</v>
      </c>
      <c r="E11" s="117">
        <v>1750000</v>
      </c>
      <c r="F11" s="117">
        <f t="shared" si="0"/>
        <v>96000</v>
      </c>
    </row>
    <row r="12" spans="1:6" x14ac:dyDescent="0.25">
      <c r="A12" s="81">
        <f t="shared" si="1"/>
        <v>11</v>
      </c>
      <c r="B12" s="81" t="s">
        <v>349</v>
      </c>
      <c r="C12" s="117">
        <v>3293134</v>
      </c>
      <c r="D12" s="117"/>
      <c r="E12" s="117"/>
      <c r="F12" s="117">
        <f t="shared" si="0"/>
        <v>3293134</v>
      </c>
    </row>
    <row r="13" spans="1:6" x14ac:dyDescent="0.25">
      <c r="A13" s="81">
        <f t="shared" si="1"/>
        <v>12</v>
      </c>
      <c r="B13" s="81" t="s">
        <v>289</v>
      </c>
      <c r="C13" s="117">
        <v>0</v>
      </c>
      <c r="D13" s="117" t="e">
        <f>+'BROUILLARD DE CAISSE 2023'!I610+'BROUILLARD DE CAISSE 2023'!J610</f>
        <v>#VALUE!</v>
      </c>
      <c r="E13" s="117">
        <f>+'CAISSE 2023'!D151+'CAISSE 2023'!D150+'CAISSE 2023'!D145+'CAISSE 2023'!D137+'CAISSE 2023'!D135+'CAISSE 2023'!D109+'CAISSE 2023'!D108+'CAISSE 2023'!D107+'CAISSE 2023'!D101+'CAISSE 2023'!D71+'CAISSE 2023'!D69+'CAISSE 2023'!D44+'CAISSE 2023'!D43+'CAISSE 2023'!D22+'CAISSE 2023'!D21+'CAISSE 2023'!D20+'CAISSE 2023'!D19+'CAISSE 2023'!D18</f>
        <v>8243000</v>
      </c>
      <c r="F13" s="117" t="e">
        <f t="shared" si="0"/>
        <v>#VALUE!</v>
      </c>
    </row>
    <row r="14" spans="1:6" x14ac:dyDescent="0.25">
      <c r="A14" s="81">
        <f t="shared" si="1"/>
        <v>13</v>
      </c>
      <c r="B14" s="81" t="s">
        <v>350</v>
      </c>
      <c r="C14" s="117">
        <v>-1452000</v>
      </c>
      <c r="D14" s="117">
        <f>1452000+'BROUILLARD DE CAISSE 2023'!K610+'BROUILLARD DE CAISSE 2023'!L610</f>
        <v>22212500</v>
      </c>
      <c r="E14" s="117">
        <f>+'CAISSE 2023'!D12+'CAISSE 2023'!D13+'CAISSE 2023'!D14+'CAISSE 2023'!D15+'CAISSE 2023'!D16+'CAISSE 2023'!D17+'CAISSE 2023'!D46+'CAISSE 2023'!D47+'CAISSE 2023'!D72+'CAISSE 2023'!D73+'CAISSE 2023'!D77+'CAISSE 2023'!D78+'CAISSE 2023'!D79+'CAISSE 2023'!D80+'CAISSE 2023'!D81+'CAISSE 2023'!D102+'CAISSE 2023'!D110+'CAISSE 2023'!D139+'CAISSE 2023'!D142+'CAISSE 2023'!D149</f>
        <v>12582000</v>
      </c>
      <c r="F14" s="117">
        <f t="shared" si="0"/>
        <v>8178500</v>
      </c>
    </row>
    <row r="15" spans="1:6" x14ac:dyDescent="0.25">
      <c r="A15" s="81">
        <f t="shared" si="1"/>
        <v>14</v>
      </c>
      <c r="B15" s="81" t="s">
        <v>351</v>
      </c>
      <c r="C15" s="117">
        <v>0</v>
      </c>
      <c r="D15" s="117"/>
      <c r="E15" s="117"/>
      <c r="F15" s="117">
        <f t="shared" si="0"/>
        <v>0</v>
      </c>
    </row>
    <row r="16" spans="1:6" x14ac:dyDescent="0.25">
      <c r="A16" s="81">
        <f t="shared" si="1"/>
        <v>15</v>
      </c>
      <c r="B16" s="81" t="s">
        <v>352</v>
      </c>
      <c r="C16" s="117">
        <v>82104</v>
      </c>
      <c r="D16" s="117"/>
      <c r="E16" s="117"/>
      <c r="F16" s="117">
        <f t="shared" si="0"/>
        <v>82104</v>
      </c>
    </row>
    <row r="17" spans="1:6" x14ac:dyDescent="0.25">
      <c r="A17" s="81">
        <f t="shared" si="1"/>
        <v>16</v>
      </c>
      <c r="B17" s="81"/>
      <c r="C17" s="117">
        <v>0</v>
      </c>
      <c r="D17" s="117"/>
      <c r="E17" s="117"/>
      <c r="F17" s="117">
        <f t="shared" si="0"/>
        <v>0</v>
      </c>
    </row>
    <row r="18" spans="1:6" x14ac:dyDescent="0.25">
      <c r="A18" s="81"/>
      <c r="B18" s="122" t="s">
        <v>0</v>
      </c>
      <c r="C18" s="117">
        <f>SUM(C2:C17)</f>
        <v>31073404</v>
      </c>
      <c r="D18" s="117" t="e">
        <f t="shared" ref="D18:F18" si="2">SUM(D2:D17)</f>
        <v>#VALUE!</v>
      </c>
      <c r="E18" s="117">
        <f t="shared" si="2"/>
        <v>28549000</v>
      </c>
      <c r="F18" s="117" t="e">
        <f t="shared" si="2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BROUILLARD DE CAISSE 2023</vt:lpstr>
      <vt:lpstr>TONTINE PRESENCE EXO 2023 </vt:lpstr>
      <vt:lpstr>TONTINE 75000 EXO 2023</vt:lpstr>
      <vt:lpstr>TONTINE DE 100 000 EXO 2023</vt:lpstr>
      <vt:lpstr>EPARGNE 2023</vt:lpstr>
      <vt:lpstr>MOUVEMENTS PRETS 2023</vt:lpstr>
      <vt:lpstr>CAISSE 2023</vt:lpstr>
      <vt:lpstr>FOYER 2023</vt:lpstr>
      <vt:lpstr>SYNTHESE DES FINANCES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 PRESIDENT ASELBY</dc:creator>
  <cp:lastModifiedBy>DJUOMBESSY</cp:lastModifiedBy>
  <cp:lastPrinted>2018-06-08T16:56:24Z</cp:lastPrinted>
  <dcterms:created xsi:type="dcterms:W3CDTF">2003-01-01T16:45:41Z</dcterms:created>
  <dcterms:modified xsi:type="dcterms:W3CDTF">2023-11-24T10:19:43Z</dcterms:modified>
</cp:coreProperties>
</file>