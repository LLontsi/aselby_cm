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</sheets>
</workbook>
</file>

<file path=xl/sharedStrings.xml><?xml version="1.0" encoding="utf-8"?>
<sst xmlns="http://schemas.openxmlformats.org/spreadsheetml/2006/main" count="4708" uniqueCount="206">
  <si>
    <t>MATRICULE</t>
  </si>
  <si>
    <t>NOM ET PRENOM</t>
  </si>
  <si>
    <t>ASSOCIATION</t>
  </si>
  <si>
    <t>ASELBY</t>
  </si>
  <si>
    <t>ANNEE</t>
  </si>
  <si>
    <t>TONTINE 75 000</t>
  </si>
  <si>
    <t>TONTINE 100 000</t>
  </si>
  <si>
    <t>SANCTION</t>
  </si>
  <si>
    <t>BANQUE</t>
  </si>
  <si>
    <t>ESPECES</t>
  </si>
  <si>
    <t>REMBOURSEMENT PETIT LOT T75</t>
  </si>
  <si>
    <t>REMBOURSEMENT PETIT LOT T100</t>
  </si>
  <si>
    <t>AS201602</t>
  </si>
  <si>
    <t>AS201604</t>
  </si>
  <si>
    <t>AS201654</t>
  </si>
  <si>
    <t>AS201605</t>
  </si>
  <si>
    <t>AS201608</t>
  </si>
  <si>
    <t>AS201651</t>
  </si>
  <si>
    <t>AS201609</t>
  </si>
  <si>
    <t>AS201610</t>
  </si>
  <si>
    <t>AS201611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</si>
  <si>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</si>
  <si>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</si>
  <si>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</si>
  <si>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</si>
  <si>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</si>
  <si>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</si>
  <si>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</si>
  <si>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</si>
  <si>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</si>
  <si>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</si>
  <si>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</si>
  <si>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AS201614</t>
  </si>
  <si>
    <t>AS201629</t>
  </si>
  <si>
    <t>AS201633</t>
  </si>
  <si>
    <t>AS201653</t>
  </si>
  <si>
    <t>AS201636</t>
  </si>
  <si>
    <t>AS201638</t>
  </si>
  <si>
    <t>AS201641</t>
  </si>
  <si>
    <t>AS201644</t>
  </si>
  <si>
    <t>AS201646</t>
  </si>
  <si>
    <t>AS201647</t>
  </si>
  <si>
    <t>ACHAT LOT PRINCIPAL T75</t>
  </si>
  <si>
    <t>TABLEAU DE BORD SAISIE DES DONNEES</t>
  </si>
  <si>
    <t>TOTAUX</t>
  </si>
  <si>
    <t>PENALITE VERSEMENT ESPECES</t>
  </si>
  <si>
    <t>NBRE DE LOT</t>
  </si>
  <si>
    <t>BONUS MALUS</t>
  </si>
  <si>
    <t>MODE PAIEMENT TONTINE</t>
  </si>
  <si>
    <t>MODE PAIEMENT LOT PRINCIPAL</t>
  </si>
  <si>
    <t>MUTUELLE</t>
  </si>
  <si>
    <t>INSCRIPTION</t>
  </si>
  <si>
    <t>PRÊT FONDS</t>
  </si>
  <si>
    <t>VENTE PETIT LOT T75</t>
  </si>
  <si>
    <t>VENTE PETIT LOT T100</t>
  </si>
  <si>
    <t>INTERET PETIT LOT T75</t>
  </si>
  <si>
    <t>INTERET PETIT LOT T100</t>
  </si>
  <si>
    <t>NUM CHEQUE</t>
  </si>
  <si>
    <t>MONTANT ENGAGEMENT</t>
  </si>
  <si>
    <t>EPARGNE ASSURANCE</t>
  </si>
  <si>
    <t>RECONSTITUTION FONDS</t>
  </si>
  <si>
    <t>MODE PAIEMENT PRÊT</t>
  </si>
  <si>
    <t>ACHAT LOT PRINCIPAL T100</t>
  </si>
  <si>
    <t xml:space="preserve">MODE PAIEMENT PETEIT LOT </t>
  </si>
  <si>
    <t>PENELAITE RETARD TONTINE</t>
  </si>
  <si>
    <t>PENELAITE ECHEC TONTINE</t>
  </si>
  <si>
    <t>TONTINE 35 000</t>
  </si>
  <si>
    <t>REMBOURSEMENT PETIT LOT T35</t>
  </si>
  <si>
    <t>COMPLEMENT EPARGNE</t>
  </si>
  <si>
    <t>RESTE</t>
  </si>
  <si>
    <t>REMBOURSEMENT TRANSPORT</t>
  </si>
  <si>
    <t>HITORIQUE ESPECES</t>
  </si>
  <si>
    <t>HISTORIQUE BANQUE</t>
  </si>
  <si>
    <t>HITORIQUE TONTINE</t>
  </si>
  <si>
    <t>LIBELLE</t>
  </si>
  <si>
    <t>ENTREE</t>
  </si>
  <si>
    <t>SORTIE</t>
  </si>
  <si>
    <t>SOLDE</t>
  </si>
  <si>
    <t>REPORT</t>
  </si>
  <si>
    <t>TONTINE</t>
  </si>
  <si>
    <t>MONTANT T30</t>
  </si>
  <si>
    <t>MONTANT T100</t>
  </si>
  <si>
    <t>MONTANT CHEQUE</t>
  </si>
  <si>
    <t>MONTANT T75</t>
  </si>
  <si>
    <t>MODE PAIEMENT REMBOURSEMENT PRÊT FONDS</t>
  </si>
  <si>
    <t xml:space="preserve">REMBOURSEMENT PRÊT FONDS </t>
  </si>
  <si>
    <t>RETRAIT PARTIEL FONDS</t>
  </si>
  <si>
    <t>MONTANT ESPECES</t>
  </si>
  <si>
    <t>COMPTE BANQUE</t>
  </si>
  <si>
    <t>MOIS</t>
  </si>
  <si>
    <t>NUMERO CHEQUE</t>
  </si>
  <si>
    <t xml:space="preserve">SORTIE </t>
  </si>
  <si>
    <t>REPORT A NOUVEAU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</si>
  <si>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</si>
  <si>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</si>
  <si>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</si>
  <si>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</si>
  <si>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</si>
  <si>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</si>
  <si>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</si>
  <si>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</si>
  <si>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</si>
  <si>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</si>
  <si>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</si>
  <si>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</si>
  <si>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</si>
  <si>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NUMERO PIECE</t>
  </si>
  <si>
    <t>COMPTE CAISSE</t>
  </si>
  <si>
    <t>AS201648</t>
  </si>
  <si>
    <t>CONTRIBUTION  FOYER</t>
  </si>
  <si>
    <t>ACHAT LOT PRINCIPAL T30</t>
  </si>
  <si>
    <t>VENTE  PETIT LOT T30</t>
  </si>
  <si>
    <t>INTERET  PETIT LOT T30</t>
  </si>
  <si>
    <t>TABLEAU DE BORD SAISIE DES DEPENSES</t>
  </si>
  <si>
    <t>FONDS DE ROULEMENT</t>
  </si>
  <si>
    <t>ACHAT FOURNITURE</t>
  </si>
  <si>
    <t>COMMUNICATION</t>
  </si>
  <si>
    <t>COMMISSION</t>
  </si>
  <si>
    <t>CREDIT TELEPHONE</t>
  </si>
  <si>
    <t>PRODUCTION RAPPORT</t>
  </si>
  <si>
    <t>ACHAT SOURIS ET PHOTOCOPIE</t>
  </si>
  <si>
    <t>FRAIS DE BANQUE</t>
  </si>
  <si>
    <t>CONFECTION CACHET</t>
  </si>
  <si>
    <t>FRAIS EXCEPTIONNEL</t>
  </si>
  <si>
    <t>GRATIFICATION BUREAU</t>
  </si>
  <si>
    <t>DEVELOPPEMENT LAGWEU</t>
  </si>
  <si>
    <t>COLLATION</t>
  </si>
  <si>
    <t>BOISSON</t>
  </si>
  <si>
    <t xml:space="preserve">DECES </t>
  </si>
  <si>
    <t>TRANSPORT DELEGUE</t>
  </si>
  <si>
    <t xml:space="preserve">DEUIL </t>
  </si>
  <si>
    <t>FRAIS BANCAIRE</t>
  </si>
  <si>
    <t>AUTRES AIDES</t>
  </si>
  <si>
    <t>MONTANT CHEQUE EFFECTIF</t>
  </si>
  <si>
    <t>CHINGUE</t>
  </si>
  <si>
    <t>NJIEPDIO DELUX</t>
  </si>
  <si>
    <t>TCHOUANTE FRANCOIS</t>
  </si>
  <si>
    <t>TCHOUTCHOU</t>
  </si>
  <si>
    <t>AUTRES SOTIES</t>
  </si>
  <si>
    <t>INTERET PRÊT</t>
  </si>
  <si>
    <t>NBRE MOIS</t>
  </si>
  <si>
    <t>PENALITE PRET FONDS</t>
  </si>
  <si>
    <t>S/TOTAL</t>
  </si>
  <si>
    <t>FRAIS EXEPTIONNEL</t>
  </si>
  <si>
    <t>DEUIL TCHEMNOU EMMANUEL</t>
  </si>
  <si>
    <t>TAXI BANQUE</t>
  </si>
  <si>
    <t>COMPTE</t>
  </si>
  <si>
    <t>AIDE UEEB ET CONT FEMME</t>
  </si>
  <si>
    <t>GRATIFICATION BUREAU 2021</t>
  </si>
  <si>
    <t>ACHAT LAPTOP</t>
  </si>
  <si>
    <t>DEPENSE FONDS MUTUEL</t>
  </si>
  <si>
    <t>DEPENSE COLLATION RECEPTION</t>
  </si>
  <si>
    <t>DEPENSE FRAIS EXCEPTIONNEL</t>
  </si>
  <si>
    <t>DEPENSE FONDS DE ROULEMENT</t>
  </si>
  <si>
    <t>MONTANT</t>
  </si>
  <si>
    <t>DEPENSE PENALITE VERSEMENT BANQUE</t>
  </si>
  <si>
    <t>TONTINE 40 000</t>
  </si>
  <si>
    <t>AS201643</t>
  </si>
  <si>
    <t>AS201656</t>
  </si>
  <si>
    <t>AS201657</t>
  </si>
  <si>
    <t>AS201658</t>
  </si>
  <si>
    <t>AS201601</t>
  </si>
  <si>
    <t>ACHAT LOT PRINCIPAL T40</t>
  </si>
  <si>
    <t>VENTE  PETIT LOT T40</t>
  </si>
  <si>
    <t>INTERET  PETIT LOT T40</t>
  </si>
  <si>
    <t>REMBOURSEMENT PETIT LOT T40</t>
  </si>
  <si>
    <t>MONTANT T40</t>
  </si>
  <si>
    <t>FONDS</t>
  </si>
  <si>
    <t>OBSEQUES</t>
  </si>
  <si>
    <t>REMBOURSEMENT FONDS</t>
  </si>
  <si>
    <t>FONDS DE CAISSE</t>
  </si>
  <si>
    <t>REMBOURSEMENT FOND NGONGANG</t>
  </si>
  <si>
    <t>T100</t>
  </si>
  <si>
    <t>T75</t>
  </si>
  <si>
    <t>T30</t>
  </si>
  <si>
    <t>T25</t>
  </si>
  <si>
    <t>NGONGANG</t>
  </si>
  <si>
    <t>BORDEREAU</t>
  </si>
  <si>
    <t>NUIT DES ELITES</t>
  </si>
  <si>
    <t>RETRAIT NGONGANG</t>
  </si>
  <si>
    <t>CENTRALISATION CAISSE</t>
  </si>
  <si>
    <t>TOTAL BORDEREAU</t>
  </si>
  <si>
    <t>TOTAL CENTRALISATION</t>
  </si>
  <si>
    <t>RETRAIT COMPTE FOYER</t>
  </si>
  <si>
    <t>RETRAIT CPTE FOYER</t>
  </si>
  <si>
    <t>MONTANT GRATIFICATION 2022</t>
  </si>
  <si>
    <t>OK</t>
  </si>
  <si>
    <t>GRATIFICATION BUREAU 2022</t>
  </si>
  <si>
    <t>ECHARPE</t>
  </si>
  <si>
    <t>ACHAT FOURNITURE (ECHARPE)</t>
  </si>
  <si>
    <t>CARBURANT HENGUE ET KOUAMO</t>
  </si>
  <si>
    <t>CONFECTION ECHARPE</t>
  </si>
  <si>
    <t>SOUTIEN GERBY</t>
  </si>
  <si>
    <t>AS201659</t>
  </si>
  <si>
    <t>AS201660</t>
  </si>
  <si>
    <t>AS201661</t>
  </si>
  <si>
    <t>OUVERTURE COMPTE</t>
  </si>
  <si>
    <t>GRATIFICATION BUREAU 2023</t>
  </si>
  <si>
    <t>REMBOURSEMENT PETIT LOT T50</t>
  </si>
  <si>
    <t>VENTE  PETIT LOT T50</t>
  </si>
  <si>
    <t>INTERET  PETIT LOT T50</t>
  </si>
  <si>
    <t>ACHAT LOT PRINCIPAL T50</t>
  </si>
  <si>
    <t>MONTANT T50</t>
  </si>
  <si>
    <t>FUNERAILLE JOSUE DJOSSE</t>
  </si>
  <si>
    <t>DOSSIER TECHNIQUE NGIEMENI</t>
  </si>
  <si>
    <t xml:space="preserve">MODE PAIEMENT PETIT LOT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</si>
</sst>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_€"/>
    <numFmt numFmtId="165" formatCode="#,##0;[Red]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22"/>
      <color theme="1"/>
      <name val="Britannic Bold"/>
      <family val="2"/>
    </font>
    <font>
      <sz val="22"/>
      <color theme="1"/>
      <name val="Calibri"/>
      <family val="2"/>
      <scheme val="minor"/>
    </font>
    <font>
      <sz val="14"/>
      <color theme="1"/>
      <name val="Britannic Bold"/>
      <family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  <font>
      <sz val="11"/>
      <color theme="1"/>
      <name val="Castellar"/>
      <family val="1"/>
    </font>
    <font>
      <b/>
      <sz val="14"/>
      <color rgb="FF00B05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Britannic Bold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ritannic Bold"/>
      <family val="2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1"/>
      <name val="Castellar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sz val="11"/>
      <name val="Britannic Bold"/>
      <family val="2"/>
    </font>
    <font>
      <sz val="11"/>
      <color rgb="FF00B050"/>
      <name val="Britannic Bold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0070C0"/>
      <name val="Britannic Bold"/>
      <family val="2"/>
    </font>
    <font>
      <b/>
      <sz val="14"/>
      <color rgb="FFFF0000"/>
      <name val="Calibri"/>
      <family val="2"/>
      <scheme val="minor"/>
    </font>
    <font>
      <sz val="11"/>
      <color rgb="FFFF0000"/>
      <name val="Britannic Bold"/>
      <family val="2"/>
    </font>
    <font>
      <sz val="14"/>
      <color rgb="FFFF0000"/>
      <name val="Calibri"/>
      <family val="2"/>
      <scheme val="minor"/>
    </font>
    <font>
      <sz val="11"/>
      <color rgb="FFFF0000"/>
      <name val="Castellar"/>
      <family val="1"/>
    </font>
    <font>
      <b/>
      <sz val="11"/>
      <color rgb="FF00B05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16">
    <border>
      <left/>
      <right/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3" fontId="4" fillId="0" borderId="0" xfId="0" applyNumberFormat="1" applyFont="1"/>
    <xf numFmtId="3" fontId="0" fillId="0" borderId="0" xfId="0" applyNumberFormat="1"/>
    <xf numFmtId="0" fontId="3" fillId="0" borderId="0" xfId="0" applyFont="1" applyAlignment="1">
      <alignment horizontal="center"/>
    </xf>
    <xf numFmtId="0" fontId="6" fillId="0" borderId="0" xfId="0" applyFont="1"/>
    <xf numFmtId="3" fontId="7" fillId="0" borderId="0" xfId="0" applyNumberFormat="1" applyFont="1"/>
    <xf numFmtId="164" fontId="5" fillId="0" borderId="0" xfId="0" applyNumberFormat="1" applyFont="1" applyAlignment="1">
      <alignment horizontal="center"/>
    </xf>
    <xf numFmtId="164" fontId="0" fillId="0" borderId="0" xfId="0" applyNumberFormat="1"/>
    <xf numFmtId="164" fontId="5" fillId="0" borderId="0" xfId="0" applyNumberFormat="1" applyFont="1"/>
    <xf numFmtId="164" fontId="8" fillId="0" borderId="0" xfId="0" applyNumberFormat="1" applyFont="1"/>
    <xf numFmtId="3" fontId="9" fillId="0" borderId="0" xfId="0" applyNumberFormat="1" applyFont="1"/>
    <xf numFmtId="3" fontId="10" fillId="0" borderId="0" xfId="0" applyNumberFormat="1" applyFont="1"/>
    <xf numFmtId="3" fontId="11" fillId="0" borderId="0" xfId="0" applyNumberFormat="1" applyFont="1"/>
    <xf numFmtId="164" fontId="4" fillId="0" borderId="0" xfId="0" applyNumberFormat="1" applyFont="1"/>
    <xf numFmtId="0" fontId="13" fillId="0" borderId="0" xfId="0" applyFont="1"/>
    <xf numFmtId="165" fontId="14" fillId="0" borderId="0" xfId="0" applyNumberFormat="1" applyFont="1"/>
    <xf numFmtId="3" fontId="5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3" fontId="4" fillId="0" borderId="2" xfId="0" applyNumberFormat="1" applyFont="1" applyBorder="1"/>
    <xf numFmtId="3" fontId="7" fillId="0" borderId="2" xfId="0" applyNumberFormat="1" applyFont="1" applyBorder="1"/>
    <xf numFmtId="164" fontId="5" fillId="0" borderId="2" xfId="0" applyNumberFormat="1" applyFont="1" applyBorder="1" applyAlignment="1">
      <alignment horizontal="center"/>
    </xf>
    <xf numFmtId="164" fontId="0" fillId="0" borderId="2" xfId="0" applyNumberFormat="1" applyBorder="1"/>
    <xf numFmtId="3" fontId="0" fillId="0" borderId="2" xfId="0" applyNumberFormat="1" applyBorder="1"/>
    <xf numFmtId="3" fontId="5" fillId="0" borderId="2" xfId="0" applyNumberFormat="1" applyFont="1" applyBorder="1"/>
    <xf numFmtId="3" fontId="1" fillId="0" borderId="2" xfId="0" applyNumberFormat="1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3" fontId="4" fillId="0" borderId="4" xfId="0" applyNumberFormat="1" applyFont="1" applyBorder="1"/>
    <xf numFmtId="0" fontId="16" fillId="0" borderId="0" xfId="0" applyFont="1"/>
    <xf numFmtId="0" fontId="17" fillId="0" borderId="0" xfId="0" applyFont="1"/>
    <xf numFmtId="3" fontId="17" fillId="0" borderId="0" xfId="0" applyNumberFormat="1" applyFont="1"/>
    <xf numFmtId="0" fontId="16" fillId="0" borderId="0" xfId="0" applyFont="1" applyAlignment="1">
      <alignment horizontal="center"/>
    </xf>
    <xf numFmtId="0" fontId="18" fillId="0" borderId="0" xfId="0" applyFont="1"/>
    <xf numFmtId="0" fontId="17" fillId="0" borderId="0" xfId="0" applyFont="1" applyAlignment="1">
      <alignment horizontal="center" wrapText="1"/>
    </xf>
    <xf numFmtId="164" fontId="16" fillId="0" borderId="0" xfId="0" applyNumberFormat="1" applyFont="1"/>
    <xf numFmtId="164" fontId="17" fillId="0" borderId="0" xfId="0" applyNumberFormat="1" applyFont="1"/>
    <xf numFmtId="164" fontId="19" fillId="0" borderId="0" xfId="0" applyNumberFormat="1" applyFont="1"/>
    <xf numFmtId="3" fontId="20" fillId="0" borderId="0" xfId="0" applyNumberFormat="1" applyFont="1"/>
    <xf numFmtId="3" fontId="19" fillId="0" borderId="0" xfId="0" applyNumberFormat="1" applyFont="1"/>
    <xf numFmtId="0" fontId="1" fillId="0" borderId="5" xfId="0" applyFont="1" applyBorder="1"/>
    <xf numFmtId="0" fontId="1" fillId="0" borderId="6" xfId="0" applyFont="1" applyBorder="1"/>
    <xf numFmtId="0" fontId="15" fillId="2" borderId="6" xfId="0" applyFont="1" applyFill="1" applyBorder="1"/>
    <xf numFmtId="0" fontId="1" fillId="0" borderId="7" xfId="0" applyFont="1" applyBorder="1"/>
    <xf numFmtId="0" fontId="1" fillId="0" borderId="8" xfId="0" applyFont="1" applyBorder="1"/>
    <xf numFmtId="3" fontId="5" fillId="0" borderId="9" xfId="0" applyNumberFormat="1" applyFont="1" applyBorder="1"/>
    <xf numFmtId="0" fontId="15" fillId="2" borderId="11" xfId="0" applyFont="1" applyFill="1" applyBorder="1"/>
    <xf numFmtId="3" fontId="0" fillId="0" borderId="9" xfId="0" applyNumberFormat="1" applyBorder="1"/>
    <xf numFmtId="3" fontId="4" fillId="0" borderId="12" xfId="0" applyNumberFormat="1" applyFont="1" applyBorder="1"/>
    <xf numFmtId="3" fontId="4" fillId="0" borderId="14" xfId="0" applyNumberFormat="1" applyFont="1" applyBorder="1"/>
    <xf numFmtId="3" fontId="4" fillId="0" borderId="15" xfId="0" applyNumberFormat="1" applyFont="1" applyBorder="1"/>
    <xf numFmtId="3" fontId="23" fillId="0" borderId="0" xfId="0" applyNumberFormat="1" applyFont="1"/>
    <xf numFmtId="3" fontId="24" fillId="0" borderId="0" xfId="0" applyNumberFormat="1" applyFont="1"/>
    <xf numFmtId="3" fontId="1" fillId="0" borderId="0" xfId="0" applyNumberFormat="1" applyFont="1" applyAlignment="1">
      <alignment wrapText="1"/>
    </xf>
    <xf numFmtId="0" fontId="25" fillId="0" borderId="0" xfId="0" applyFont="1"/>
    <xf numFmtId="3" fontId="26" fillId="0" borderId="0" xfId="0" applyNumberFormat="1" applyFont="1"/>
    <xf numFmtId="3" fontId="27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29" fillId="0" borderId="0" xfId="0" applyNumberFormat="1" applyFont="1"/>
    <xf numFmtId="3" fontId="28" fillId="0" borderId="0" xfId="0" applyNumberFormat="1" applyFont="1"/>
    <xf numFmtId="3" fontId="30" fillId="0" borderId="0" xfId="0" applyNumberFormat="1" applyFont="1"/>
    <xf numFmtId="0" fontId="28" fillId="0" borderId="0" xfId="0" applyFont="1"/>
    <xf numFmtId="0" fontId="31" fillId="0" borderId="0" xfId="0" applyFont="1"/>
    <xf numFmtId="164" fontId="32" fillId="0" borderId="0" xfId="0" applyNumberFormat="1" applyFont="1" applyAlignment="1">
      <alignment horizontal="center"/>
    </xf>
    <xf numFmtId="164" fontId="28" fillId="0" borderId="0" xfId="0" applyNumberFormat="1" applyFont="1"/>
    <xf numFmtId="3" fontId="31" fillId="0" borderId="0" xfId="0" applyNumberFormat="1" applyFont="1"/>
    <xf numFmtId="3" fontId="32" fillId="0" borderId="0" xfId="0" applyNumberFormat="1" applyFont="1"/>
    <xf numFmtId="164" fontId="32" fillId="0" borderId="0" xfId="0" applyNumberFormat="1" applyFont="1"/>
    <xf numFmtId="164" fontId="9" fillId="0" borderId="0" xfId="0" applyNumberFormat="1" applyFont="1"/>
    <xf numFmtId="3" fontId="33" fillId="0" borderId="0" xfId="0" applyNumberFormat="1" applyFont="1"/>
    <xf numFmtId="3" fontId="31" fillId="0" borderId="2" xfId="0" applyNumberFormat="1" applyFont="1" applyBorder="1"/>
    <xf numFmtId="3" fontId="34" fillId="0" borderId="0" xfId="0" applyNumberFormat="1" applyFont="1"/>
    <xf numFmtId="3" fontId="6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7" fillId="2" borderId="13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E30" activePane="bottomRight" state="frozen"/>
      <selection activeCell="C36" sqref="C36"/>
      <selection pane="topRight" activeCell="C36" sqref="C36"/>
      <selection pane="bottomLeft" activeCell="C36" sqref="C36"/>
      <selection pane="bottomRight" activeCell="A33" sqref="A33:XFD33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35" width="16" customWidth="1"/>
    <col min="36" max="36" width="13" customWidth="1"/>
    <col min="37" max="37" width="15.140625" customWidth="1"/>
    <col min="38" max="38" width="11.5703125" customWidth="1"/>
    <col min="39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5.8554687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5" si="0">D6+E6+F6-U6-BB6</f>
        <v>0</v>
      </c>
      <c r="D6" s="9">
        <f>VLOOKUP(A6,[18]HISTOBQUEOCT23!$A$6:$G$44,3,0)</f>
        <v>175000</v>
      </c>
      <c r="E6" s="9">
        <f>VLOOKUP(A6,[18]HISTOBQUEOCT23!$A$6:$G$39,4,0)</f>
        <v>0</v>
      </c>
      <c r="F6" s="9">
        <f>VLOOKUP(A6,[18]HISTOBQUEOCT23!$A$6:$G$39,5,0)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VLOOKUP($A6,[13]TONTOCT23!$A$6:$P$20,10,0)</f>
        <v>0</v>
      </c>
      <c r="R6" s="2">
        <f>VLOOKUP($A6,[19]TONTOCT23!$A$6:$P$21,10,0)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713500</v>
      </c>
      <c r="BA6" s="58"/>
      <c r="BB6" s="58"/>
      <c r="BC6" s="15"/>
      <c r="BD6" s="57">
        <f>IF(AZ6=0,(AZ6-BA6-BC6),(AZ6-BA6-BB6-BC6))+F6</f>
        <v>713500</v>
      </c>
      <c r="BE6" s="82">
        <v>749500</v>
      </c>
      <c r="BF6" s="29">
        <f t="shared" ref="BF6:BF36" si="6">Z6*1/100*BG6</f>
        <v>0</v>
      </c>
      <c r="BG6" s="29">
        <v>2</v>
      </c>
      <c r="BH6" s="15">
        <f>BP16</f>
        <v>13500</v>
      </c>
      <c r="BI6" s="15">
        <f>BP28</f>
        <v>600000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VLOOKUP(A7,[18]HISTOBQUEOCT23!$A$6:$G$44,3,0)</f>
        <v>40000</v>
      </c>
      <c r="E7" s="9">
        <f>VLOOKUP(A7,[18]HISTOBQUEOCT23!$A$6:$G$39,4,0)</f>
        <v>0</v>
      </c>
      <c r="F7" s="9">
        <f>VLOOKUP(A7,[18]HISTOBQUEOCT23!$A$6:$G$39,5,0)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VLOOKUP($A7,[20]TONTOCT23!$A$6:$P$35,12,0)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27500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27500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27500</v>
      </c>
      <c r="BA7" s="58">
        <v>27500</v>
      </c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VLOOKUP(A8,[18]HISTOBQUEOCT23!$A$6:$G$44,3,0)</f>
        <v>0</v>
      </c>
      <c r="E8" s="9">
        <f>VLOOKUP(A8,[18]HISTOBQUEOCT23!$A$6:$G$39,4,0)</f>
        <v>115000</v>
      </c>
      <c r="F8" s="9">
        <f>VLOOKUP(A8,[18]HISTOBQUEOCT23!$A$6:$G$39,5,0)+70000</f>
        <v>70000</v>
      </c>
      <c r="G8" s="5">
        <f>IF(H8="ESPECES",3000,0)-3000</f>
        <v>0</v>
      </c>
      <c r="H8" s="10" t="str">
        <f t="shared" si="1"/>
        <v>ESPECES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VLOOKUP($A8,[20]TONTOCT23!$A$6:$P$35,12,0)</f>
        <v>0</v>
      </c>
      <c r="Q8" s="2">
        <f>VLOOKUP($A8,[13]TONTOCT23!$A$6:$P$20,10,0)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>
        <v>2500</v>
      </c>
      <c r="AD8" s="12"/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297500</v>
      </c>
      <c r="AX8" s="15">
        <f t="shared" si="10"/>
        <v>0</v>
      </c>
      <c r="AY8" s="15">
        <f t="shared" si="11"/>
        <v>0</v>
      </c>
      <c r="AZ8" s="16">
        <f t="shared" si="12"/>
        <v>227500</v>
      </c>
      <c r="BA8" s="58"/>
      <c r="BB8" s="58">
        <v>70000</v>
      </c>
      <c r="BC8" s="15"/>
      <c r="BD8" s="57">
        <f t="shared" si="13"/>
        <v>227500</v>
      </c>
      <c r="BE8" s="82">
        <v>227500</v>
      </c>
      <c r="BF8" s="29">
        <f t="shared" si="6"/>
        <v>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VLOOKUP(A9,[18]HISTOBQUEOCT23!$A$6:$G$44,3,0)+202000</f>
        <v>342000</v>
      </c>
      <c r="E9" s="9">
        <f>VLOOKUP(A9,[18]HISTOBQUEOCT23!$A$6:$G$39,4,0)</f>
        <v>0</v>
      </c>
      <c r="F9" s="9">
        <f>VLOOKUP(A9,[18]HISTOBQUEOCT23!$A$6:$G$39,5,0)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VLOOKUP($A9,[20]TONTOCT23!$A$6:$P$35,12,0)</f>
        <v>0</v>
      </c>
      <c r="Q9" s="2"/>
      <c r="R9" s="2">
        <f>VLOOKUP($A9,[19]TONTOCT23!$A$6:$P$21,10,0)</f>
        <v>202000</v>
      </c>
      <c r="S9" s="20"/>
      <c r="T9" s="12"/>
      <c r="U9" s="17">
        <f t="shared" si="15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100000</v>
      </c>
      <c r="BF9" s="29">
        <f t="shared" si="6"/>
        <v>0</v>
      </c>
      <c r="BG9" s="29">
        <v>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VLOOKUP(A10,[18]HISTOBQUEOCT23!$A$6:$G$44,3,0)-303000</f>
        <v>40000</v>
      </c>
      <c r="E10" s="9">
        <f>VLOOKUP(A10,[18]HISTOBQUEOCT23!$A$6:$G$39,4,0)</f>
        <v>0</v>
      </c>
      <c r="F10" s="9">
        <f>VLOOKUP(A10,[18]HISTOBQUEOCT23!$A$6:$G$39,5,0)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VLOOKUP($A10,[20]TONTOCT23!$A$6:$P$35,12,0)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VLOOKUP(A11,[18]HISTOBQUEOCT23!$A$6:$G$44,3,0)</f>
        <v>115000</v>
      </c>
      <c r="E11" s="9">
        <f>VLOOKUP(A11,[18]HISTOBQUEOCT23!$A$6:$G$39,4,0)</f>
        <v>59000</v>
      </c>
      <c r="F11" s="9">
        <f>VLOOKUP(A11,[18]HISTOBQUEOCT23!$A$6:$G$39,5,0)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VLOOKUP($A11,[20]TONTOCT23!$A$6:$P$35,12,0)</f>
        <v>0</v>
      </c>
      <c r="Q11" s="2">
        <f>VLOOKUP($A11,[13]TONTOCT23!$A$6:$P$20,10,0)</f>
        <v>59000</v>
      </c>
      <c r="R11" s="2"/>
      <c r="S11" s="20"/>
      <c r="T11" s="12"/>
      <c r="U11" s="17">
        <f t="shared" si="15"/>
        <v>174000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75000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75000</v>
      </c>
      <c r="AY11" s="15">
        <f t="shared" si="11"/>
        <v>0</v>
      </c>
      <c r="AZ11" s="16">
        <f t="shared" si="12"/>
        <v>75000</v>
      </c>
      <c r="BA11" s="58">
        <v>75000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VLOOKUP(A12,[18]HISTOBQUEOCT23!$A$6:$G$44,3,0)</f>
        <v>522000</v>
      </c>
      <c r="E12" s="9">
        <f>VLOOKUP(A12,[18]HISTOBQUEOCT23!$A$6:$G$39,4,0)</f>
        <v>0</v>
      </c>
      <c r="F12" s="9">
        <f>VLOOKUP(A12,[18]HISTOBQUEOCT23!$A$6:$G$39,5,0)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VLOOKUP($A12,[20]TONTOCT23!$A$6:$P$35,12,0)</f>
        <v>0</v>
      </c>
      <c r="Q12" s="2">
        <f>VLOOKUP($A12,[13]TONTOCT23!$A$6:$P$20,10,0)</f>
        <v>0</v>
      </c>
      <c r="R12" s="2">
        <f>VLOOKUP($A12,[19]TONTOCT23!$A$6:$P$21,10,0)</f>
        <v>202000</v>
      </c>
      <c r="S12" s="20"/>
      <c r="T12" s="12"/>
      <c r="U12" s="17">
        <f t="shared" si="15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2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VLOOKUP(A13,[18]HISTOBQUEOCT23!$A$6:$G$44,3,0)</f>
        <v>40000</v>
      </c>
      <c r="E13" s="9">
        <f>VLOOKUP(A13,[18]HISTOBQUEOCT23!$A$6:$G$39,4,0)</f>
        <v>0</v>
      </c>
      <c r="F13" s="9">
        <f>VLOOKUP(A13,[18]HISTOBQUEOCT23!$A$6:$G$39,5,0)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VLOOKUP($A13,[20]TONTOCT23!$A$6:$P$35,12,0)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VLOOKUP(A14,[18]HISTOBQUEOCT23!$A$6:$G$44,3,0)</f>
        <v>40000</v>
      </c>
      <c r="E14" s="9">
        <f>VLOOKUP(A14,[18]HISTOBQUEOCT23!$A$6:$G$39,4,0)</f>
        <v>0</v>
      </c>
      <c r="F14" s="9">
        <f>VLOOKUP(A14,[18]HISTOBQUEOCT23!$A$6:$G$39,5,0)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VLOOKUP($A14,[20]TONTOCT23!$A$6:$P$35,12,0)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VLOOKUP(A15,[18]HISTOBQUEOCT23!$A$6:$G$44,3,0)</f>
        <v>115000</v>
      </c>
      <c r="E15" s="9">
        <f>VLOOKUP(A15,[18]HISTOBQUEOCT23!$A$6:$G$39,4,0)</f>
        <v>0</v>
      </c>
      <c r="F15" s="9">
        <f>VLOOKUP(A15,[18]HISTOBQUEOCT23!$A$6:$G$39,5,0)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VLOOKUP($A15,[20]TONTOCT23!$A$6:$P$35,12,0)</f>
        <v>0</v>
      </c>
      <c r="Q15" s="2">
        <f>VLOOKUP($A15,[13]TONTOCT23!$A$6:$P$20,10,0)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136500</v>
      </c>
      <c r="D16" s="9">
        <f>VLOOKUP(A16,[18]HISTOBQUEOCT23!$A$6:$G$44,3,0)</f>
        <v>452000</v>
      </c>
      <c r="E16" s="9">
        <f>VLOOKUP(A16,[18]HISTOBQUEOCT23!$A$6:$G$39,4,0)</f>
        <v>136500</v>
      </c>
      <c r="F16" s="9">
        <f>VLOOKUP(A16,[18]HISTOBQUEOCT23!$A$6:$G$39,5,0)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VLOOKUP($A16,[20]TONTOCT23!$A$6:$P$35,12,0)</f>
        <v>0</v>
      </c>
      <c r="Q16" s="2">
        <f>VLOOKUP($A16,[13]TONTOCT23!$A$6:$P$20,10,0)</f>
        <v>0</v>
      </c>
      <c r="R16" s="2">
        <f>VLOOKUP($A16,[19]TONTOCT23!$A$6:$P$21,10,0)</f>
        <v>202000</v>
      </c>
      <c r="S16" s="20"/>
      <c r="T16" s="12"/>
      <c r="U16" s="17">
        <f t="shared" si="15"/>
        <v>452000</v>
      </c>
      <c r="V16" s="12"/>
      <c r="W16" s="12"/>
      <c r="X16" s="12"/>
      <c r="Y16" s="12"/>
      <c r="Z16" s="12">
        <v>500000</v>
      </c>
      <c r="AA16" s="12" t="s">
        <v>8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700000</v>
      </c>
      <c r="BA16" s="58"/>
      <c r="BB16" s="58"/>
      <c r="BC16" s="15"/>
      <c r="BD16" s="57">
        <f t="shared" si="13"/>
        <v>700000</v>
      </c>
      <c r="BE16" s="82">
        <f>500000+200000</f>
        <v>700000</v>
      </c>
      <c r="BF16" s="29">
        <f t="shared" si="6"/>
        <v>0</v>
      </c>
      <c r="BG16" s="29"/>
      <c r="BH16" s="15"/>
      <c r="BI16" s="15"/>
      <c r="BJ16" s="15"/>
      <c r="BK16" s="15"/>
      <c r="BL16" s="61"/>
      <c r="BN16" t="s">
        <v>142</v>
      </c>
      <c r="BP16" s="6">
        <f>SUM(BP6:BP15)</f>
        <v>13500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VLOOKUP(A17,[18]HISTOBQUEOCT23!$A$6:$G$44,3,0)</f>
        <v>140000</v>
      </c>
      <c r="E17" s="9">
        <f>VLOOKUP(A17,[18]HISTOBQUEOCT23!$A$6:$G$39,4,0)</f>
        <v>0</v>
      </c>
      <c r="F17" s="9">
        <f>VLOOKUP(A17,[18]HISTOBQUEOCT23!$A$6:$G$39,5,0)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VLOOKUP($A17,[20]TONTOCT23!$A$6:$P$35,12,0)</f>
        <v>0</v>
      </c>
      <c r="Q17" s="2"/>
      <c r="R17" s="2">
        <f>VLOOKUP($A17,[19]TONTOCT23!$A$6:$P$21,10,0)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VLOOKUP(A18,[18]HISTOBQUEOCT23!$A$6:$G$44,3,0)+101000</f>
        <v>456000</v>
      </c>
      <c r="E18" s="14">
        <f>VLOOKUP(A18,[18]HISTOBQUEOCT23!$A$6:$G$39,4,0)+10000</f>
        <v>10000</v>
      </c>
      <c r="F18" s="9">
        <f>VLOOKUP(A18,[18]HISTOBQUEOCT23!$A$6:$G$39,5,0)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VLOOKUP($A18,[20]TONTOCT23!$A$6:$P$35,12,0)</f>
        <v>0</v>
      </c>
      <c r="Q18" s="2">
        <f>VLOOKUP($A18,[13]TONTOCT23!$A$6:$P$20,10,0)</f>
        <v>0</v>
      </c>
      <c r="R18" s="2">
        <f>VLOOKUP($A18,[19]TONTOCT23!$A$6:$P$21,10,0)</f>
        <v>101000</v>
      </c>
      <c r="S18" s="20">
        <v>150000</v>
      </c>
      <c r="T18" s="12" t="s">
        <v>8</v>
      </c>
      <c r="U18" s="17">
        <f t="shared" si="15"/>
        <v>466000</v>
      </c>
      <c r="V18" s="12"/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>
        <v>150000</v>
      </c>
      <c r="AK18" s="12"/>
      <c r="AL18" s="12"/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150000</v>
      </c>
      <c r="AY18" s="15">
        <f t="shared" si="11"/>
        <v>0</v>
      </c>
      <c r="AZ18" s="16">
        <f t="shared" si="12"/>
        <v>1130000</v>
      </c>
      <c r="BA18" s="58">
        <v>100000</v>
      </c>
      <c r="BB18" s="58"/>
      <c r="BC18" s="15"/>
      <c r="BD18" s="57">
        <f t="shared" si="13"/>
        <v>1030000</v>
      </c>
      <c r="BE18" s="82">
        <f>980000+150000</f>
        <v>1130000</v>
      </c>
      <c r="BF18" s="29">
        <f t="shared" si="6"/>
        <v>20000</v>
      </c>
      <c r="BG18" s="29">
        <v>2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VLOOKUP(A19,[18]HISTOBQUEOCT23!$A$6:$G$44,3,0)</f>
        <v>40000</v>
      </c>
      <c r="E19" s="9">
        <f>VLOOKUP(A19,[18]HISTOBQUEOCT23!$A$6:$G$39,4,0)</f>
        <v>0</v>
      </c>
      <c r="F19" s="9">
        <f>VLOOKUP(A19,[18]HISTOBQUEOCT23!$A$6:$G$39,5,0)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VLOOKUP($A19,[20]TONTOCT23!$A$6:$P$35,12,0)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VLOOKUP(A20,[18]HISTOBQUEOCT23!$A$6:$G$44,3,0)</f>
        <v>417000</v>
      </c>
      <c r="E20" s="9">
        <f>VLOOKUP(A20,[18]HISTOBQUEOCT23!$A$6:$G$39,4,0)</f>
        <v>0</v>
      </c>
      <c r="F20" s="9">
        <f>VLOOKUP(A20,[18]HISTOBQUEOCT23!$A$6:$G$39,5,0)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VLOOKUP($A20,[20]TONTOCT23!$A$6:$P$35,12,0)</f>
        <v>0</v>
      </c>
      <c r="Q20" s="2">
        <f>VLOOKUP($A20,[13]TONTOCT23!$A$6:$P$20,10,0)</f>
        <v>0</v>
      </c>
      <c r="R20" s="2">
        <f>VLOOKUP($A20,[19]TONTOCT23!$A$6:$P$21,10,0)</f>
        <v>202000</v>
      </c>
      <c r="S20" s="20"/>
      <c r="T20" s="12"/>
      <c r="U20" s="17">
        <f t="shared" si="15"/>
        <v>417000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30000</v>
      </c>
      <c r="AJ20" s="12">
        <v>150000</v>
      </c>
      <c r="AK20" s="12">
        <v>200000</v>
      </c>
      <c r="AL20" s="12">
        <v>500</v>
      </c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30000</v>
      </c>
      <c r="AX20" s="15">
        <f t="shared" si="10"/>
        <v>150000</v>
      </c>
      <c r="AY20" s="15">
        <f t="shared" si="11"/>
        <v>200000</v>
      </c>
      <c r="AZ20" s="16">
        <f t="shared" si="12"/>
        <v>380000</v>
      </c>
      <c r="BA20" s="58">
        <f>30000+27000</f>
        <v>57000</v>
      </c>
      <c r="BB20" s="58"/>
      <c r="BC20" s="15"/>
      <c r="BD20" s="57">
        <f t="shared" si="13"/>
        <v>323000</v>
      </c>
      <c r="BE20" s="82">
        <f>123000+200000</f>
        <v>323000</v>
      </c>
      <c r="BF20" s="29">
        <f t="shared" si="6"/>
        <v>0</v>
      </c>
      <c r="BG20" s="29">
        <v>2</v>
      </c>
      <c r="BH20" s="15"/>
      <c r="BI20" s="15"/>
      <c r="BJ20" s="15"/>
      <c r="BK20" s="15"/>
      <c r="BL20" s="61"/>
      <c r="BN20" s="62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VLOOKUP(A21,[18]HISTOBQUEOCT23!$A$6:$G$44,3,0)</f>
        <v>40000</v>
      </c>
      <c r="E21" s="9">
        <f>VLOOKUP(A21,[18]HISTOBQUEOCT23!$A$6:$G$39,4,0)</f>
        <v>0</v>
      </c>
      <c r="F21" s="9">
        <f>VLOOKUP(A21,[18]HISTOBQUEOCT23!$A$6:$G$39,5,0)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VLOOKUP($A21,[20]TONTOCT23!$A$6:$P$35,12,0)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2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VLOOKUP(A22,[18]HISTOBQUEOCT23!$A$6:$G$44,3,0)</f>
        <v>115000</v>
      </c>
      <c r="E22" s="9">
        <f>VLOOKUP(A22,[18]HISTOBQUEOCT23!$A$6:$G$39,4,0)</f>
        <v>0</v>
      </c>
      <c r="F22" s="9">
        <f>VLOOKUP(A22,[18]HISTOBQUEOCT23!$A$6:$G$39,5,0)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VLOOKUP($A22,[20]TONTOCT23!$A$6:$P$35,12,0)</f>
        <v>0</v>
      </c>
      <c r="Q22" s="2">
        <f>VLOOKUP($A22,[13]TONTOCT23!$A$6:$P$20,10,0)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VLOOKUP(A23,[18]HISTOBQUEOCT23!$A$6:$G$44,3,0)+101000</f>
        <v>351000</v>
      </c>
      <c r="E23" s="9">
        <f>VLOOKUP(A23,[18]HISTOBQUEOCT23!$A$6:$G$39,4,0)</f>
        <v>0</v>
      </c>
      <c r="F23" s="9">
        <f>VLOOKUP(A23,[18]HISTOBQUEOCT23!$A$6:$G$39,5,0)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VLOOKUP($A23,[20]TONTOCT23!$A$6:$P$35,12,0)</f>
        <v>0</v>
      </c>
      <c r="Q23" s="2"/>
      <c r="R23" s="2">
        <f>VLOOKUP($A23,[19]TONTOCT23!$A$6:$P$21,10,0)</f>
        <v>101000</v>
      </c>
      <c r="S23" s="20"/>
      <c r="T23" s="12"/>
      <c r="U23" s="17">
        <f t="shared" si="15"/>
        <v>351000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2</v>
      </c>
      <c r="BH23" s="15"/>
      <c r="BI23" s="15"/>
      <c r="BJ23" s="15"/>
      <c r="BK23" s="15"/>
      <c r="BL23" s="61"/>
      <c r="BN23" s="62"/>
      <c r="BP23" s="62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VLOOKUP(A24,[18]HISTOBQUEOCT23!$A$6:$G$44,3,0)</f>
        <v>400000</v>
      </c>
      <c r="E24" s="9">
        <f>VLOOKUP(A24,[18]HISTOBQUEOCT23!$A$6:$G$39,4,0)</f>
        <v>17000</v>
      </c>
      <c r="F24" s="9">
        <f>VLOOKUP(A24,[18]HISTOBQUEOCT23!$A$6:$G$39,5,0)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VLOOKUP($A24,[20]TONTOCT23!$A$6:$P$35,12,0)</f>
        <v>0</v>
      </c>
      <c r="Q24" s="2">
        <f>VLOOKUP($A24,[13]TONTOCT23!$A$6:$P$20,10,0)</f>
        <v>0</v>
      </c>
      <c r="R24" s="2">
        <f>VLOOKUP($A24,[19]TONTOCT23!$A$6:$P$21,10,0)</f>
        <v>202000</v>
      </c>
      <c r="S24" s="20"/>
      <c r="T24" s="12"/>
      <c r="U24" s="17">
        <f t="shared" si="15"/>
        <v>417000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>
        <v>70000</v>
      </c>
      <c r="BB24" s="58"/>
      <c r="BC24" s="15"/>
      <c r="BD24" s="57">
        <f t="shared" si="13"/>
        <v>130000</v>
      </c>
      <c r="BE24" s="82">
        <v>130000</v>
      </c>
      <c r="BF24" s="29">
        <f t="shared" si="6"/>
        <v>0</v>
      </c>
      <c r="BG24" s="29">
        <v>2</v>
      </c>
      <c r="BH24" s="15"/>
      <c r="BI24" s="15"/>
      <c r="BJ24" s="15"/>
      <c r="BK24" s="15"/>
      <c r="BL24" s="61"/>
      <c r="BN24" s="62" t="s">
        <v>148</v>
      </c>
      <c r="BO24" t="s">
        <v>143</v>
      </c>
      <c r="BP24" s="62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VLOOKUP(A25,[18]HISTOBQUEOCT23!$A$6:$G$44,3,0)</f>
        <v>500000</v>
      </c>
      <c r="E25" s="9">
        <f>VLOOKUP(A25,[18]HISTOBQUEOCT23!$A$6:$G$39,4,0)</f>
        <v>0</v>
      </c>
      <c r="F25" s="9">
        <f>VLOOKUP(A25,[18]HISTOBQUEOCT23!$A$6:$G$39,5,0)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VLOOKUP($A25,[20]TONTOCT23!$A$6:$P$35,12,0)</f>
        <v>0</v>
      </c>
      <c r="Q25" s="2">
        <f>VLOOKUP($A25,[13]TONTOCT23!$A$6:$P$20,10,0)</f>
        <v>0</v>
      </c>
      <c r="R25" s="2">
        <f>VLOOKUP($A25,[19]TONTOCT23!$A$6:$P$21,10,0)</f>
        <v>202000</v>
      </c>
      <c r="S25" s="20"/>
      <c r="T25" s="12"/>
      <c r="U25" s="17">
        <f t="shared" si="15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2</v>
      </c>
      <c r="BH25" s="15"/>
      <c r="BI25" s="15"/>
      <c r="BJ25" s="15"/>
      <c r="BK25" s="15"/>
      <c r="BL25" s="61"/>
      <c r="BN25" t="s">
        <v>178</v>
      </c>
      <c r="BO25" t="s">
        <v>143</v>
      </c>
      <c r="BP25">
        <f>500000+100000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9">
        <f t="shared" si="0"/>
        <v>101000</v>
      </c>
      <c r="D26" s="9">
        <f>VLOOKUP(A26,[18]HISTOBQUEOCT23!$A$6:$G$44,3,0)</f>
        <v>0</v>
      </c>
      <c r="E26" s="9">
        <f>VLOOKUP(A26,[18]HISTOBQUEOCT23!$A$6:$G$39,4,0)</f>
        <v>158500</v>
      </c>
      <c r="F26" s="9">
        <f>VLOOKUP(A26,[18]HISTOBQUEOCT23!$A$6:$G$39,5,0)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VLOOKUP($A26,[20]TONTOCT23!$A$6:$P$35,12,0)</f>
        <v>17500</v>
      </c>
      <c r="Q26" s="2"/>
      <c r="R26" s="2"/>
      <c r="S26" s="20"/>
      <c r="T26" s="12"/>
      <c r="U26" s="17">
        <f t="shared" si="15"/>
        <v>57500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2</v>
      </c>
      <c r="BH26" s="15"/>
      <c r="BI26" s="15"/>
      <c r="BJ26" s="15"/>
      <c r="BK26" s="15"/>
      <c r="BL26" s="61"/>
      <c r="BN26" s="62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VLOOKUP(A27,[18]HISTOBQUEOCT23!$A$6:$G$44,3,0)</f>
        <v>50000</v>
      </c>
      <c r="E27" s="9">
        <f>VLOOKUP(A27,[18]HISTOBQUEOCT23!$A$6:$G$39,4,0)</f>
        <v>0</v>
      </c>
      <c r="F27" s="9">
        <f>VLOOKUP(A27,[18]HISTOBQUEOCT23!$A$6:$G$39,5,0)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VLOOKUP($A27,[20]TONTOCT23!$A$6:$P$35,12,0)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VLOOKUP(A28,[18]HISTOBQUEOCT23!$A$6:$G$44,3,0)</f>
        <v>115000</v>
      </c>
      <c r="E28" s="9">
        <f>VLOOKUP(A28,[18]HISTOBQUEOCT23!$A$6:$G$39,4,0)</f>
        <v>0</v>
      </c>
      <c r="F28" s="9">
        <f>VLOOKUP(A28,[18]HISTOBQUEOCT23!$A$6:$G$39,5,0)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VLOOKUP($A28,[20]TONTOCT23!$A$6:$P$35,12,0)</f>
        <v>0</v>
      </c>
      <c r="Q28" s="2">
        <f>VLOOKUP($A28,[13]TONTOCT23!$A$6:$P$20,10,0)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>
        <v>500000</v>
      </c>
      <c r="BF28" s="29">
        <f t="shared" si="6"/>
        <v>0</v>
      </c>
      <c r="BG28" s="29">
        <v>2</v>
      </c>
      <c r="BH28" s="15"/>
      <c r="BI28" s="15"/>
      <c r="BJ28" s="15"/>
      <c r="BK28" s="15"/>
      <c r="BL28" s="61"/>
      <c r="BN28" t="s">
        <v>142</v>
      </c>
      <c r="BP28" s="6">
        <f>SUM(BP24:BP26)</f>
        <v>600000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VLOOKUP(A29,[18]HISTOBQUEOCT23!$A$6:$G$44,3,0)</f>
        <v>40000</v>
      </c>
      <c r="E29" s="9">
        <f>VLOOKUP(A29,[18]HISTOBQUEOCT23!$A$6:$G$39,4,0)</f>
        <v>0</v>
      </c>
      <c r="F29" s="9">
        <f>VLOOKUP(A29,[18]HISTOBQUEOCT23!$A$6:$G$39,5,0)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VLOOKUP($A29,[20]TONTOCT23!$A$6:$P$35,12,0)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VLOOKUP(A30,[18]HISTOBQUEOCT23!$A$6:$G$44,3,0)</f>
        <v>115000</v>
      </c>
      <c r="E30" s="9">
        <f>VLOOKUP(A30,[18]HISTOBQUEOCT23!$A$6:$G$39,4,0)</f>
        <v>0</v>
      </c>
      <c r="F30" s="9">
        <f>VLOOKUP(A30,[18]HISTOBQUEOCT23!$A$6:$G$39,5,0)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VLOOKUP($A30,[20]TONTOCT23!$A$6:$P$35,12,0)</f>
        <v>0</v>
      </c>
      <c r="Q30" s="2">
        <f>VLOOKUP($A30,[13]TONTOCT23!$A$6:$P$20,10,0)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2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VLOOKUP(A31,[18]HISTOBQUEOCT23!$A$6:$G$44,3,0)</f>
        <v>171000</v>
      </c>
      <c r="E31" s="9">
        <f>VLOOKUP(A31,[18]HISTOBQUEOCT23!$A$6:$G$39,4,0)</f>
        <v>0</v>
      </c>
      <c r="F31" s="9">
        <f>VLOOKUP(A31,[18]HISTOBQUEOCT23!$A$6:$G$39,5,0)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VLOOKUP($A31,[20]TONTOCT23!$A$6:$P$35,12,0)</f>
        <v>0</v>
      </c>
      <c r="Q31" s="2"/>
      <c r="R31" s="2">
        <f>VLOOKUP($A31,[19]TONTOCT23!$A$6:$P$21,10,0)</f>
        <v>31000</v>
      </c>
      <c r="S31" s="20"/>
      <c r="T31" s="12"/>
      <c r="U31" s="17">
        <f t="shared" si="15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30000</v>
      </c>
      <c r="AJ31" s="12"/>
      <c r="AK31" s="12"/>
      <c r="AL31" s="12">
        <v>500</v>
      </c>
      <c r="AM31" s="12"/>
      <c r="AN31" s="12"/>
      <c r="AO31" s="12"/>
      <c r="AP31" s="12" t="s">
        <v>8</v>
      </c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30000</v>
      </c>
      <c r="AX31" s="15">
        <f t="shared" si="10"/>
        <v>0</v>
      </c>
      <c r="AY31" s="15">
        <f t="shared" si="11"/>
        <v>0</v>
      </c>
      <c r="AZ31" s="16">
        <f t="shared" si="12"/>
        <v>30000</v>
      </c>
      <c r="BA31" s="58"/>
      <c r="BB31" s="58"/>
      <c r="BC31" s="15"/>
      <c r="BD31" s="57">
        <f t="shared" si="13"/>
        <v>30000</v>
      </c>
      <c r="BE31" s="82">
        <v>30000</v>
      </c>
      <c r="BF31" s="29">
        <f t="shared" si="6"/>
        <v>0</v>
      </c>
      <c r="BG31" s="29">
        <v>2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VLOOKUP(A32,[18]HISTOBQUEOCT23!$A$6:$G$44,3,0)</f>
        <v>115000</v>
      </c>
      <c r="E32" s="9">
        <f>VLOOKUP(A32,[18]HISTOBQUEOCT23!$A$6:$G$39,4,0)</f>
        <v>0</v>
      </c>
      <c r="F32" s="9">
        <f>VLOOKUP(A32,[18]HISTOBQUEOCT23!$A$6:$G$39,5,0)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VLOOKUP($A32,[20]TONTOCT23!$A$6:$P$35,12,0)</f>
        <v>0</v>
      </c>
      <c r="Q32" s="2">
        <f>VLOOKUP($A32,[13]TONTOCT23!$A$6:$P$20,10,0)</f>
        <v>0</v>
      </c>
      <c r="R32" s="2"/>
      <c r="S32" s="20"/>
      <c r="T32" s="12"/>
      <c r="U32" s="17">
        <f t="shared" si="15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VLOOKUP(A33,[18]HISTOBQUEOCT23!$A$6:$G$44,3,0)</f>
        <v>40000</v>
      </c>
      <c r="E33" s="9">
        <f>VLOOKUP(A33,[18]HISTOBQUEOCT23!$A$6:$G$39,4,0)</f>
        <v>0</v>
      </c>
      <c r="F33" s="9">
        <f>VLOOKUP(A33,[18]HISTOBQUEOCT23!$A$6:$G$39,5,0)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VLOOKUP($A33,[20]TONTOCT23!$A$6:$P$35,12,0)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-227500</v>
      </c>
      <c r="D34" s="9">
        <f>VLOOKUP(A34,[18]HISTOBQUEOCT23!$A$6:$G$44,3,0)</f>
        <v>80000</v>
      </c>
      <c r="E34" s="9">
        <f>VLOOKUP(A34,[18]HISTOBQUEOCT23!$A$6:$G$39,4,0)</f>
        <v>0</v>
      </c>
      <c r="F34" s="9">
        <f>VLOOKUP(A34,[18]HISTOBQUEOCT23!$A$6:$G$39,5,0)+70000</f>
        <v>70000</v>
      </c>
      <c r="G34" s="5">
        <f t="shared" si="7"/>
        <v>0</v>
      </c>
      <c r="H34" s="10" t="str">
        <f t="shared" si="1"/>
        <v>BANQUE</v>
      </c>
      <c r="I34" s="10">
        <f>40000+227500</f>
        <v>267500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VLOOKUP($A34,[20]TONTOCT23!$A$6:$P$35,12,0)</f>
        <v>0</v>
      </c>
      <c r="Q34" s="2"/>
      <c r="R34" s="2"/>
      <c r="S34" s="20"/>
      <c r="T34" s="12"/>
      <c r="U34" s="17">
        <f t="shared" si="15"/>
        <v>307500</v>
      </c>
      <c r="V34" s="12"/>
      <c r="W34" s="12"/>
      <c r="X34" s="12"/>
      <c r="Y34" s="12"/>
      <c r="Z34" s="12"/>
      <c r="AA34" s="12"/>
      <c r="AB34" s="12"/>
      <c r="AC34" s="12">
        <v>2500</v>
      </c>
      <c r="AD34" s="12"/>
      <c r="AE34" s="12"/>
      <c r="AF34" s="12" t="s">
        <v>8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282500</v>
      </c>
      <c r="AT34" s="12"/>
      <c r="AV34" s="15"/>
      <c r="AW34" s="15">
        <f t="shared" si="9"/>
        <v>297500</v>
      </c>
      <c r="AX34" s="15">
        <f t="shared" si="10"/>
        <v>0</v>
      </c>
      <c r="AY34" s="15">
        <f t="shared" si="11"/>
        <v>0</v>
      </c>
      <c r="AZ34" s="16">
        <f t="shared" si="12"/>
        <v>227500</v>
      </c>
      <c r="BA34" s="58"/>
      <c r="BB34" s="58">
        <v>70000</v>
      </c>
      <c r="BC34" s="15"/>
      <c r="BD34" s="57">
        <f>IF(AZ34=0,(AZ34-BA34-BC34),(AZ34-BA34-BB34-BC34))+F34-227500</f>
        <v>0</v>
      </c>
      <c r="BE34" s="82"/>
      <c r="BF34" s="29">
        <f t="shared" si="6"/>
        <v>0</v>
      </c>
      <c r="BG34" s="29">
        <v>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VLOOKUP(A35,[18]HISTOBQUEOCT23!$A$6:$G$44,3,0)</f>
        <v>0</v>
      </c>
      <c r="E35" s="9">
        <f>VLOOKUP(A35,[18]HISTOBQUEOCT23!$A$6:$G$39,4,0)</f>
        <v>40000</v>
      </c>
      <c r="F35" s="9">
        <f>VLOOKUP(A35,[18]HISTOBQUEOCT23!$A$6:$G$39,5,0)</f>
        <v>0</v>
      </c>
      <c r="G35" s="5">
        <f>IF(H35="ESPECES",3000,0)-3000</f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VLOOKUP($A35,[20]TONTOCT23!$A$6:$P$35,12,0)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D36+E36+F36-U36-BB36</f>
        <v>0</v>
      </c>
      <c r="D36" s="9">
        <f>VLOOKUP(A36,[18]HISTOBQUEOCT23!$A$6:$G$44,3,0)</f>
        <v>880000</v>
      </c>
      <c r="E36" s="9">
        <f>VLOOKUP(A36,[18]HISTOBQUEOCT23!$A$6:$G$39,4,0)</f>
        <v>0</v>
      </c>
      <c r="F36" s="9">
        <f>VLOOKUP(A36,[18]HISTOBQUEOCT23!$A$6:$G$39,5,0)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VLOOKUP($A36,[20]TONTOCT23!$A$6:$P$35,12,0)</f>
        <v>0</v>
      </c>
      <c r="Q36" s="2">
        <f>VLOOKUP($A36,[13]TONTOCT23!$A$6:$P$20,10,0)</f>
        <v>0</v>
      </c>
      <c r="R36" s="2">
        <f>VLOOKUP($A36,[19]TONTOCT23!$A$6:$P$21,10,0)</f>
        <v>0</v>
      </c>
      <c r="S36" s="6">
        <v>590000</v>
      </c>
      <c r="T36" s="12" t="s">
        <v>8</v>
      </c>
      <c r="U36" s="17">
        <f t="shared" si="15"/>
        <v>880000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10000</v>
      </c>
      <c r="D38" s="5">
        <f t="shared" si="16"/>
        <v>5946000</v>
      </c>
      <c r="E38" s="5">
        <f t="shared" si="16"/>
        <v>536000</v>
      </c>
      <c r="F38" s="5">
        <f t="shared" si="16"/>
        <v>140000</v>
      </c>
      <c r="G38" s="5">
        <f t="shared" si="16"/>
        <v>0</v>
      </c>
      <c r="H38" s="5">
        <f t="shared" si="16"/>
        <v>0</v>
      </c>
      <c r="I38" s="5">
        <f t="shared" si="16"/>
        <v>335500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17500</v>
      </c>
      <c r="Q38" s="5">
        <f t="shared" si="16"/>
        <v>59000</v>
      </c>
      <c r="R38" s="5">
        <f t="shared" si="16"/>
        <v>1445000</v>
      </c>
      <c r="S38" s="5">
        <f t="shared" si="16"/>
        <v>740000</v>
      </c>
      <c r="T38" s="5"/>
      <c r="U38" s="5">
        <f t="shared" ref="U38:AA38" si="17">SUM(U6:U37)</f>
        <v>6472000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1500000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147500</v>
      </c>
      <c r="AJ38" s="5">
        <f t="shared" si="18"/>
        <v>375000</v>
      </c>
      <c r="AK38" s="5">
        <f t="shared" si="18"/>
        <v>1200000</v>
      </c>
      <c r="AL38" s="5">
        <f t="shared" si="18"/>
        <v>2500</v>
      </c>
      <c r="AM38" s="5">
        <f t="shared" si="18"/>
        <v>5000</v>
      </c>
      <c r="AN38" s="5">
        <f t="shared" si="18"/>
        <v>12000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785500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742500</v>
      </c>
      <c r="AX38" s="5">
        <f t="shared" si="18"/>
        <v>375000</v>
      </c>
      <c r="AY38" s="5">
        <f t="shared" si="18"/>
        <v>1200000</v>
      </c>
      <c r="AZ38" s="5">
        <f t="shared" si="18"/>
        <v>4371000</v>
      </c>
      <c r="BA38" s="5">
        <f t="shared" si="18"/>
        <v>389500</v>
      </c>
      <c r="BB38" s="5">
        <f t="shared" si="18"/>
        <v>140000</v>
      </c>
      <c r="BC38" s="5">
        <f t="shared" si="18"/>
        <v>0</v>
      </c>
      <c r="BD38" s="5">
        <f t="shared" si="18"/>
        <v>3754000</v>
      </c>
      <c r="BE38" s="5">
        <f t="shared" si="18"/>
        <v>4290000</v>
      </c>
      <c r="BF38" s="5">
        <f>SUM(BF6:BF37)</f>
        <v>20000</v>
      </c>
      <c r="BH38" s="5">
        <f t="shared" ref="BH38:BL38" si="19">SUM(BH6:BH37)</f>
        <v>13500</v>
      </c>
      <c r="BI38" s="5">
        <f t="shared" si="19"/>
        <v>600000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713500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4371000</v>
      </c>
      <c r="D43" s="9">
        <f>SUMIFS(D8:D38,H8:H38,"BANQUE")</f>
        <v>5731000</v>
      </c>
      <c r="F43" s="9">
        <f>E38</f>
        <v>536000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8001000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A6:AA36 AF6:AF33 AF35:AF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AI18" activePane="bottomRight" state="frozen"/>
      <selection activeCell="C36" sqref="C36"/>
      <selection pane="topRight" activeCell="C36" sqref="C36"/>
      <selection pane="bottomLeft" activeCell="C36" sqref="C36"/>
      <selection pane="bottomRight" activeCell="AK20" sqref="AK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VLOOKUP(A6,[18]HISTOBQUENOV23!$A$6:$G$44,3,0)</f>
        <v>175000</v>
      </c>
      <c r="E6" s="9">
        <f>VLOOKUP(A6,[18]HISTOBQUENOV23!$A$6:$G$39,4,0)</f>
        <v>0</v>
      </c>
      <c r="F6" s="9">
        <f>VLOOKUP(A6,[18]HISTOBQUENOV23!$A$6:$G$39,5,0)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VLOOKUP($A6,[13]TONTNOV23!$A$6:$P$20,10,0)</f>
        <v>0</v>
      </c>
      <c r="R6" s="2">
        <f>VLOOKUP($A6,[19]TONTNOV23!$A$6:$P$21,10,0)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SUM(AV6:AY6)-BF6+Z6-F6+BH6+BI6+BJ6+BK6+BL6+BM6-1190000</f>
        <v>-1074000</v>
      </c>
      <c r="BA6" s="58"/>
      <c r="BB6" s="58"/>
      <c r="BC6" s="15"/>
      <c r="BD6" s="57">
        <f>IF(AZ6=0,(AZ6-BA6-BC6),(AZ6-BA6-BB6-BC6))+F6</f>
        <v>-1074000</v>
      </c>
      <c r="BE6" s="82" t="s">
        <v>186</v>
      </c>
      <c r="BF6" s="29">
        <f t="shared" ref="BF6:BF36" si="6">Z6*1/100*BG6</f>
        <v>0</v>
      </c>
      <c r="BG6" s="29">
        <v>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110000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VLOOKUP(A7,[18]HISTOBQUENOV23!$A$6:$G$44,3,0)+28000</f>
        <v>68000</v>
      </c>
      <c r="E7" s="9">
        <f>VLOOKUP(A7,[18]HISTOBQUENOV23!$A$6:$G$39,4,0)</f>
        <v>0</v>
      </c>
      <c r="F7" s="9">
        <f>VLOOKUP(A7,[18]HISTOBQUENOV23!$A$6:$G$39,5,0)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VLOOKUP($A7,[20]TONTNOV23!$A$6:$P$35,12,0)</f>
        <v>28000</v>
      </c>
      <c r="Q7" s="2"/>
      <c r="R7" s="2"/>
      <c r="S7" s="20"/>
      <c r="T7" s="12"/>
      <c r="U7" s="17">
        <f>G7+S7++R7+P7+O7+M7+I7+K7+Q7+V7+W7</f>
        <v>68000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28000</v>
      </c>
      <c r="AJ7" s="12"/>
      <c r="AK7" s="12"/>
      <c r="AL7" s="12">
        <v>1000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28000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>SUM(AV7:AY7)-BF7+Z7-F7+BH7+BI7+BJ7+BK7+BL7+BM7-28000</f>
        <v>0</v>
      </c>
      <c r="BA7" s="58"/>
      <c r="BB7" s="58"/>
      <c r="BC7" s="15"/>
      <c r="BD7" s="57">
        <f t="shared" ref="BD7:BD36" si="12">IF(AZ7=0,(AZ7-BA7-BC7),(AZ7-BA7-BB7-BC7))+F7</f>
        <v>0</v>
      </c>
      <c r="BE7" s="82"/>
      <c r="BF7" s="29">
        <f t="shared" si="6"/>
        <v>0</v>
      </c>
      <c r="BG7" s="29">
        <v>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VLOOKUP(A8,[18]HISTOBQUENOV23!$A$6:$G$44,3,0)</f>
        <v>115000</v>
      </c>
      <c r="E8" s="9">
        <f>VLOOKUP(A8,[18]HISTOBQUENOV23!$A$6:$G$39,4,0)</f>
        <v>0</v>
      </c>
      <c r="F8" s="9">
        <f>VLOOKUP(A8,[18]HISTOBQUENOV23!$A$6:$G$39,5,0)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VLOOKUP($A8,[20]TONTNOV23!$A$6:$P$35,12,0)</f>
        <v>0</v>
      </c>
      <c r="Q8" s="2">
        <f>VLOOKUP($A8,[13]TONTNOV23!$A$6:$P$20,10,0)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>
        <v>100000</v>
      </c>
      <c r="AK8" s="12"/>
      <c r="AL8" s="12"/>
      <c r="AM8" s="12">
        <v>1000</v>
      </c>
      <c r="AN8" s="12"/>
      <c r="AO8" s="12"/>
      <c r="AP8" s="12" t="s">
        <v>8</v>
      </c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100000</v>
      </c>
      <c r="AY8" s="15">
        <f t="shared" si="11"/>
        <v>0</v>
      </c>
      <c r="AZ8" s="16">
        <f t="shared" ref="AZ8:AZ36" si="15">SUM(AV8:AY8)-BF8+Z8-F8+BH8+BI8+BJ8+BK8+BL8+BM8</f>
        <v>100000</v>
      </c>
      <c r="BA8" s="58"/>
      <c r="BB8" s="58"/>
      <c r="BC8" s="15"/>
      <c r="BD8" s="57">
        <f t="shared" si="12"/>
        <v>100000</v>
      </c>
      <c r="BE8" s="82" t="s">
        <v>186</v>
      </c>
      <c r="BF8" s="29">
        <f t="shared" si="6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VLOOKUP(A9,[18]HISTOBQUENOV23!$A$6:$G$44,3,0)</f>
        <v>342000</v>
      </c>
      <c r="E9" s="9">
        <f>VLOOKUP(A9,[18]HISTOBQUENOV23!$A$6:$G$39,4,0)</f>
        <v>0</v>
      </c>
      <c r="F9" s="9">
        <f>VLOOKUP(A9,[18]HISTOBQUENOV23!$A$6:$G$39,5,0)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VLOOKUP($A9,[20]TONTNOV23!$A$6:$P$35,12,0)</f>
        <v>0</v>
      </c>
      <c r="Q9" s="2"/>
      <c r="R9" s="2">
        <f>VLOOKUP($A9,[19]TONTNOV23!$A$6:$P$21,10,0)</f>
        <v>202000</v>
      </c>
      <c r="S9" s="20"/>
      <c r="T9" s="12"/>
      <c r="U9" s="17">
        <f t="shared" si="14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5"/>
        <v>0</v>
      </c>
      <c r="BA9" s="58"/>
      <c r="BB9" s="58"/>
      <c r="BC9" s="15"/>
      <c r="BD9" s="57">
        <f t="shared" si="12"/>
        <v>0</v>
      </c>
      <c r="BE9" s="82"/>
      <c r="BF9" s="29">
        <f t="shared" si="6"/>
        <v>0</v>
      </c>
      <c r="BG9" s="29">
        <v>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VLOOKUP(A10,[18]HISTOBQUENOV23!$A$6:$G$44,3,0)</f>
        <v>40000</v>
      </c>
      <c r="E10" s="9">
        <f>VLOOKUP(A10,[18]HISTOBQUENOV23!$A$6:$G$39,4,0)</f>
        <v>0</v>
      </c>
      <c r="F10" s="9">
        <f>VLOOKUP(A10,[18]HISTOBQUENOV23!$A$6:$G$39,5,0)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VLOOKUP($A10,[20]TONTNOV23!$A$6:$P$35,12,0)</f>
        <v>0</v>
      </c>
      <c r="Q10" s="2"/>
      <c r="R10" s="2"/>
      <c r="S10" s="20"/>
      <c r="T10" s="12"/>
      <c r="U10" s="17">
        <f t="shared" si="14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5"/>
        <v>0</v>
      </c>
      <c r="BA10" s="58"/>
      <c r="BB10" s="58"/>
      <c r="BC10" s="15"/>
      <c r="BD10" s="57">
        <f t="shared" si="12"/>
        <v>0</v>
      </c>
      <c r="BE10" s="82"/>
      <c r="BF10" s="29">
        <f t="shared" si="6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VLOOKUP(A11,[18]HISTOBQUENOV23!$A$6:$G$44,3,0)+76000</f>
        <v>191000</v>
      </c>
      <c r="E11" s="9">
        <f>VLOOKUP(A11,[18]HISTOBQUENOV23!$A$6:$G$39,4,0)</f>
        <v>0</v>
      </c>
      <c r="F11" s="9">
        <f>VLOOKUP(A11,[18]HISTOBQUENOV23!$A$6:$G$39,5,0)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VLOOKUP($A11,[20]TONTNOV23!$A$6:$P$35,12,0)</f>
        <v>0</v>
      </c>
      <c r="Q11" s="2">
        <f>VLOOKUP($A11,[13]TONTNOV23!$A$6:$P$20,10,0)</f>
        <v>76000</v>
      </c>
      <c r="R11" s="2"/>
      <c r="S11" s="20"/>
      <c r="T11" s="12"/>
      <c r="U11" s="17">
        <f t="shared" si="14"/>
        <v>191000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76000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76000</v>
      </c>
      <c r="AY11" s="15">
        <f t="shared" si="11"/>
        <v>0</v>
      </c>
      <c r="AZ11" s="16">
        <f>SUM(AV11:AY11)-BF11+Z11-F11+BH11+BI11+BJ11+BK11+BL11+BM11-76000</f>
        <v>0</v>
      </c>
      <c r="BA11" s="58"/>
      <c r="BB11" s="58"/>
      <c r="BC11" s="15"/>
      <c r="BD11" s="57">
        <f t="shared" si="12"/>
        <v>0</v>
      </c>
      <c r="BE11" s="82"/>
      <c r="BF11" s="29">
        <f t="shared" si="6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VLOOKUP(A12,[18]HISTOBQUENOV23!$A$6:$G$44,3,0)+202000</f>
        <v>522000</v>
      </c>
      <c r="E12" s="9">
        <f>VLOOKUP(A12,[18]HISTOBQUENOV23!$A$6:$G$39,4,0)</f>
        <v>0</v>
      </c>
      <c r="F12" s="9">
        <f>VLOOKUP(A12,[18]HISTOBQUENOV23!$A$6:$G$39,5,0)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VLOOKUP($A12,[20]TONTNOV23!$A$6:$P$35,12,0)</f>
        <v>0</v>
      </c>
      <c r="Q12" s="2">
        <f>VLOOKUP($A12,[13]TONTNOV23!$A$6:$P$20,10,0)</f>
        <v>0</v>
      </c>
      <c r="R12" s="2">
        <f>VLOOKUP($A12,[19]TONTNOV23!$A$6:$P$21,10,0)</f>
        <v>202000</v>
      </c>
      <c r="S12" s="20"/>
      <c r="T12" s="12"/>
      <c r="U12" s="17">
        <f t="shared" si="14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>
        <v>50000</v>
      </c>
      <c r="AK12" s="12">
        <v>202000</v>
      </c>
      <c r="AL12" s="12"/>
      <c r="AM12" s="12">
        <v>1000</v>
      </c>
      <c r="AN12" s="12">
        <v>4000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50000</v>
      </c>
      <c r="AY12" s="15">
        <f t="shared" si="11"/>
        <v>202000</v>
      </c>
      <c r="AZ12" s="16">
        <f>SUM(AV12:AY12)-BF12+Z12-F12+BH12+BI12+BJ12+BK12+BL12+BM12-202000</f>
        <v>50000</v>
      </c>
      <c r="BA12" s="58">
        <v>50000</v>
      </c>
      <c r="BB12" s="58"/>
      <c r="BC12" s="15"/>
      <c r="BD12" s="57">
        <f t="shared" si="12"/>
        <v>0</v>
      </c>
      <c r="BE12" s="82"/>
      <c r="BF12" s="29">
        <f t="shared" si="6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VLOOKUP(A13,[18]HISTOBQUENOV23!$A$6:$G$44,3,0)</f>
        <v>40000</v>
      </c>
      <c r="E13" s="9">
        <f>VLOOKUP(A13,[18]HISTOBQUENOV23!$A$6:$G$39,4,0)</f>
        <v>0</v>
      </c>
      <c r="F13" s="9">
        <f>VLOOKUP(A13,[18]HISTOBQUENOV23!$A$6:$G$39,5,0)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VLOOKUP($A13,[20]TONTNOV23!$A$6:$P$35,12,0)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5"/>
        <v>0</v>
      </c>
      <c r="BA13" s="58"/>
      <c r="BB13" s="58"/>
      <c r="BC13" s="15"/>
      <c r="BD13" s="57">
        <f t="shared" si="12"/>
        <v>0</v>
      </c>
      <c r="BE13" s="82"/>
      <c r="BF13" s="29">
        <f t="shared" si="6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9">
        <f t="shared" si="0"/>
        <v>-70000</v>
      </c>
      <c r="D14" s="9">
        <f>VLOOKUP(A14,[18]HISTOBQUENOV23!$A$6:$G$44,3,0)</f>
        <v>40000</v>
      </c>
      <c r="E14" s="9">
        <f>VLOOKUP(A14,[18]HISTOBQUENOV23!$A$6:$G$39,4,0)</f>
        <v>0</v>
      </c>
      <c r="F14" s="9">
        <f>VLOOKUP(A14,[18]HISTOBQUENOV23!$A$6:$G$39,5,0)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VLOOKUP($A14,[20]TONTNOV23!$A$6:$P$35,12,0)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>
        <v>2500</v>
      </c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297500</v>
      </c>
      <c r="AX14" s="15">
        <f t="shared" si="10"/>
        <v>0</v>
      </c>
      <c r="AY14" s="15">
        <f t="shared" si="11"/>
        <v>0</v>
      </c>
      <c r="AZ14" s="16">
        <f t="shared" si="15"/>
        <v>297500</v>
      </c>
      <c r="BA14" s="58"/>
      <c r="BB14" s="58">
        <v>70000</v>
      </c>
      <c r="BC14" s="15"/>
      <c r="BD14" s="57">
        <f t="shared" si="12"/>
        <v>227500</v>
      </c>
      <c r="BE14" s="82" t="s">
        <v>186</v>
      </c>
      <c r="BF14" s="29">
        <f t="shared" si="6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VLOOKUP(A15,[18]HISTOBQUENOV23!$A$6:$G$44,3,0)</f>
        <v>115000</v>
      </c>
      <c r="E15" s="9">
        <f>VLOOKUP(A15,[18]HISTOBQUENOV23!$A$6:$G$39,4,0)</f>
        <v>0</v>
      </c>
      <c r="F15" s="9">
        <f>VLOOKUP(A15,[18]HISTOBQUENOV23!$A$6:$G$39,5,0)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VLOOKUP($A15,[20]TONTNOV23!$A$6:$P$35,12,0)</f>
        <v>0</v>
      </c>
      <c r="Q15" s="2">
        <f>VLOOKUP($A15,[13]TONTNOV23!$A$6:$P$20,10,0)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5"/>
        <v>0</v>
      </c>
      <c r="BA15" s="58"/>
      <c r="BB15" s="58"/>
      <c r="BC15" s="15"/>
      <c r="BD15" s="57">
        <f t="shared" si="12"/>
        <v>0</v>
      </c>
      <c r="BE15" s="82"/>
      <c r="BF15" s="29">
        <f t="shared" si="6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-136500</v>
      </c>
      <c r="D16" s="9">
        <f>VLOOKUP(A16,[18]HISTOBQUENOV23!$A$6:$G$44,3,0)+202000</f>
        <v>452000</v>
      </c>
      <c r="E16" s="9">
        <f>VLOOKUP(A16,[18]HISTOBQUENOV23!$A$6:$G$39,4,0)</f>
        <v>0</v>
      </c>
      <c r="F16" s="9">
        <f>VLOOKUP(A16,[18]HISTOBQUENOV23!$A$6:$G$39,5,0)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VLOOKUP($A16,[20]TONTNOV23!$A$6:$P$35,12,0)</f>
        <v>0</v>
      </c>
      <c r="Q16" s="2">
        <f>VLOOKUP($A16,[13]TONTNOV23!$A$6:$P$20,10,0)</f>
        <v>0</v>
      </c>
      <c r="R16" s="2">
        <f>VLOOKUP($A16,[19]TONTNOV23!$A$6:$P$21,10,0)</f>
        <v>202000</v>
      </c>
      <c r="S16" s="20">
        <v>136500</v>
      </c>
      <c r="T16" s="12"/>
      <c r="U16" s="17">
        <f t="shared" si="14"/>
        <v>588500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202000</v>
      </c>
      <c r="AL16" s="12"/>
      <c r="AM16" s="12"/>
      <c r="AN16" s="12">
        <v>4000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202000</v>
      </c>
      <c r="AZ16" s="16">
        <f>SUM(AV16:AY16)-BF16+Z16-F16+BH16+BI16+BJ16+BK16+BL16+BM16-202000</f>
        <v>0</v>
      </c>
      <c r="BA16" s="58"/>
      <c r="BB16" s="58"/>
      <c r="BC16" s="15"/>
      <c r="BD16" s="57">
        <f t="shared" si="12"/>
        <v>0</v>
      </c>
      <c r="BE16" s="82"/>
      <c r="BF16" s="29">
        <f t="shared" si="6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VLOOKUP(A17,[18]HISTOBQUENOV23!$A$6:$G$44,3,0)</f>
        <v>140000</v>
      </c>
      <c r="E17" s="9">
        <f>VLOOKUP(A17,[18]HISTOBQUENOV23!$A$6:$G$39,4,0)</f>
        <v>0</v>
      </c>
      <c r="F17" s="9">
        <f>VLOOKUP(A17,[18]HISTOBQUENOV23!$A$6:$G$39,5,0)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VLOOKUP($A17,[20]TONTNOV23!$A$6:$P$35,12,0)</f>
        <v>0</v>
      </c>
      <c r="Q17" s="2"/>
      <c r="R17" s="2">
        <f>VLOOKUP($A17,[19]TONTNOV23!$A$6:$P$21,10,0)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5"/>
        <v>0</v>
      </c>
      <c r="BA17" s="58"/>
      <c r="BB17" s="58"/>
      <c r="BC17" s="15"/>
      <c r="BD17" s="57">
        <f t="shared" si="12"/>
        <v>0</v>
      </c>
      <c r="BE17" s="82"/>
      <c r="BF17" s="29">
        <f t="shared" si="6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VLOOKUP(A18,[18]HISTOBQUENOV23!$A$6:$G$44,3,0)</f>
        <v>367000</v>
      </c>
      <c r="E18" s="9">
        <f>VLOOKUP(A18,[18]HISTOBQUENOV23!$A$6:$G$39,4,0)</f>
        <v>0</v>
      </c>
      <c r="F18" s="9">
        <f>VLOOKUP(A18,[18]HISTOBQUENOV23!$A$6:$G$39,5,0)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VLOOKUP($A18,[20]TONTNOV23!$A$6:$P$35,12,0)</f>
        <v>0</v>
      </c>
      <c r="Q18" s="2">
        <f>VLOOKUP($A18,[13]TONTNOV23!$A$6:$P$20,10,0)</f>
        <v>152000</v>
      </c>
      <c r="R18" s="2">
        <f>VLOOKUP($A18,[19]TONTNOV23!$A$6:$P$21,10,0)</f>
        <v>0</v>
      </c>
      <c r="S18" s="20"/>
      <c r="T18" s="12"/>
      <c r="U18" s="17">
        <f t="shared" si="14"/>
        <v>367000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>
        <v>30000</v>
      </c>
      <c r="AJ18" s="12">
        <v>200000</v>
      </c>
      <c r="AK18" s="12"/>
      <c r="AL18" s="12">
        <v>500</v>
      </c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30000</v>
      </c>
      <c r="AX18" s="15">
        <f t="shared" si="10"/>
        <v>200000</v>
      </c>
      <c r="AY18" s="15">
        <f t="shared" si="11"/>
        <v>0</v>
      </c>
      <c r="AZ18" s="16">
        <f t="shared" si="15"/>
        <v>230000</v>
      </c>
      <c r="BA18" s="58">
        <f>17500+30000</f>
        <v>47500</v>
      </c>
      <c r="BB18" s="58"/>
      <c r="BC18" s="15"/>
      <c r="BD18" s="57">
        <f t="shared" si="12"/>
        <v>182500</v>
      </c>
      <c r="BE18" s="82" t="s">
        <v>186</v>
      </c>
      <c r="BF18" s="29">
        <f t="shared" si="6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VLOOKUP(A19,[18]HISTOBQUENOV23!$A$6:$G$44,3,0)</f>
        <v>40000</v>
      </c>
      <c r="E19" s="9">
        <f>VLOOKUP(A19,[18]HISTOBQUENOV23!$A$6:$G$39,4,0)</f>
        <v>0</v>
      </c>
      <c r="F19" s="9">
        <f>VLOOKUP(A19,[18]HISTOBQUENOV23!$A$6:$G$39,5,0)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VLOOKUP($A19,[20]TONTNOV23!$A$6:$P$35,12,0)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5"/>
        <v>0</v>
      </c>
      <c r="BA19" s="58"/>
      <c r="BB19" s="58"/>
      <c r="BC19" s="15"/>
      <c r="BD19" s="57">
        <f t="shared" si="12"/>
        <v>0</v>
      </c>
      <c r="BE19" s="82"/>
      <c r="BF19" s="29">
        <f t="shared" si="6"/>
        <v>0</v>
      </c>
      <c r="BG19" s="29">
        <v>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VLOOKUP(A20,[18]HISTOBQUENOV23!$A$6:$G$44,3,0)+354000</f>
        <v>599500</v>
      </c>
      <c r="E20" s="9">
        <f>VLOOKUP(A20,[18]HISTOBQUENOV23!$A$6:$G$39,4,0)</f>
        <v>0</v>
      </c>
      <c r="F20" s="9">
        <f>VLOOKUP(A20,[18]HISTOBQUENOV23!$A$6:$G$39,5,0)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VLOOKUP($A20,[20]TONTNOV23!$A$6:$P$35,12,0)</f>
        <v>30500</v>
      </c>
      <c r="Q20" s="2">
        <f>VLOOKUP($A20,[13]TONTNOV23!$A$6:$P$20,10,0)</f>
        <v>152000</v>
      </c>
      <c r="R20" s="2">
        <f>VLOOKUP($A20,[19]TONTNOV23!$A$6:$P$21,10,0)</f>
        <v>202000</v>
      </c>
      <c r="S20" s="20"/>
      <c r="T20" s="12"/>
      <c r="U20" s="17">
        <f t="shared" si="14"/>
        <v>599500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f>152000+51000+100000</f>
        <v>303000</v>
      </c>
      <c r="AK20" s="12">
        <f>202000+100000</f>
        <v>302000</v>
      </c>
      <c r="AL20" s="12"/>
      <c r="AM20" s="12">
        <f>1000+1000+2000</f>
        <v>4000</v>
      </c>
      <c r="AN20" s="12">
        <v>5000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303000</v>
      </c>
      <c r="AY20" s="15">
        <f t="shared" si="11"/>
        <v>302000</v>
      </c>
      <c r="AZ20" s="16">
        <f>SUM(AV20:AY20)-BF20+Z20-F20+BH20+BI20+BJ20+BK20+BL20+BM20-354000-151000</f>
        <v>100000</v>
      </c>
      <c r="BA20" s="58"/>
      <c r="BB20" s="58"/>
      <c r="BC20" s="15"/>
      <c r="BD20" s="57">
        <f t="shared" si="12"/>
        <v>100000</v>
      </c>
      <c r="BE20" s="82"/>
      <c r="BF20" s="29">
        <f t="shared" si="6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VLOOKUP(A21,[18]HISTOBQUENOV23!$A$6:$G$44,3,0)</f>
        <v>40000</v>
      </c>
      <c r="E21" s="9">
        <f>VLOOKUP(A21,[18]HISTOBQUENOV23!$A$6:$G$39,4,0)</f>
        <v>0</v>
      </c>
      <c r="F21" s="9">
        <f>VLOOKUP(A21,[18]HISTOBQUENOV23!$A$6:$G$39,5,0)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VLOOKUP($A21,[20]TONTNOV23!$A$6:$P$35,12,0)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5"/>
        <v>0</v>
      </c>
      <c r="BA21" s="58"/>
      <c r="BB21" s="58"/>
      <c r="BC21" s="15"/>
      <c r="BD21" s="57">
        <f t="shared" si="12"/>
        <v>0</v>
      </c>
      <c r="BE21" s="82"/>
      <c r="BF21" s="29">
        <f t="shared" si="6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VLOOKUP(A22,[18]HISTOBQUENOV23!$A$6:$G$44,3,0)</f>
        <v>115000</v>
      </c>
      <c r="E22" s="9">
        <f>VLOOKUP(A22,[18]HISTOBQUENOV23!$A$6:$G$39,4,0)</f>
        <v>0</v>
      </c>
      <c r="F22" s="9">
        <f>VLOOKUP(A22,[18]HISTOBQUENOV23!$A$6:$G$39,5,0)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VLOOKUP($A22,[20]TONTNOV23!$A$6:$P$35,12,0)</f>
        <v>0</v>
      </c>
      <c r="Q22" s="2">
        <f>VLOOKUP($A22,[13]TONTNOV23!$A$6:$P$20,10,0)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5"/>
        <v>0</v>
      </c>
      <c r="BA22" s="58"/>
      <c r="BB22" s="58"/>
      <c r="BC22" s="15"/>
      <c r="BD22" s="57">
        <f t="shared" si="12"/>
        <v>0</v>
      </c>
      <c r="BE22" s="82"/>
      <c r="BF22" s="29">
        <f t="shared" si="6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VLOOKUP(A23,[18]HISTOBQUENOV23!$A$6:$G$44,3,0)</f>
        <v>250000</v>
      </c>
      <c r="E23" s="9">
        <f>VLOOKUP(A23,[18]HISTOBQUENOV23!$A$6:$G$39,4,0)</f>
        <v>0</v>
      </c>
      <c r="F23" s="9">
        <f>VLOOKUP(A23,[18]HISTOBQUENOV23!$A$6:$G$39,5,0)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VLOOKUP($A23,[20]TONTNOV23!$A$6:$P$35,12,0)</f>
        <v>0</v>
      </c>
      <c r="Q23" s="2"/>
      <c r="R23" s="2">
        <f>VLOOKUP($A23,[19]TONTNOV23!$A$6:$P$21,10,0)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5"/>
        <v>0</v>
      </c>
      <c r="BA23" s="58"/>
      <c r="BB23" s="58"/>
      <c r="BC23" s="15"/>
      <c r="BD23" s="57">
        <f t="shared" si="12"/>
        <v>0</v>
      </c>
      <c r="BE23" s="82"/>
      <c r="BF23" s="29">
        <f t="shared" si="6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VLOOKUP(A24,[18]HISTOBQUENOV23!$A$6:$G$44,3,0)</f>
        <v>420000</v>
      </c>
      <c r="E24" s="9">
        <f>VLOOKUP(A24,[18]HISTOBQUENOV23!$A$6:$G$39,4,0)</f>
        <v>0</v>
      </c>
      <c r="F24" s="9">
        <f>VLOOKUP(A24,[18]HISTOBQUENOV23!$A$6:$G$39,5,0)</f>
        <v>0</v>
      </c>
      <c r="G24" s="5">
        <f t="shared" si="7"/>
        <v>0</v>
      </c>
      <c r="H24" s="10" t="str">
        <f t="shared" si="1"/>
        <v>BANQUE</v>
      </c>
      <c r="I24" s="10">
        <v>3000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VLOOKUP($A24,[20]TONTNOV23!$A$6:$P$35,12,0)</f>
        <v>0</v>
      </c>
      <c r="Q24" s="2">
        <f>VLOOKUP($A24,[13]TONTNOV23!$A$6:$P$20,10,0)</f>
        <v>0</v>
      </c>
      <c r="R24" s="2">
        <f>VLOOKUP($A24,[19]TONTNOV23!$A$6:$P$21,10,0)</f>
        <v>202000</v>
      </c>
      <c r="S24" s="20"/>
      <c r="T24" s="12"/>
      <c r="U24" s="17">
        <f t="shared" si="14"/>
        <v>420000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18000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5"/>
        <v>200000</v>
      </c>
      <c r="BA24" s="58"/>
      <c r="BB24" s="58"/>
      <c r="BC24" s="15"/>
      <c r="BD24" s="57">
        <f t="shared" si="12"/>
        <v>200000</v>
      </c>
      <c r="BE24" s="82" t="s">
        <v>186</v>
      </c>
      <c r="BF24" s="29">
        <f t="shared" si="6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VLOOKUP(A25,[18]HISTOBQUENOV23!$A$6:$G$44,3,0)</f>
        <v>500000</v>
      </c>
      <c r="E25" s="9">
        <f>VLOOKUP(A25,[18]HISTOBQUENOV23!$A$6:$G$39,4,0)</f>
        <v>0</v>
      </c>
      <c r="F25" s="9">
        <f>VLOOKUP(A25,[18]HISTOBQUENOV23!$A$6:$G$39,5,0)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VLOOKUP($A25,[20]TONTNOV23!$A$6:$P$35,12,0)</f>
        <v>0</v>
      </c>
      <c r="Q25" s="2">
        <f>VLOOKUP($A25,[13]TONTNOV23!$A$6:$P$20,10,0)</f>
        <v>0</v>
      </c>
      <c r="R25" s="2">
        <f>VLOOKUP($A25,[19]TONTNOV23!$A$6:$P$21,10,0)</f>
        <v>202000</v>
      </c>
      <c r="S25" s="20"/>
      <c r="T25" s="12"/>
      <c r="U25" s="17">
        <f t="shared" si="14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5"/>
        <v>200000</v>
      </c>
      <c r="BA25" s="58"/>
      <c r="BB25" s="58"/>
      <c r="BC25" s="15"/>
      <c r="BD25" s="57">
        <f t="shared" si="12"/>
        <v>200000</v>
      </c>
      <c r="BE25" s="82" t="s">
        <v>186</v>
      </c>
      <c r="BF25" s="29">
        <f t="shared" si="6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VLOOKUP(A26,[18]HISTOBQUENOV23!$A$6:$G$44,3,0)</f>
        <v>0</v>
      </c>
      <c r="E26" s="9">
        <f>VLOOKUP(A26,[18]HISTOBQUENOV23!$A$6:$G$39,4,0)</f>
        <v>102000</v>
      </c>
      <c r="F26" s="9">
        <f>VLOOKUP(A26,[18]HISTOBQUENOV23!$A$6:$G$39,5,0)</f>
        <v>0</v>
      </c>
      <c r="G26" s="5">
        <f t="shared" si="7"/>
        <v>3000</v>
      </c>
      <c r="H26" s="10" t="str">
        <f t="shared" si="1"/>
        <v>ESPECES</v>
      </c>
      <c r="I26" s="10">
        <v>-2000</v>
      </c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VLOOKUP($A26,[20]TONTNOV23!$A$6:$P$35,12,0)</f>
        <v>61000</v>
      </c>
      <c r="Q26" s="2"/>
      <c r="R26" s="2"/>
      <c r="S26" s="20"/>
      <c r="T26" s="12"/>
      <c r="U26" s="17">
        <f t="shared" si="14"/>
        <v>102000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13000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5"/>
        <v>0</v>
      </c>
      <c r="BA26" s="58"/>
      <c r="BB26" s="58"/>
      <c r="BC26" s="15"/>
      <c r="BD26" s="57">
        <f t="shared" si="12"/>
        <v>0</v>
      </c>
      <c r="BE26" s="82"/>
      <c r="BF26" s="29">
        <f t="shared" si="6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VLOOKUP(A27,[18]HISTOBQUENOV23!$A$6:$G$44,3,0)</f>
        <v>50000</v>
      </c>
      <c r="E27" s="9">
        <f>VLOOKUP(A27,[18]HISTOBQUENOV23!$A$6:$G$39,4,0)</f>
        <v>0</v>
      </c>
      <c r="F27" s="9">
        <f>VLOOKUP(A27,[18]HISTOBQUENOV23!$A$6:$G$39,5,0)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VLOOKUP($A27,[20]TONTNOV23!$A$6:$P$35,12,0)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5"/>
        <v>0</v>
      </c>
      <c r="BA27" s="58"/>
      <c r="BB27" s="58"/>
      <c r="BC27" s="15"/>
      <c r="BD27" s="57">
        <f t="shared" si="12"/>
        <v>0</v>
      </c>
      <c r="BE27" s="82"/>
      <c r="BF27" s="29">
        <f t="shared" si="6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9">
        <f t="shared" si="0"/>
        <v>-70000</v>
      </c>
      <c r="D28" s="9">
        <f>VLOOKUP(A28,[18]HISTOBQUENOV23!$A$6:$G$44,3,0)</f>
        <v>115000</v>
      </c>
      <c r="E28" s="9">
        <f>VLOOKUP(A28,[18]HISTOBQUENOV23!$A$6:$G$39,4,0)</f>
        <v>0</v>
      </c>
      <c r="F28" s="9">
        <f>VLOOKUP(A28,[18]HISTOBQUENOV23!$A$6:$G$39,5,0)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VLOOKUP($A28,[20]TONTNOV23!$A$6:$P$35,12,0)</f>
        <v>0</v>
      </c>
      <c r="Q28" s="2">
        <f>VLOOKUP($A28,[13]TONTNOV23!$A$6:$P$20,10,0)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>
        <v>2500</v>
      </c>
      <c r="AD28" s="12">
        <v>7500</v>
      </c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297500</v>
      </c>
      <c r="AX28" s="15">
        <f t="shared" si="10"/>
        <v>892500</v>
      </c>
      <c r="AY28" s="15">
        <f t="shared" si="11"/>
        <v>0</v>
      </c>
      <c r="AZ28" s="16">
        <f>SUM(AV28:AY28)-BF28+Z28-F28+BH28+BI28+BJ28+BK28+BL28+BM28-500000-30000-115000</f>
        <v>545000</v>
      </c>
      <c r="BA28" s="58"/>
      <c r="BB28" s="58">
        <v>70000</v>
      </c>
      <c r="BC28" s="15"/>
      <c r="BD28" s="57">
        <f t="shared" si="12"/>
        <v>475000</v>
      </c>
      <c r="BE28" s="82" t="s">
        <v>186</v>
      </c>
      <c r="BF28" s="29">
        <f t="shared" si="6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VLOOKUP(A29,[18]HISTOBQUENOV23!$A$6:$G$44,3,0)</f>
        <v>40000</v>
      </c>
      <c r="E29" s="9">
        <f>VLOOKUP(A29,[18]HISTOBQUENOV23!$A$6:$G$39,4,0)</f>
        <v>0</v>
      </c>
      <c r="F29" s="9">
        <f>VLOOKUP(A29,[18]HISTOBQUENOV23!$A$6:$G$39,5,0)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VLOOKUP($A29,[20]TONTNOV23!$A$6:$P$35,12,0)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5"/>
        <v>0</v>
      </c>
      <c r="BA29" s="58"/>
      <c r="BB29" s="58"/>
      <c r="BC29" s="15"/>
      <c r="BD29" s="57">
        <f t="shared" si="12"/>
        <v>0</v>
      </c>
      <c r="BE29" s="82"/>
      <c r="BF29" s="29">
        <f t="shared" si="6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VLOOKUP(A30,[18]HISTOBQUENOV23!$A$6:$G$44,3,0)</f>
        <v>115000</v>
      </c>
      <c r="E30" s="9">
        <f>VLOOKUP(A30,[18]HISTOBQUENOV23!$A$6:$G$39,4,0)</f>
        <v>0</v>
      </c>
      <c r="F30" s="9">
        <f>VLOOKUP(A30,[18]HISTOBQUENOV23!$A$6:$G$39,5,0)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VLOOKUP($A30,[20]TONTNOV23!$A$6:$P$35,12,0)</f>
        <v>0</v>
      </c>
      <c r="Q30" s="2">
        <f>VLOOKUP($A30,[13]TONTNOV23!$A$6:$P$20,10,0)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5"/>
        <v>0</v>
      </c>
      <c r="BA30" s="58"/>
      <c r="BB30" s="58"/>
      <c r="BC30" s="15"/>
      <c r="BD30" s="57">
        <f t="shared" si="12"/>
        <v>0</v>
      </c>
      <c r="BE30" s="82"/>
      <c r="BF30" s="29">
        <f t="shared" si="6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VLOOKUP(A31,[18]HISTOBQUENOV23!$A$6:$G$44,3,0)</f>
        <v>171000</v>
      </c>
      <c r="E31" s="9">
        <f>VLOOKUP(A31,[18]HISTOBQUENOV23!$A$6:$G$39,4,0)</f>
        <v>0</v>
      </c>
      <c r="F31" s="9">
        <f>VLOOKUP(A31,[18]HISTOBQUENOV23!$A$6:$G$39,5,0)</f>
        <v>0</v>
      </c>
      <c r="G31" s="5">
        <f t="shared" si="7"/>
        <v>0</v>
      </c>
      <c r="H31" s="10" t="str">
        <f t="shared" si="1"/>
        <v>BANQUE</v>
      </c>
      <c r="I31" s="10">
        <v>500</v>
      </c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VLOOKUP($A31,[20]TONTNOV23!$A$6:$P$35,12,0)</f>
        <v>30500</v>
      </c>
      <c r="Q31" s="2"/>
      <c r="R31" s="2">
        <f>VLOOKUP($A31,[19]TONTNOV23!$A$6:$P$21,10,0)</f>
        <v>0</v>
      </c>
      <c r="S31" s="20"/>
      <c r="T31" s="12"/>
      <c r="U31" s="17">
        <f t="shared" si="14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15500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5"/>
        <v>30000</v>
      </c>
      <c r="BA31" s="58">
        <v>30000</v>
      </c>
      <c r="BB31" s="58"/>
      <c r="BC31" s="15"/>
      <c r="BD31" s="57">
        <f t="shared" si="12"/>
        <v>0</v>
      </c>
      <c r="BE31" s="82" t="s">
        <v>186</v>
      </c>
      <c r="BF31" s="29">
        <f t="shared" si="6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VLOOKUP(A32,[18]HISTOBQUENOV23!$A$6:$G$44,3,0)</f>
        <v>115000</v>
      </c>
      <c r="E32" s="9">
        <f>VLOOKUP(A32,[18]HISTOBQUENOV23!$A$6:$G$39,4,0)</f>
        <v>0</v>
      </c>
      <c r="F32" s="9">
        <f>VLOOKUP(A32,[18]HISTOBQUENOV23!$A$6:$G$39,5,0)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VLOOKUP($A32,[20]TONTNOV23!$A$6:$P$35,12,0)</f>
        <v>0</v>
      </c>
      <c r="Q32" s="2">
        <f>VLOOKUP($A32,[13]TONTNOV23!$A$6:$P$20,10,0)</f>
        <v>0</v>
      </c>
      <c r="R32" s="2"/>
      <c r="S32" s="20"/>
      <c r="T32" s="12"/>
      <c r="U32" s="17">
        <f t="shared" si="14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5"/>
        <v>100000</v>
      </c>
      <c r="BA32" s="58"/>
      <c r="BB32" s="58"/>
      <c r="BC32" s="15"/>
      <c r="BD32" s="57">
        <f t="shared" si="12"/>
        <v>100000</v>
      </c>
      <c r="BE32" s="82" t="s">
        <v>186</v>
      </c>
      <c r="BF32" s="29">
        <f t="shared" si="6"/>
        <v>0</v>
      </c>
      <c r="BG32" s="29">
        <v>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9">
        <f t="shared" si="0"/>
        <v>80000</v>
      </c>
      <c r="D33" s="9">
        <f>VLOOKUP(A33,[18]HISTOBQUENOV23!$A$6:$G$44,3,0)</f>
        <v>120000</v>
      </c>
      <c r="E33" s="9">
        <f>VLOOKUP(A33,[18]HISTOBQUENOV23!$A$6:$G$39,4,0)</f>
        <v>0</v>
      </c>
      <c r="F33" s="9">
        <f>VLOOKUP(A33,[18]HISTOBQUENOV23!$A$6:$G$39,5,0)</f>
        <v>0</v>
      </c>
      <c r="G33" s="5">
        <f>IF(H33="ESPECES",3000,0)+12000</f>
        <v>12000</v>
      </c>
      <c r="H33" s="10" t="str">
        <f t="shared" si="1"/>
        <v>BANQUE</v>
      </c>
      <c r="I33" s="10">
        <v>-12000</v>
      </c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VLOOKUP($A33,[20]TONTNOV23!$A$6:$P$35,12,0)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3000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5"/>
        <v>0</v>
      </c>
      <c r="BA33" s="58"/>
      <c r="BB33" s="58"/>
      <c r="BC33" s="15"/>
      <c r="BD33" s="57">
        <f t="shared" si="12"/>
        <v>0</v>
      </c>
      <c r="BE33" s="82"/>
      <c r="BF33" s="29">
        <f t="shared" si="6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VLOOKUP(A34,[18]HISTOBQUENOV23!$A$6:$G$44,3,0)</f>
        <v>70000</v>
      </c>
      <c r="E34" s="9">
        <f>VLOOKUP(A34,[18]HISTOBQUENOV23!$A$6:$G$39,4,0)</f>
        <v>0</v>
      </c>
      <c r="F34" s="9">
        <f>VLOOKUP(A34,[18]HISTOBQUENOV23!$A$6:$G$39,5,0)</f>
        <v>0</v>
      </c>
      <c r="G34" s="5">
        <f t="shared" si="7"/>
        <v>0</v>
      </c>
      <c r="H34" s="10" t="str">
        <f t="shared" si="1"/>
        <v>BANQUE</v>
      </c>
      <c r="I34" s="10">
        <v>30000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VLOOKUP($A34,[20]TONTNOV23!$A$6:$P$35,12,0)</f>
        <v>0</v>
      </c>
      <c r="Q34" s="2"/>
      <c r="R34" s="2"/>
      <c r="S34" s="20"/>
      <c r="T34" s="12"/>
      <c r="U34" s="17">
        <f t="shared" si="14"/>
        <v>70000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45000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5"/>
        <v>0</v>
      </c>
      <c r="BA34" s="58"/>
      <c r="BB34" s="58"/>
      <c r="BC34" s="15"/>
      <c r="BD34" s="57">
        <f t="shared" si="12"/>
        <v>0</v>
      </c>
      <c r="BE34" s="82"/>
      <c r="BF34" s="29">
        <f t="shared" si="6"/>
        <v>0</v>
      </c>
      <c r="BG34" s="29">
        <v>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VLOOKUP(A35,[18]HISTOBQUENOV23!$A$6:$G$44,3,0)</f>
        <v>0</v>
      </c>
      <c r="E35" s="9">
        <f>VLOOKUP(A35,[18]HISTOBQUENOV23!$A$6:$G$39,4,0)</f>
        <v>40000</v>
      </c>
      <c r="F35" s="9">
        <f>VLOOKUP(A35,[18]HISTOBQUENOV23!$A$6:$G$39,5,0)</f>
        <v>0</v>
      </c>
      <c r="G35" s="5">
        <f t="shared" si="7"/>
        <v>3000</v>
      </c>
      <c r="H35" s="10" t="str">
        <f t="shared" si="1"/>
        <v>ESPECES</v>
      </c>
      <c r="I35" s="10">
        <v>-3000</v>
      </c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VLOOKUP($A35,[20]TONTNOV23!$A$6:$P$35,12,0)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12000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5"/>
        <v>0</v>
      </c>
      <c r="BA35" s="58"/>
      <c r="BB35" s="58"/>
      <c r="BC35" s="15"/>
      <c r="BD35" s="57">
        <f t="shared" si="12"/>
        <v>0</v>
      </c>
      <c r="BE35" s="82"/>
      <c r="BF35" s="29">
        <f t="shared" si="6"/>
        <v>0</v>
      </c>
      <c r="BG35" s="29">
        <v>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f>100000+10000</f>
        <v>110000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9">
        <f t="shared" si="0"/>
        <v>-70000</v>
      </c>
      <c r="D36" s="9">
        <f>VLOOKUP(A36,[18]HISTOBQUENOV23!$A$6:$G$44,3,0)</f>
        <v>593000</v>
      </c>
      <c r="E36" s="9">
        <f>VLOOKUP(A36,[18]HISTOBQUENOV23!$A$6:$G$39,4,0)</f>
        <v>0</v>
      </c>
      <c r="F36" s="9">
        <f>VLOOKUP(A36,[18]HISTOBQUENOV23!$A$6:$G$39,5,0)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VLOOKUP($A36,[20]TONTNOV23!$A$6:$P$35,12,0)</f>
        <v>0</v>
      </c>
      <c r="Q36" s="2">
        <f>VLOOKUP($A36,[13]TONTNOV23!$A$6:$P$20,10,0)</f>
        <v>0</v>
      </c>
      <c r="R36" s="2">
        <f>VLOOKUP($A36,[19]TONTNOV23!$A$6:$P$21,10,0)</f>
        <v>0</v>
      </c>
      <c r="S36" s="20">
        <v>303000</v>
      </c>
      <c r="T36" s="12" t="s">
        <v>8</v>
      </c>
      <c r="U36" s="17">
        <f t="shared" si="14"/>
        <v>593000</v>
      </c>
      <c r="V36" s="12"/>
      <c r="W36" s="12"/>
      <c r="X36" s="12"/>
      <c r="Y36" s="12"/>
      <c r="Z36" s="12"/>
      <c r="AA36" s="12"/>
      <c r="AB36" s="12"/>
      <c r="AC36" s="12">
        <v>2500</v>
      </c>
      <c r="AD36" s="12">
        <v>7500</v>
      </c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297500</v>
      </c>
      <c r="AX36" s="15">
        <f t="shared" si="10"/>
        <v>892500</v>
      </c>
      <c r="AY36" s="15">
        <f t="shared" si="11"/>
        <v>0</v>
      </c>
      <c r="AZ36" s="16">
        <f t="shared" si="15"/>
        <v>1190000</v>
      </c>
      <c r="BA36" s="58"/>
      <c r="BB36" s="58">
        <v>70000</v>
      </c>
      <c r="BC36" s="15"/>
      <c r="BD36" s="57">
        <f t="shared" si="12"/>
        <v>1120000</v>
      </c>
      <c r="BE36" s="82" t="s">
        <v>186</v>
      </c>
      <c r="BF36" s="29">
        <f t="shared" si="6"/>
        <v>0</v>
      </c>
      <c r="BG36" s="29">
        <v>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-266500</v>
      </c>
      <c r="D38" s="5">
        <f t="shared" si="16"/>
        <v>5960500</v>
      </c>
      <c r="E38" s="5">
        <f t="shared" si="16"/>
        <v>142000</v>
      </c>
      <c r="F38" s="5">
        <f t="shared" si="16"/>
        <v>0</v>
      </c>
      <c r="G38" s="5">
        <f t="shared" si="16"/>
        <v>18000</v>
      </c>
      <c r="H38" s="5">
        <f t="shared" si="16"/>
        <v>0</v>
      </c>
      <c r="I38" s="5">
        <f t="shared" si="16"/>
        <v>84500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150000</v>
      </c>
      <c r="Q38" s="5">
        <f t="shared" si="16"/>
        <v>380000</v>
      </c>
      <c r="R38" s="5">
        <f t="shared" si="16"/>
        <v>1212000</v>
      </c>
      <c r="S38" s="5">
        <f t="shared" si="16"/>
        <v>439500</v>
      </c>
      <c r="T38" s="5"/>
      <c r="U38" s="5">
        <f t="shared" ref="U38:AA38" si="17">SUM(U6:U37)</f>
        <v>6159000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58000</v>
      </c>
      <c r="AJ38" s="5">
        <f t="shared" si="18"/>
        <v>829000</v>
      </c>
      <c r="AK38" s="5">
        <f t="shared" si="18"/>
        <v>1136000</v>
      </c>
      <c r="AL38" s="5">
        <f t="shared" si="18"/>
        <v>1500</v>
      </c>
      <c r="AM38" s="5">
        <f t="shared" si="18"/>
        <v>10000</v>
      </c>
      <c r="AN38" s="5">
        <f t="shared" si="18"/>
        <v>18000</v>
      </c>
      <c r="AO38" s="5"/>
      <c r="AP38" s="5"/>
      <c r="AQ38" s="5">
        <f t="shared" si="18"/>
        <v>0</v>
      </c>
      <c r="AR38" s="5">
        <f t="shared" si="18"/>
        <v>0</v>
      </c>
      <c r="AS38" s="5">
        <f t="shared" si="18"/>
        <v>534500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950500</v>
      </c>
      <c r="AX38" s="5">
        <f t="shared" si="18"/>
        <v>2614000</v>
      </c>
      <c r="AY38" s="5">
        <f t="shared" si="18"/>
        <v>1136000</v>
      </c>
      <c r="AZ38" s="5">
        <f t="shared" si="18"/>
        <v>1968500</v>
      </c>
      <c r="BA38" s="5">
        <f t="shared" si="18"/>
        <v>127500</v>
      </c>
      <c r="BB38" s="5">
        <f t="shared" si="18"/>
        <v>210000</v>
      </c>
      <c r="BC38" s="5">
        <f t="shared" si="18"/>
        <v>0</v>
      </c>
      <c r="BD38" s="5">
        <f t="shared" si="18"/>
        <v>1631000</v>
      </c>
      <c r="BE38" s="5"/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110000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116000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1968500</v>
      </c>
      <c r="D43" s="9">
        <f>SUMIFS(D8:D38,H8:H38,"BANQUE")</f>
        <v>5717500</v>
      </c>
      <c r="F43" s="9">
        <f>E38</f>
        <v>142000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5011000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6" sqref="I1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/>
  <dcterms:created xsi:type="dcterms:W3CDTF">2020-03-01T01:00:00Z</dcterms:created>
</cp:coreProperties>
</file>