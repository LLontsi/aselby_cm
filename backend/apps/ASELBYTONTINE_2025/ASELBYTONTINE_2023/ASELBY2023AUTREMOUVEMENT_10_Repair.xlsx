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<sst xmlns="http://schemas.openxmlformats.org/spreadsheetml/2006/main" count="4708" uniqueCount="206">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</sst>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O6" activePane="bottomRight" state="frozen"/>
      <selection pane="topRight" activeCell="E1" sqref="E1"/>
      <selection pane="bottomLeft" activeCell="A6" sqref="A6"/>
      <selection pane="bottomRight" activeCell="BR35" sqref="BR3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N6" activePane="bottomRight" state="frozen"/>
      <selection pane="topRight" activeCell="E1" sqref="E1"/>
      <selection pane="bottomLeft" activeCell="A6" sqref="A6"/>
      <selection pane="bottomRight" activeCell="BQ33" sqref="BQ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VLOOKUP(A6,[12]HISTOBQUEFEV24!$A$6:$G$46,3,0)</f>
        <v>175000</v>
      </c>
      <c r="E6" s="9">
        <f>VLOOKUP(A6,[12]HISTOBQUEFEV24!$A$6:$G$41,4,0)</f>
        <v>0</v>
      </c>
      <c r="F6" s="9">
        <f>VLOOKUP(A6,[12]HISTOBQUEFEV24!$A$6:$G$41,5,0)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/>
      <c r="BB6" s="58"/>
      <c r="BC6" s="15"/>
      <c r="BD6" s="57">
        <f>IF(AZ6=0,(AZ6-BA6-BC6),(AZ6-BA6-BB6-BC6))</f>
        <v>227000</v>
      </c>
      <c r="BE6" s="82"/>
      <c r="BF6" s="29">
        <f t="shared" ref="BF6:BF38" si="6">Z6*1/100*BG6</f>
        <v>0</v>
      </c>
      <c r="BG6" s="29">
        <v>10</v>
      </c>
      <c r="BH6" s="15">
        <f>BP16</f>
        <v>27000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3000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VLOOKUP(A7,[12]HISTOBQUEFEV24!$A$6:$G$46,3,0)</f>
        <v>78000</v>
      </c>
      <c r="E7" s="9">
        <f>VLOOKUP(A7,[12]HISTOBQUEFEV24!$A$6:$G$41,4,0)</f>
        <v>0</v>
      </c>
      <c r="F7" s="9">
        <f>VLOOKUP(A7,[12]HISTOBQUEFEV24!$A$6:$G$41,5,0)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VLOOKUP(A7,[14]TONTFEV24!$A$6:$R$39,12,0)</f>
        <v>0</v>
      </c>
      <c r="Q7" s="2"/>
      <c r="R7" s="2"/>
      <c r="S7" s="20"/>
      <c r="T7" s="12"/>
      <c r="U7" s="17">
        <f t="shared" ref="U7:U38" si="9">G7+S7++R7+P7+O7+M7+I7+K7+Q7+V7+W7</f>
        <v>72000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/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9">
        <f t="shared" si="0"/>
        <v>3000</v>
      </c>
      <c r="D8" s="9">
        <f>VLOOKUP(A8,[12]HISTOBQUEFEV24!$A$6:$G$46,3,0)</f>
        <v>100000</v>
      </c>
      <c r="E8" s="9">
        <f>VLOOKUP(A8,[12]HISTOBQUEFEV24!$A$6:$G$41,4,0)</f>
        <v>25000</v>
      </c>
      <c r="F8" s="9">
        <f>VLOOKUP(A8,[12]HISTOBQUEFEV24!$A$6:$G$41,5,0)</f>
        <v>0</v>
      </c>
      <c r="G8" s="5">
        <f t="shared" si="7"/>
        <v>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VLOOKUP(A8,[14]TONTFEV24!$A$6:$R$39,12,0)</f>
        <v>0</v>
      </c>
      <c r="Q8" s="2">
        <f>VLOOKUP(A8,[15]TONTFEV24!$A$7:$P$23,10,0)</f>
        <v>0</v>
      </c>
      <c r="R8" s="2"/>
      <c r="S8" s="20"/>
      <c r="T8" s="12"/>
      <c r="U8" s="17">
        <f t="shared" si="9"/>
        <v>122000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12000</v>
      </c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VLOOKUP(A9,[12]HISTOBQUEFEV24!$A$6:$G$46,3,0)</f>
        <v>250000</v>
      </c>
      <c r="E9" s="9">
        <f>VLOOKUP(A9,[12]HISTOBQUEFEV24!$A$6:$G$41,4,0)</f>
        <v>0</v>
      </c>
      <c r="F9" s="9">
        <f>VLOOKUP(A9,[12]HISTOBQUEFEV24!$A$6:$G$41,5,0)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VLOOKUP(A9,[14]TONTFEV24!$A$6:$R$39,12,0)</f>
        <v>0</v>
      </c>
      <c r="Q9" s="2"/>
      <c r="R9" s="2">
        <f>VLOOKUP(A9,[16]TONTFEV24!$A$7:$P$20,10,0)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VLOOKUP(A10,[12]HISTOBQUEFEV24!$A$6:$G$46,3,0)</f>
        <v>125000</v>
      </c>
      <c r="E10" s="9">
        <f>VLOOKUP(A10,[12]HISTOBQUEFEV24!$A$6:$G$41,4,0)</f>
        <v>105000</v>
      </c>
      <c r="F10" s="9">
        <f>VLOOKUP(A10,[12]HISTOBQUEFEV24!$A$6:$G$41,5,0)</f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VLOOKUP(A10,[14]TONTFEV24!$A$6:$R$39,12,0)</f>
        <v>0</v>
      </c>
      <c r="Q10" s="2">
        <f>VLOOKUP(A10,[15]TONTFEV24!$A$7:$P$23,10,0)</f>
        <v>102000</v>
      </c>
      <c r="R10" s="2"/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/>
      <c r="BB10" s="58"/>
      <c r="BC10" s="15"/>
      <c r="BD10" s="57">
        <f t="shared" si="14"/>
        <v>60000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VLOOKUP(A11,[12]HISTOBQUEFEV24!$A$6:$G$46,3,0)</f>
        <v>227000</v>
      </c>
      <c r="E11" s="9">
        <f>VLOOKUP(A11,[12]HISTOBQUEFEV24!$A$6:$G$41,4,0)</f>
        <v>0</v>
      </c>
      <c r="F11" s="9">
        <f>VLOOKUP(A11,[12]HISTOBQUEFEV24!$A$6:$G$41,5,0)+1000000</f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VLOOKUP(A11,[14]TONTFEV24!$A$6:$R$39,12,0)</f>
        <v>0</v>
      </c>
      <c r="Q11" s="2">
        <f>VLOOKUP(A11,[15]TONTFEV24!$A$7:$P$23,10,0)</f>
        <v>102000</v>
      </c>
      <c r="R11" s="2"/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VLOOKUP(A12,[12]HISTOBQUEFEV24!$A$6:$G$46,3,0)</f>
        <v>330000</v>
      </c>
      <c r="E12" s="9">
        <f>VLOOKUP(A12,[12]HISTOBQUEFEV24!$A$6:$G$41,4,0)</f>
        <v>0</v>
      </c>
      <c r="F12" s="9">
        <f>VLOOKUP(A12,[12]HISTOBQUEFEV24!$A$6:$G$41,5,0)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VLOOKUP(A12,[14]TONTFEV24!$A$6:$R$39,12,0)</f>
        <v>0</v>
      </c>
      <c r="Q12" s="2">
        <f>VLOOKUP(A12,[15]TONTFEV24!$A$7:$P$23,10,0)</f>
        <v>0</v>
      </c>
      <c r="R12" s="2">
        <f>VLOOKUP(A12,[16]TONTFEV24!$A$7:$P$20,10,0)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VLOOKUP(A13,[12]HISTOBQUEFEV24!$A$6:$G$46,3,0)</f>
        <v>50000</v>
      </c>
      <c r="E13" s="9">
        <f>VLOOKUP(A13,[12]HISTOBQUEFEV24!$A$6:$G$41,4,0)</f>
        <v>0</v>
      </c>
      <c r="F13" s="9">
        <f>VLOOKUP(A13,[12]HISTOBQUEFEV24!$A$6:$G$41,5,0)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VLOOKUP(A13,[14]TONTFEV24!$A$6:$R$39,12,0)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VLOOKUP(A14,[12]HISTOBQUEFEV24!$A$6:$G$46,3,0)</f>
        <v>50000</v>
      </c>
      <c r="E14" s="9">
        <f>VLOOKUP(A14,[12]HISTOBQUEFEV24!$A$6:$G$41,4,0)</f>
        <v>0</v>
      </c>
      <c r="F14" s="9">
        <f>VLOOKUP(A14,[12]HISTOBQUEFEV24!$A$6:$G$41,5,0)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VLOOKUP(A14,[14]TONTFEV24!$A$6:$R$39,12,0)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VLOOKUP(A15,[12]HISTOBQUEFEV24!$A$6:$G$46,3,0)</f>
        <v>125000</v>
      </c>
      <c r="E15" s="9">
        <f>VLOOKUP(A15,[12]HISTOBQUEFEV24!$A$6:$G$41,4,0)</f>
        <v>0</v>
      </c>
      <c r="F15" s="9">
        <f>VLOOKUP(A15,[12]HISTOBQUEFEV24!$A$6:$G$41,5,0)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VLOOKUP(A15,[14]TONTFEV24!$A$6:$R$39,12,0)</f>
        <v>0</v>
      </c>
      <c r="Q15" s="2">
        <f>VLOOKUP(A15,[15]TONTFEV24!$A$7:$P$23,10,0)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VLOOKUP(A16,[12]HISTOBQUEFEV24!$A$6:$G$46,3,0)</f>
        <v>260000</v>
      </c>
      <c r="E16" s="9">
        <f>VLOOKUP(A16,[12]HISTOBQUEFEV24!$A$6:$G$41,4,0)</f>
        <v>0</v>
      </c>
      <c r="F16" s="9">
        <f>VLOOKUP(A16,[12]HISTOBQUEFEV24!$A$6:$G$41,5,0)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VLOOKUP(A16,[14]TONTFEV24!$A$6:$R$39,12,0)</f>
        <v>0</v>
      </c>
      <c r="Q16" s="2">
        <f>VLOOKUP(A16,[15]TONTFEV24!$A$7:$P$23,10,0)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VLOOKUP(A17,[12]HISTOBQUEFEV24!$A$6:$G$46,3,0)</f>
        <v>251000</v>
      </c>
      <c r="E17" s="9">
        <f>VLOOKUP(A17,[12]HISTOBQUEFEV24!$A$6:$G$41,4,0)</f>
        <v>0</v>
      </c>
      <c r="F17" s="9">
        <f>VLOOKUP(A17,[12]HISTOBQUEFEV24!$A$6:$G$41,5,0)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VLOOKUP(A17,[14]TONTFEV24!$A$6:$R$39,12,0)</f>
        <v>0</v>
      </c>
      <c r="Q17" s="2"/>
      <c r="R17" s="2">
        <f>VLOOKUP(A17,[16]TONTFEV24!$A$7:$P$20,10,0)</f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/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VLOOKUP(A18,[12]HISTOBQUEFEV24!$A$6:$G$46,3,0)</f>
        <v>160000</v>
      </c>
      <c r="E18" s="9">
        <f>VLOOKUP(A18,[12]HISTOBQUEFEV24!$A$6:$G$41,4,0)</f>
        <v>0</v>
      </c>
      <c r="F18" s="9">
        <f>VLOOKUP(A18,[12]HISTOBQUEFEV24!$A$6:$G$41,5,0)</f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VLOOKUP(A18,[14]TONTFEV24!$A$6:$R$39,12,0)</f>
        <v>0</v>
      </c>
      <c r="Q18" s="2"/>
      <c r="R18" s="2">
        <f>VLOOKUP(A18,[16]TONTFEV24!$A$7:$P$20,10,0)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0"/>
        <v>0</v>
      </c>
      <c r="D19" s="9">
        <f>VLOOKUP(A19,[12]HISTOBQUEFEV24!$A$6:$G$46,3,0)</f>
        <v>50000</v>
      </c>
      <c r="E19" s="9">
        <f>VLOOKUP(A19,[12]HISTOBQUEFEV24!$A$6:$G$41,4,0)</f>
        <v>0</v>
      </c>
      <c r="F19" s="9">
        <f>VLOOKUP(A19,[12]HISTOBQUEFEV24!$A$6:$G$41,5,0)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VLOOKUP(A19,[14]TONTFEV24!$A$6:$R$39,12,0)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VLOOKUP(A20,[12]HISTOBQUEFEV24!$A$6:$G$46,3,0)</f>
        <v>225000</v>
      </c>
      <c r="E20" s="9">
        <f>VLOOKUP(A20,[12]HISTOBQUEFEV24!$A$6:$G$41,4,0)</f>
        <v>0</v>
      </c>
      <c r="F20" s="9">
        <f>VLOOKUP(A20,[12]HISTOBQUEFEV24!$A$6:$G$41,5,0)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VLOOKUP(A20,[14]TONTFEV24!$A$6:$R$39,12,0)</f>
        <v>0</v>
      </c>
      <c r="Q20" s="2">
        <f>VLOOKUP(A20,[15]TONTFEV24!$A$7:$P$23,10,0)</f>
        <v>0</v>
      </c>
      <c r="R20" s="2">
        <f>VLOOKUP(A20,[16]TONTFEV24!$A$7:$P$20,10,0)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200000</v>
      </c>
      <c r="BB20" s="58"/>
      <c r="BC20" s="15"/>
      <c r="BD20" s="57">
        <f t="shared" si="14"/>
        <v>884000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VLOOKUP(A21,[12]HISTOBQUEFEV24!$A$6:$G$46,3,0)</f>
        <v>50000</v>
      </c>
      <c r="E21" s="9">
        <f>VLOOKUP(A21,[12]HISTOBQUEFEV24!$A$6:$G$41,4,0)</f>
        <v>0</v>
      </c>
      <c r="F21" s="9">
        <f>VLOOKUP(A21,[12]HISTOBQUEFEV24!$A$6:$G$41,5,0)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VLOOKUP(A21,[14]TONTFEV24!$A$6:$R$39,12,0)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VLOOKUP(A22,[12]HISTOBQUEFEV24!$A$6:$G$46,3,0)</f>
        <v>125000</v>
      </c>
      <c r="E22" s="9">
        <f>VLOOKUP(A22,[12]HISTOBQUEFEV24!$A$6:$G$41,4,0)</f>
        <v>0</v>
      </c>
      <c r="F22" s="9">
        <f>VLOOKUP(A22,[12]HISTOBQUEFEV24!$A$6:$G$41,5,0)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VLOOKUP(A22,[14]TONTFEV24!$A$6:$R$39,12,0)</f>
        <v>0</v>
      </c>
      <c r="Q22" s="2">
        <f>VLOOKUP(A22,[15]TONTFEV24!$A$7:$P$23,10,0)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VLOOKUP(A23,[12]HISTOBQUEFEV24!$A$6:$G$46,3,0)</f>
        <v>260000</v>
      </c>
      <c r="E23" s="9">
        <f>VLOOKUP(A23,[12]HISTOBQUEFEV24!$A$6:$G$41,4,0)</f>
        <v>0</v>
      </c>
      <c r="F23" s="9">
        <f>VLOOKUP(A23,[12]HISTOBQUEFEV24!$A$6:$G$41,5,0)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VLOOKUP(A23,[14]TONTFEV24!$A$6:$R$39,12,0)</f>
        <v>0</v>
      </c>
      <c r="Q23" s="2"/>
      <c r="R23" s="2">
        <f>VLOOKUP(A23,[16]TONTFEV24!$A$7:$P$20,10,0)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VLOOKUP(A24,[12]HISTOBQUEFEV24!$A$6:$G$46,3,0)</f>
        <v>240000</v>
      </c>
      <c r="E24" s="9">
        <f>VLOOKUP(A24,[12]HISTOBQUEFEV24!$A$6:$G$41,4,0)</f>
        <v>0</v>
      </c>
      <c r="F24" s="9">
        <f>VLOOKUP(A24,[12]HISTOBQUEFEV24!$A$6:$G$41,5,0)</f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VLOOKUP(A24,[14]TONTFEV24!$A$6:$R$39,12,0)</f>
        <v>0</v>
      </c>
      <c r="Q24" s="2">
        <f>VLOOKUP(A24,[15]TONTFEV24!$A$7:$P$23,10,0)</f>
        <v>0</v>
      </c>
      <c r="R24" s="2">
        <f>VLOOKUP(A24,[16]TONTFEV24!$A$7:$P$20,10,0)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4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VLOOKUP(A25,[12]HISTOBQUEFEV24!$A$6:$G$46,3,0)</f>
        <v>375000</v>
      </c>
      <c r="E25" s="9">
        <f>VLOOKUP(A25,[12]HISTOBQUEFEV24!$A$6:$G$41,4,0)</f>
        <v>0</v>
      </c>
      <c r="F25" s="9">
        <f>VLOOKUP(A25,[12]HISTOBQUEFEV24!$A$6:$G$41,5,0)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VLOOKUP(A25,[14]TONTFEV24!$A$6:$R$39,12,0)</f>
        <v>0</v>
      </c>
      <c r="Q25" s="2">
        <f>VLOOKUP(A25,[15]TONTFEV24!$A$7:$P$23,10,0)</f>
        <v>0</v>
      </c>
      <c r="R25" s="2">
        <f>VLOOKUP(A25,[16]TONTFEV24!$A$7:$P$20,10,0)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VLOOKUP(A26,[12]HISTOBQUEFEV24!$A$6:$G$46,3,0)</f>
        <v>50000</v>
      </c>
      <c r="E26" s="9">
        <f>VLOOKUP(A26,[12]HISTOBQUEFEV24!$A$6:$G$41,4,0)</f>
        <v>0</v>
      </c>
      <c r="F26" s="9">
        <f>VLOOKUP(A26,[12]HISTOBQUEFEV24!$A$6:$G$41,5,0)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VLOOKUP(A26,[14]TONTFEV24!$A$6:$R$39,12,0)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VLOOKUP(A27,[12]HISTOBQUEFEV24!$A$6:$G$46,3,0)</f>
        <v>50000</v>
      </c>
      <c r="E27" s="9">
        <f>VLOOKUP(A27,[12]HISTOBQUEFEV24!$A$6:$G$41,4,0)</f>
        <v>0</v>
      </c>
      <c r="F27" s="9">
        <f>VLOOKUP(A27,[12]HISTOBQUEFEV24!$A$6:$G$41,5,0)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VLOOKUP(A27,[14]TONTFEV24!$A$6:$R$39,12,0)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VLOOKUP(A28,[12]HISTOBQUEFEV24!$A$6:$G$46,3,0)</f>
        <v>125000</v>
      </c>
      <c r="E28" s="9">
        <f>VLOOKUP(A28,[12]HISTOBQUEFEV24!$A$6:$G$41,4,0)</f>
        <v>0</v>
      </c>
      <c r="F28" s="9">
        <f>VLOOKUP(A28,[12]HISTOBQUEFEV24!$A$6:$G$41,5,0)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VLOOKUP(A28,[14]TONTFEV24!$A$6:$R$39,12,0)</f>
        <v>0</v>
      </c>
      <c r="Q28" s="2">
        <f>VLOOKUP(A28,[15]TONTFEV24!$A$7:$P$23,10,0)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VLOOKUP(A29,[12]HISTOBQUEFEV24!$A$6:$G$46,3,0)</f>
        <v>50000</v>
      </c>
      <c r="E29" s="9">
        <f>VLOOKUP(A29,[12]HISTOBQUEFEV24!$A$6:$G$41,4,0)</f>
        <v>0</v>
      </c>
      <c r="F29" s="9">
        <f>VLOOKUP(A29,[12]HISTOBQUEFEV24!$A$6:$G$41,5,0)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VLOOKUP(A29,[14]TONTFEV24!$A$6:$R$39,12,0)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VLOOKUP(A30,[12]HISTOBQUEFEV24!$A$6:$G$46,3,0)</f>
        <v>250000</v>
      </c>
      <c r="E30" s="9">
        <f>VLOOKUP(A30,[12]HISTOBQUEFEV24!$A$6:$G$41,4,0)</f>
        <v>0</v>
      </c>
      <c r="F30" s="9">
        <f>VLOOKUP(A30,[12]HISTOBQUEFEV24!$A$6:$G$41,5,0)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VLOOKUP(A30,[14]TONTFEV24!$A$6:$R$39,12,0)</f>
        <v>0</v>
      </c>
      <c r="Q30" s="2"/>
      <c r="R30" s="2">
        <f>VLOOKUP(A30,[16]TONTFEV24!$A$7:$P$20,10,0)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VLOOKUP(A31,[12]HISTOBQUEFEV24!$A$6:$G$46,3,0)</f>
        <v>150000</v>
      </c>
      <c r="E31" s="9">
        <f>VLOOKUP(A31,[12]HISTOBQUEFEV24!$A$6:$G$41,4,0)</f>
        <v>0</v>
      </c>
      <c r="F31" s="9">
        <f>VLOOKUP(A31,[12]HISTOBQUEFEV24!$A$6:$G$41,5,0)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VLOOKUP(A31,[14]TONTFEV24!$A$6:$R$39,12,0)</f>
        <v>0</v>
      </c>
      <c r="Q31" s="2"/>
      <c r="R31" s="2">
        <f>VLOOKUP(A31,[16]TONTFEV24!$A$7:$P$20,10,0)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VLOOKUP(A32,[12]HISTOBQUEFEV24!$A$6:$G$46,3,0)</f>
        <v>125000</v>
      </c>
      <c r="E32" s="9">
        <f>VLOOKUP(A32,[12]HISTOBQUEFEV24!$A$6:$G$41,4,0)</f>
        <v>0</v>
      </c>
      <c r="F32" s="9">
        <f>VLOOKUP(A32,[12]HISTOBQUEFEV24!$A$6:$G$41,5,0)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VLOOKUP(A32,[14]TONTFEV24!$A$6:$R$39,12,0)</f>
        <v>0</v>
      </c>
      <c r="Q32" s="2">
        <f>VLOOKUP(A32,[15]TONTFEV24!$A$7:$P$23,10,0)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203</v>
      </c>
      <c r="BP32" s="6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0"/>
        <v>0</v>
      </c>
      <c r="D33" s="9">
        <f>VLOOKUP(A33,[12]HISTOBQUEFEV24!$A$6:$G$46,3,0)</f>
        <v>180000</v>
      </c>
      <c r="E33" s="9">
        <f>VLOOKUP(A33,[12]HISTOBQUEFEV24!$A$6:$G$41,4,0)</f>
        <v>0</v>
      </c>
      <c r="F33" s="9">
        <f>VLOOKUP(A33,[12]HISTOBQUEFEV24!$A$6:$G$41,5,0)</f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VLOOKUP(A33,[14]TONTFEV24!$A$6:$R$39,12,0)</f>
        <v>0</v>
      </c>
      <c r="Q33" s="2"/>
      <c r="R33" s="2">
        <f>VLOOKUP(A33,[16]TONTFEV24!$A$7:$P$20,10,0)</f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0"/>
        <v>0</v>
      </c>
      <c r="D34" s="9">
        <f>VLOOKUP(A34,[12]HISTOBQUEFEV24!$A$6:$G$46,3,0)</f>
        <v>50000</v>
      </c>
      <c r="E34" s="9">
        <f>VLOOKUP(A34,[12]HISTOBQUEFEV24!$A$6:$G$41,4,0)</f>
        <v>0</v>
      </c>
      <c r="F34" s="9">
        <f>VLOOKUP(A34,[12]HISTOBQUEFEV24!$A$6:$G$41,5,0)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VLOOKUP(A34,[14]TONTFEV24!$A$6:$R$39,12,0)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VLOOKUP(A35,[12]HISTOBQUEFEV24!$A$6:$G$46,3,0)</f>
        <v>60000</v>
      </c>
      <c r="E35" s="9">
        <f>VLOOKUP(A35,[12]HISTOBQUEFEV24!$A$6:$G$41,4,0)</f>
        <v>0</v>
      </c>
      <c r="F35" s="9">
        <f>VLOOKUP(A35,[12]HISTOBQUEFEV24!$A$6:$G$41,5,0)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VLOOKUP(A35,[14]TONTFEV24!$A$6:$R$39,12,0)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VLOOKUP(A36,[12]HISTOBQUEFEV24!$A$6:$G$46,3,0)</f>
        <v>50000</v>
      </c>
      <c r="E36" s="9">
        <f>VLOOKUP(A36,[12]HISTOBQUEFEV24!$A$6:$G$41,4,0)</f>
        <v>0</v>
      </c>
      <c r="F36" s="9">
        <f>VLOOKUP(A36,[12]HISTOBQUEFEV24!$A$6:$G$41,5,0)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VLOOKUP(A36,[14]TONTFEV24!$A$6:$R$39,12,0)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VLOOKUP(A37,[12]HISTOBQUEFEV24!$A$6:$G$46,3,0)</f>
        <v>0</v>
      </c>
      <c r="E37" s="9">
        <f>VLOOKUP(A37,[12]HISTOBQUEFEV24!$A$6:$G$41,4,0)</f>
        <v>153000</v>
      </c>
      <c r="F37" s="9">
        <f>VLOOKUP(A37,[12]HISTOBQUEFEV24!$A$6:$G$41,5,0)</f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f>VLOOKUP(A37,[14]TONTFEV24!$A$6:$R$39,12,0)</f>
        <v>0</v>
      </c>
      <c r="Q37" s="2"/>
      <c r="R37" s="2">
        <f>VLOOKUP(A37,[16]TONTFEV24!$A$7:$P$20,10,0)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VLOOKUP(A38,[12]HISTOBQUEFEV24!$A$6:$G$46,3,0)</f>
        <v>125000</v>
      </c>
      <c r="E38" s="9">
        <f>VLOOKUP(A38,[12]HISTOBQUEFEV24!$A$6:$G$41,4,0)</f>
        <v>0</v>
      </c>
      <c r="F38" s="9">
        <f>VLOOKUP(A38,[12]HISTOBQUEFEV24!$A$6:$G$41,5,0)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VLOOKUP(A38,[14]TONTFEV24!$A$6:$R$39,12,0)</f>
        <v>0</v>
      </c>
      <c r="Q38" s="2">
        <f>VLOOKUP(A38,[15]TONTFEV24!$A$7:$P$23,10,0)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>SUM(C6:C39)</f>
        <v>9000</v>
      </c>
      <c r="D40" s="5">
        <f>SUM(D6:D39)</f>
        <v>4771000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6000</v>
      </c>
      <c r="H40" s="5">
        <f t="shared" si="16"/>
        <v>0</v>
      </c>
      <c r="I40" s="5">
        <f t="shared" si="16"/>
        <v>134000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si="17">SUM(U6:U39)</f>
        <v>6045000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934000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10651000</v>
      </c>
    </row>
  </sheetData>
  <autoFilter ref="A5:AF38"/>
  <mergeCells count="1">
    <mergeCell ref="B4:M4"/>
  </mergeCells>
  <dataValidations count="2">
    <dataValidation type="list" allowBlank="1" showInputMessage="1" showErrorMessage="1" sqref="T6:T38 AP6:AP38 AF6:AF38">
      <formula1>MODEVERSEMENTS</formula1>
    </dataValidation>
    <dataValidation type="list" allowBlank="1" showInputMessage="1" showErrorMessage="1" sqref="AA6:AA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S6" activePane="bottomRight" state="frozen"/>
      <selection pane="topRight" activeCell="E1" sqref="E1"/>
      <selection pane="bottomLeft" activeCell="A6" sqref="A6"/>
      <selection pane="bottomRight" activeCell="A10" sqref="A10:XFD1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VLOOKUP(A6,[12]HISTOBQUEMARS24!$A$6:$G$46,3,0)</f>
        <v>175000</v>
      </c>
      <c r="E6" s="9">
        <f>VLOOKUP(A6,[12]HISTOBQUEMARS24!$A$6:$G$41,4,0)</f>
        <v>0</v>
      </c>
      <c r="F6" s="9">
        <f>VLOOKUP(A6,[12]HISTOBQUEMARS24!$A$6:$G$41,5,0)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248000</v>
      </c>
      <c r="BA6" s="58"/>
      <c r="BB6" s="58"/>
      <c r="BC6" s="15"/>
      <c r="BD6" s="57">
        <f>IF(AZ6=0,(AZ6-BA6-BC6),(AZ6-BA6-BB6-BC6))</f>
        <v>248000</v>
      </c>
      <c r="BE6" s="82"/>
      <c r="BF6" s="29">
        <f t="shared" ref="BF6:BF38" si="5">Z6*1/100*BG6</f>
        <v>0</v>
      </c>
      <c r="BG6" s="29">
        <v>9</v>
      </c>
      <c r="BH6" s="15">
        <f>BP16</f>
        <v>48000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6000</v>
      </c>
      <c r="D7" s="9">
        <f>VLOOKUP(A7,[12]HISTOBQUEMARS24!$A$6:$G$46,3,0)</f>
        <v>56000</v>
      </c>
      <c r="E7" s="9">
        <f>VLOOKUP(A7,[12]HISTOBQUEMARS24!$A$6:$G$41,4,0)</f>
        <v>61000</v>
      </c>
      <c r="F7" s="9">
        <f>VLOOKUP(A7,[12]HISTOBQUEMARS24!$A$6:$G$41,5,0)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VLOOKUP(A7,[14]TONTMARS24!$A$6:$R$39,12,0)</f>
        <v>61000</v>
      </c>
      <c r="Q7" s="2"/>
      <c r="R7" s="2"/>
      <c r="S7" s="20"/>
      <c r="T7" s="12"/>
      <c r="U7" s="17">
        <f t="shared" ref="U7:U38" si="9">G7+S7++R7+P7+O7+M7+I7+K7+Q7+V7+W7</f>
        <v>111000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>
        <v>2889015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25000</v>
      </c>
      <c r="D8" s="9">
        <f>VLOOKUP(A8,[12]HISTOBQUEMARS24!$A$6:$G$46,3,0)</f>
        <v>150000</v>
      </c>
      <c r="E8" s="9">
        <f>VLOOKUP(A8,[12]HISTOBQUEMARS24!$A$6:$G$41,4,0)</f>
        <v>0</v>
      </c>
      <c r="F8" s="9">
        <f>VLOOKUP(A8,[12]HISTOBQUEMARS24!$A$6:$G$41,5,0)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VLOOKUP(A8,[14]TONTMARS24!$A$6:$R$39,12,0)</f>
        <v>0</v>
      </c>
      <c r="Q8" s="2">
        <f>VLOOKUP(A8,[15]TONTMARS24!$A$7:$P$23,10,0)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VLOOKUP(A9,[12]HISTOBQUEMARS24!$A$6:$G$46,3,0)</f>
        <v>250000</v>
      </c>
      <c r="E9" s="9">
        <f>VLOOKUP(A9,[12]HISTOBQUEMARS24!$A$6:$G$41,4,0)</f>
        <v>0</v>
      </c>
      <c r="F9" s="9">
        <f>VLOOKUP(A9,[12]HISTOBQUEMARS24!$A$6:$G$41,5,0)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VLOOKUP(A9,[14]TONTMARS24!$A$6:$R$39,12,0)</f>
        <v>0</v>
      </c>
      <c r="Q9" s="2"/>
      <c r="R9" s="2">
        <f>VLOOKUP(A9,[16]TONTMARS24!$A$7:$P$20,10,0)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>
        <v>2889015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VLOOKUP(A10,[12]HISTOBQUEMARS24!$A$6:$G$46,3,0)</f>
        <v>180000</v>
      </c>
      <c r="E10" s="9">
        <f>VLOOKUP(A10,[12]HISTOBQUEMARS24!$A$6:$G$41,4,0)</f>
        <v>0</v>
      </c>
      <c r="F10" s="9">
        <f>VLOOKUP(A10,[12]HISTOBQUEMARS24!$A$6:$G$41,5,0)</f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VLOOKUP(A10,[14]TONTMARS24!$A$6:$R$39,12,0)</f>
        <v>61000</v>
      </c>
      <c r="Q10" s="2">
        <f>VLOOKUP(A10,[15]TONTMARS24!$A$7:$P$23,10,0)</f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>
        <v>2889015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VLOOKUP(A11,[12]HISTOBQUEMARS24!$A$6:$G$46,3,0)</f>
        <v>125000</v>
      </c>
      <c r="E11" s="9">
        <f>VLOOKUP(A11,[12]HISTOBQUEMARS24!$A$6:$G$41,4,0)</f>
        <v>0</v>
      </c>
      <c r="F11" s="9">
        <f>VLOOKUP(A11,[12]HISTOBQUEMARS24!$A$6:$G$41,5,0)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VLOOKUP(A11,[14]TONTMARS24!$A$6:$R$39,12,0)</f>
        <v>0</v>
      </c>
      <c r="Q11" s="2">
        <f>VLOOKUP(A11,[15]TONTMARS24!$A$7:$P$23,10,0)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>
        <v>2889015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30000</v>
      </c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VLOOKUP(A12,[12]HISTOBQUEMARS24!$A$6:$G$46,3,0)</f>
        <v>462000</v>
      </c>
      <c r="E12" s="9">
        <f>VLOOKUP(A12,[12]HISTOBQUEMARS24!$A$6:$G$41,4,0)</f>
        <v>0</v>
      </c>
      <c r="F12" s="9">
        <f>VLOOKUP(A12,[12]HISTOBQUEMARS24!$A$6:$G$41,5,0)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VLOOKUP(A12,[14]TONTMARS24!$A$6:$R$39,12,0)</f>
        <v>0</v>
      </c>
      <c r="Q12" s="2">
        <f>VLOOKUP(A12,[15]TONTMARS24!$A$7:$P$23,10,0)</f>
        <v>0</v>
      </c>
      <c r="R12" s="2">
        <f>VLOOKUP(A12,[16]TONTMARS24!$A$7:$P$20,10,0)</f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VLOOKUP(A13,[12]HISTOBQUEMARS24!$A$6:$G$46,3,0)</f>
        <v>50000</v>
      </c>
      <c r="E13" s="9">
        <f>VLOOKUP(A13,[12]HISTOBQUEMARS24!$A$6:$G$41,4,0)</f>
        <v>0</v>
      </c>
      <c r="F13" s="9">
        <f>VLOOKUP(A13,[12]HISTOBQUEMARS24!$A$6:$G$41,5,0)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VLOOKUP(A13,[14]TONTMARS24!$A$6:$R$39,12,0)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18000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VLOOKUP(A14,[12]HISTOBQUEMARS24!$A$6:$G$46,3,0)</f>
        <v>50000</v>
      </c>
      <c r="E14" s="9">
        <f>VLOOKUP(A14,[12]HISTOBQUEMARS24!$A$6:$G$41,4,0)</f>
        <v>0</v>
      </c>
      <c r="F14" s="9">
        <f>VLOOKUP(A14,[12]HISTOBQUEMARS24!$A$6:$G$41,5,0)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VLOOKUP(A14,[14]TONTMARS24!$A$6:$R$39,12,0)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VLOOKUP(A15,[12]HISTOBQUEMARS24!$A$6:$G$46,3,0)</f>
        <v>125000</v>
      </c>
      <c r="E15" s="9">
        <f>VLOOKUP(A15,[12]HISTOBQUEMARS24!$A$6:$G$41,4,0)</f>
        <v>0</v>
      </c>
      <c r="F15" s="9">
        <f>VLOOKUP(A15,[12]HISTOBQUEMARS24!$A$6:$G$41,5,0)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VLOOKUP(A15,[14]TONTMARS24!$A$6:$R$39,12,0)</f>
        <v>0</v>
      </c>
      <c r="Q15" s="2">
        <f>VLOOKUP(A15,[15]TONTMARS24!$A$7:$P$23,10,0)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VLOOKUP(A16,[12]HISTOBQUEMARS24!$A$6:$G$46,3,0)</f>
        <v>260000</v>
      </c>
      <c r="E16" s="9">
        <f>VLOOKUP(A16,[12]HISTOBQUEMARS24!$A$6:$G$41,4,0)</f>
        <v>0</v>
      </c>
      <c r="F16" s="9">
        <f>VLOOKUP(A16,[12]HISTOBQUEMARS24!$A$6:$G$41,5,0)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VLOOKUP(A16,[14]TONTMARS24!$A$6:$R$39,12,0)</f>
        <v>0</v>
      </c>
      <c r="Q16" s="2">
        <f>VLOOKUP(A16,[15]TONTMARS24!$A$7:$P$23,10,0)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48000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VLOOKUP(A17,[12]HISTOBQUEMARS24!$A$6:$G$46,3,0)</f>
        <v>150000</v>
      </c>
      <c r="E17" s="9">
        <f>VLOOKUP(A17,[12]HISTOBQUEMARS24!$A$6:$G$41,4,0)</f>
        <v>0</v>
      </c>
      <c r="F17" s="9">
        <f>VLOOKUP(A17,[12]HISTOBQUEMARS24!$A$6:$G$41,5,0)</f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VLOOKUP(A17,[14]TONTMARS24!$A$6:$R$39,12,0)</f>
        <v>0</v>
      </c>
      <c r="Q17" s="2"/>
      <c r="R17" s="2">
        <f>VLOOKUP(A17,[16]TONTMARS24!$A$7:$P$20,10,0)</f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>
        <v>2889015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VLOOKUP(A18,[12]HISTOBQUEMARS24!$A$6:$G$46,3,0)</f>
        <v>160000</v>
      </c>
      <c r="E18" s="9">
        <f>VLOOKUP(A18,[12]HISTOBQUEMARS24!$A$6:$G$41,4,0)</f>
        <v>0</v>
      </c>
      <c r="F18" s="9">
        <f>VLOOKUP(A18,[12]HISTOBQUEMARS24!$A$6:$G$41,5,0)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VLOOKUP(A18,[14]TONTMARS24!$A$6:$R$39,12,0)</f>
        <v>0</v>
      </c>
      <c r="Q18" s="2"/>
      <c r="R18" s="2">
        <f>VLOOKUP(A18,[16]TONTMARS24!$A$7:$P$20,10,0)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>
        <v>2889015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VLOOKUP(A19,[12]HISTOBQUEMARS24!$A$6:$G$46,3,0)</f>
        <v>50000</v>
      </c>
      <c r="E19" s="9">
        <f>VLOOKUP(A19,[12]HISTOBQUEMARS24!$A$6:$G$41,4,0)</f>
        <v>0</v>
      </c>
      <c r="F19" s="9">
        <f>VLOOKUP(A19,[12]HISTOBQUEMARS24!$A$6:$G$41,5,0)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VLOOKUP(A19,[14]TONTMARS24!$A$6:$R$39,12,0)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VLOOKUP(A20,[12]HISTOBQUEMARS24!$A$6:$G$46,3,0)</f>
        <v>427000</v>
      </c>
      <c r="E20" s="9">
        <f>VLOOKUP(A20,[12]HISTOBQUEMARS24!$A$6:$G$41,4,0)</f>
        <v>0</v>
      </c>
      <c r="F20" s="9">
        <f>VLOOKUP(A20,[12]HISTOBQUEMARS24!$A$6:$G$41,5,0)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VLOOKUP(A20,[14]TONTMARS24!$A$6:$R$39,12,0)</f>
        <v>0</v>
      </c>
      <c r="Q20" s="2">
        <f>VLOOKUP(A20,[15]TONTMARS24!$A$7:$P$23,10,0)</f>
        <v>0</v>
      </c>
      <c r="R20" s="2">
        <f>VLOOKUP(A20,[16]TONTMARS24!$A$7:$P$20,10,0)</f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>
        <v>2889015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VLOOKUP(A21,[12]HISTOBQUEMARS24!$A$6:$G$46,3,0)</f>
        <v>50000</v>
      </c>
      <c r="E21" s="9">
        <f>VLOOKUP(A21,[12]HISTOBQUEMARS24!$A$6:$G$41,4,0)</f>
        <v>0</v>
      </c>
      <c r="F21" s="9">
        <f>VLOOKUP(A21,[12]HISTOBQUEMARS24!$A$6:$G$41,5,0)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VLOOKUP(A21,[14]TONTMARS24!$A$6:$R$39,12,0)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VLOOKUP(A22,[12]HISTOBQUEMARS24!$A$6:$G$46,3,0)</f>
        <v>125000</v>
      </c>
      <c r="E22" s="9">
        <f>VLOOKUP(A22,[12]HISTOBQUEMARS24!$A$6:$G$41,4,0)</f>
        <v>0</v>
      </c>
      <c r="F22" s="9">
        <f>VLOOKUP(A22,[12]HISTOBQUEMARS24!$A$6:$G$41,5,0)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VLOOKUP(A22,[14]TONTMARS24!$A$6:$R$39,12,0)</f>
        <v>0</v>
      </c>
      <c r="Q22" s="2">
        <f>VLOOKUP(A22,[15]TONTMARS24!$A$7:$P$23,10,0)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>
        <v>2889015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VLOOKUP(A23,[12]HISTOBQUEMARS24!$A$6:$G$46,3,0)</f>
        <v>260000</v>
      </c>
      <c r="E23" s="9">
        <f>VLOOKUP(A23,[12]HISTOBQUEMARS24!$A$6:$G$41,4,0)</f>
        <v>0</v>
      </c>
      <c r="F23" s="9">
        <f>VLOOKUP(A23,[12]HISTOBQUEMARS24!$A$6:$G$41,5,0)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VLOOKUP(A23,[14]TONTMARS24!$A$6:$R$39,12,0)</f>
        <v>0</v>
      </c>
      <c r="Q23" s="2"/>
      <c r="R23" s="2">
        <f>VLOOKUP(A23,[16]TONTMARS24!$A$7:$P$20,10,0)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>
        <v>2889015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VLOOKUP(A24,[12]HISTOBQUEMARS24!$A$6:$G$46,3,0)</f>
        <v>240000</v>
      </c>
      <c r="E24" s="9">
        <f>VLOOKUP(A24,[12]HISTOBQUEMARS24!$A$6:$G$41,4,0)</f>
        <v>0</v>
      </c>
      <c r="F24" s="9">
        <f>VLOOKUP(A24,[12]HISTOBQUEMARS24!$A$6:$G$41,5,0)</f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VLOOKUP(A24,[14]TONTMARS24!$A$6:$R$39,12,0)</f>
        <v>0</v>
      </c>
      <c r="Q24" s="2">
        <f>VLOOKUP(A24,[15]TONTMARS24!$A$7:$P$23,10,0)</f>
        <v>0</v>
      </c>
      <c r="R24" s="2">
        <f>VLOOKUP(A24,[16]TONTMARS24!$A$7:$P$20,10,0)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 t="shared" si="14"/>
        <v>100000</v>
      </c>
      <c r="BA24" s="58"/>
      <c r="BB24" s="58"/>
      <c r="BC24" s="15"/>
      <c r="BD24" s="57">
        <f t="shared" si="15"/>
        <v>100000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VLOOKUP(A25,[12]HISTOBQUEMARS24!$A$6:$G$46,3,0)</f>
        <v>375000</v>
      </c>
      <c r="E25" s="9">
        <f>VLOOKUP(A25,[12]HISTOBQUEMARS24!$A$6:$G$41,4,0)</f>
        <v>104500</v>
      </c>
      <c r="F25" s="9">
        <f>VLOOKUP(A25,[12]HISTOBQUEMARS24!$A$6:$G$41,5,0)</f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VLOOKUP(A25,[14]TONTMARS24!$A$6:$R$39,12,0)</f>
        <v>0</v>
      </c>
      <c r="Q25" s="2">
        <f>VLOOKUP(A25,[15]TONTMARS24!$A$7:$P$23,10,0)</f>
        <v>0</v>
      </c>
      <c r="R25" s="2">
        <f>VLOOKUP(A25,[16]TONTMARS24!$A$7:$P$20,10,0)</f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>
        <v>2889015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VLOOKUP(A26,[12]HISTOBQUEMARS24!$A$6:$G$46,3,0)</f>
        <v>50000</v>
      </c>
      <c r="E26" s="9">
        <f>VLOOKUP(A26,[12]HISTOBQUEMARS24!$A$6:$G$41,4,0)</f>
        <v>0</v>
      </c>
      <c r="F26" s="9">
        <f>VLOOKUP(A26,[12]HISTOBQUEMARS24!$A$6:$G$41,5,0)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VLOOKUP(A26,[14]TONTMARS24!$A$6:$R$39,12,0)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VLOOKUP(A27,[12]HISTOBQUEMARS24!$A$6:$G$46,3,0)</f>
        <v>50000</v>
      </c>
      <c r="E27" s="9">
        <f>VLOOKUP(A27,[12]HISTOBQUEMARS24!$A$6:$G$41,4,0)</f>
        <v>0</v>
      </c>
      <c r="F27" s="9">
        <f>VLOOKUP(A27,[12]HISTOBQUEMARS24!$A$6:$G$41,5,0)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VLOOKUP(A27,[14]TONTMARS24!$A$6:$R$39,12,0)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>
        <v>2889015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VLOOKUP(A28,[12]HISTOBQUEMARS24!$A$6:$G$46,3,0)</f>
        <v>125000</v>
      </c>
      <c r="E28" s="9">
        <f>VLOOKUP(A28,[12]HISTOBQUEMARS24!$A$6:$G$41,4,0)</f>
        <v>0</v>
      </c>
      <c r="F28" s="9">
        <f>VLOOKUP(A28,[12]HISTOBQUEMARS24!$A$6:$G$41,5,0)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VLOOKUP(A28,[14]TONTMARS24!$A$6:$R$39,12,0)</f>
        <v>0</v>
      </c>
      <c r="Q28" s="2">
        <f>VLOOKUP(A28,[15]TONTMARS24!$A$7:$P$23,10,0)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VLOOKUP(A29,[12]HISTOBQUEMARS24!$A$6:$G$46,3,0)</f>
        <v>102000</v>
      </c>
      <c r="E29" s="9">
        <f>VLOOKUP(A29,[12]HISTOBQUEMARS24!$A$6:$G$41,4,0)</f>
        <v>0</v>
      </c>
      <c r="F29" s="9">
        <f>VLOOKUP(A29,[12]HISTOBQUEMARS24!$A$6:$G$41,5,0)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VLOOKUP(A29,[14]TONTMARS24!$A$6:$R$39,12,0)</f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VLOOKUP(A30,[12]HISTOBQUEMARS24!$A$6:$G$46,3,0)</f>
        <v>250000</v>
      </c>
      <c r="E30" s="9">
        <f>VLOOKUP(A30,[12]HISTOBQUEMARS24!$A$6:$G$41,4,0)</f>
        <v>0</v>
      </c>
      <c r="F30" s="9">
        <f>VLOOKUP(A30,[12]HISTOBQUEMARS24!$A$6:$G$41,5,0)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VLOOKUP(A30,[14]TONTMARS24!$A$6:$R$39,12,0)</f>
        <v>0</v>
      </c>
      <c r="Q30" s="2"/>
      <c r="R30" s="2">
        <f>VLOOKUP(A30,[16]TONTMARS24!$A$7:$P$20,10,0)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VLOOKUP(A31,[12]HISTOBQUEMARS24!$A$6:$G$46,3,0)+250000</f>
        <v>400000</v>
      </c>
      <c r="E31" s="9">
        <f>VLOOKUP(A31,[12]HISTOBQUEMARS24!$A$6:$G$41,4,0)</f>
        <v>0</v>
      </c>
      <c r="F31" s="9">
        <f>VLOOKUP(A31,[12]HISTOBQUEMARS24!$A$6:$G$41,5,0)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VLOOKUP(A31,[14]TONTMARS24!$A$6:$R$39,12,0)</f>
        <v>0</v>
      </c>
      <c r="Q31" s="2"/>
      <c r="R31" s="2">
        <f>VLOOKUP(A31,[16]TONTMARS24!$A$7:$P$20,10,0)</f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>
        <v>2889015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VLOOKUP(A32,[12]HISTOBQUEMARS24!$A$6:$G$46,3,0)</f>
        <v>125000</v>
      </c>
      <c r="E32" s="9">
        <f>VLOOKUP(A32,[12]HISTOBQUEMARS24!$A$6:$G$41,4,0)</f>
        <v>0</v>
      </c>
      <c r="F32" s="9">
        <f>VLOOKUP(A32,[12]HISTOBQUEMARS24!$A$6:$G$41,5,0)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VLOOKUP(A32,[14]TONTMARS24!$A$6:$R$39,12,0)</f>
        <v>0</v>
      </c>
      <c r="Q32" s="2">
        <f>VLOOKUP(A32,[15]TONTMARS24!$A$7:$P$23,10,0)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N32" t="s">
        <v>203</v>
      </c>
      <c r="BP32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VLOOKUP(A33,[12]HISTOBQUEMARS24!$A$6:$G$46,3,0)</f>
        <v>200000</v>
      </c>
      <c r="E33" s="9">
        <f>VLOOKUP(A33,[12]HISTOBQUEMARS24!$A$6:$G$41,4,0)</f>
        <v>0</v>
      </c>
      <c r="F33" s="9">
        <f>VLOOKUP(A33,[12]HISTOBQUEMARS24!$A$6:$G$41,5,0)</f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VLOOKUP(A33,[14]TONTMARS24!$A$6:$R$39,12,0)</f>
        <v>0</v>
      </c>
      <c r="Q33" s="2"/>
      <c r="R33" s="2">
        <f>VLOOKUP(A33,[16]TONTMARS24!$A$7:$P$20,10,0)</f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VLOOKUP(A34,[12]HISTOBQUEMARS24!$A$6:$G$46,3,0)</f>
        <v>50000</v>
      </c>
      <c r="E34" s="9">
        <f>VLOOKUP(A34,[12]HISTOBQUEMARS24!$A$6:$G$41,4,0)</f>
        <v>0</v>
      </c>
      <c r="F34" s="9">
        <f>VLOOKUP(A34,[12]HISTOBQUEMARS24!$A$6:$G$41,5,0)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VLOOKUP(A34,[14]TONTMARS24!$A$6:$R$39,12,0)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VLOOKUP(A35,[12]HISTOBQUEMARS24!$A$6:$G$46,3,0)</f>
        <v>60000</v>
      </c>
      <c r="E35" s="9">
        <f>VLOOKUP(A35,[12]HISTOBQUEMARS24!$A$6:$G$41,4,0)</f>
        <v>0</v>
      </c>
      <c r="F35" s="9">
        <f>VLOOKUP(A35,[12]HISTOBQUEMARS24!$A$6:$G$41,5,0)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VLOOKUP(A35,[14]TONTMARS24!$A$6:$R$39,12,0)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VLOOKUP(A36,[12]HISTOBQUEMARS24!$A$6:$G$46,3,0)</f>
        <v>50000</v>
      </c>
      <c r="E36" s="9">
        <f>VLOOKUP(A36,[12]HISTOBQUEMARS24!$A$6:$G$41,4,0)</f>
        <v>0</v>
      </c>
      <c r="F36" s="9">
        <f>VLOOKUP(A36,[12]HISTOBQUEMARS24!$A$6:$G$41,5,0)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VLOOKUP(A36,[14]TONTMARS24!$A$6:$R$39,12,0)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VLOOKUP(A37,[12]HISTOBQUEMARS24!$A$6:$G$46,3,0)</f>
        <v>0</v>
      </c>
      <c r="E37" s="9">
        <f>VLOOKUP(A37,[12]HISTOBQUEMARS24!$A$6:$G$41,4,0)</f>
        <v>153000</v>
      </c>
      <c r="F37" s="9">
        <f>VLOOKUP(A37,[12]HISTOBQUEMARS24!$A$6:$G$41,5,0)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VLOOKUP(A37,[14]TONTMARS24!$A$6:$R$39,12,0)</f>
        <v>0</v>
      </c>
      <c r="Q37" s="2"/>
      <c r="R37" s="2">
        <f>VLOOKUP(A37,[16]TONTMARS24!$A$7:$P$20,10,0)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VLOOKUP(A38,[12]HISTOBQUEMARS24!$A$6:$G$46,3,0)</f>
        <v>125000</v>
      </c>
      <c r="E38" s="9">
        <f>VLOOKUP(A38,[12]HISTOBQUEMARS24!$A$6:$G$41,4,0)</f>
        <v>0</v>
      </c>
      <c r="F38" s="9">
        <f>VLOOKUP(A38,[12]HISTOBQUEMARS24!$A$6:$G$41,5,0)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VLOOKUP(A38,[14]TONTMARS24!$A$6:$R$39,12,0)</f>
        <v>0</v>
      </c>
      <c r="Q38" s="2">
        <f>VLOOKUP(A38,[15]TONTMARS24!$A$7:$P$23,10,0)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9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31000</v>
      </c>
      <c r="D40" s="5">
        <f t="shared" si="16"/>
        <v>5307000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129000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6094500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929000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5061000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4400500</v>
      </c>
      <c r="BE40" s="5">
        <f t="shared" si="18"/>
        <v>37557195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5061000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9590000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212000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292000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1462500</v>
      </c>
      <c r="D40" s="5">
        <f t="shared" si="16"/>
        <v>5449500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5449500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3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212000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292000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1462500</v>
      </c>
      <c r="D40" s="5">
        <f t="shared" si="16"/>
        <v>5449500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5449500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212000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292000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1462500</v>
      </c>
      <c r="D40" s="5">
        <f t="shared" si="16"/>
        <v>5449500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5449500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212000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292000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1462500</v>
      </c>
      <c r="D40" s="5">
        <f t="shared" si="16"/>
        <v>5449500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5449500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511000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27000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157000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1915000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325000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1071000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1032000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1424000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1429000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3728000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30000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382000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55000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5530000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-1000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719000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24000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27000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384000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-2000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679500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23000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574000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600000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3000000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405000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580000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430000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450000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27000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-3000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74000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22000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40000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90000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65000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503000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27000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77000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64476500</v>
      </c>
      <c r="E40" s="5">
        <f t="shared" si="7"/>
        <v>4404500</v>
      </c>
      <c r="F40" s="5">
        <f t="shared" si="7"/>
        <v>1500000</v>
      </c>
      <c r="G40" s="5">
        <f t="shared" si="7"/>
        <v>120000</v>
      </c>
      <c r="H40" s="5">
        <f t="shared" si="7"/>
        <v>0</v>
      </c>
      <c r="I40" s="5">
        <f t="shared" si="7"/>
        <v>1166500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10104000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389000</v>
      </c>
      <c r="AK40" s="5">
        <f t="shared" si="9"/>
        <v>1636500</v>
      </c>
      <c r="AL40" s="5">
        <f t="shared" si="9"/>
        <v>9500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1966500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2615000</v>
      </c>
      <c r="AX40" s="5">
        <f t="shared" si="9"/>
        <v>4704000</v>
      </c>
      <c r="AY40" s="5">
        <f t="shared" si="9"/>
        <v>8336500</v>
      </c>
      <c r="AZ40" s="5">
        <f t="shared" si="9"/>
        <v>19270000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17243800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19270000</v>
      </c>
      <c r="D47" s="9">
        <f>SUMIFS(D8:D40,H8:H40,"BANQUE")</f>
        <v>0</v>
      </c>
      <c r="F47" s="9">
        <f>E40</f>
        <v>4404500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37094000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