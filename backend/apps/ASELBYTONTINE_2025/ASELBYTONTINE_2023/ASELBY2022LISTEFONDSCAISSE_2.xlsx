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6810"/>
  </bookViews>
  <sheets>
    <sheet name="FONDSCAISSE" sheetId="2" r:id="rId1"/>
    <sheet name="FONDSCAISSEBACKUP" sheetId="3" r:id="rId2"/>
    <sheet name="FONDSTRANSPORT" sheetId="4" r:id="rId3"/>
    <sheet name="FONDSCAISSE2020" sheetId="5" r:id="rId4"/>
  </sheets>
  <externalReferences>
    <externalReference r:id="rId5"/>
    <externalReference r:id="rId6"/>
    <externalReference r:id="rId7"/>
    <externalReference r:id="rId8"/>
  </externalReferences>
  <definedNames>
    <definedName name="BANQUE" localSheetId="3">#REF!</definedName>
    <definedName name="BANQUE" localSheetId="1">#REF!</definedName>
    <definedName name="BANQUE" localSheetId="2">#REF!</definedName>
    <definedName name="BANQUE">#REF!</definedName>
    <definedName name="MODEPAID">[1]Feuil2!$A$1:$A$3</definedName>
    <definedName name="MODEVERSEMENT" localSheetId="3">#REF!</definedName>
    <definedName name="MODEVERSEMENT" localSheetId="1">#REF!</definedName>
    <definedName name="MODEVERSEMENT" localSheetId="2">#REF!</definedName>
    <definedName name="MODEVERSEMENT">#REF!</definedName>
    <definedName name="MODEVERSEMENTS">[2]MODEVERSEMENT!$A$1:$A$3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4" i="2"/>
  <c r="F53" i="5" l="1"/>
  <c r="E53" i="5"/>
  <c r="D51" i="5"/>
  <c r="H51" i="5" s="1"/>
  <c r="C51" i="5"/>
  <c r="D50" i="5"/>
  <c r="H50" i="5" s="1"/>
  <c r="C50" i="5"/>
  <c r="D49" i="5"/>
  <c r="H49" i="5" s="1"/>
  <c r="C49" i="5"/>
  <c r="D48" i="5"/>
  <c r="C48" i="5"/>
  <c r="D47" i="5"/>
  <c r="C47" i="5"/>
  <c r="I46" i="5"/>
  <c r="D46" i="5"/>
  <c r="H46" i="5" s="1"/>
  <c r="C46" i="5"/>
  <c r="D45" i="5"/>
  <c r="H45" i="5" s="1"/>
  <c r="C45" i="5"/>
  <c r="D44" i="5"/>
  <c r="C44" i="5"/>
  <c r="D43" i="5"/>
  <c r="H43" i="5" s="1"/>
  <c r="C43" i="5"/>
  <c r="D42" i="5"/>
  <c r="H42" i="5" s="1"/>
  <c r="C42" i="5"/>
  <c r="D41" i="5"/>
  <c r="H41" i="5" s="1"/>
  <c r="C41" i="5"/>
  <c r="G40" i="5"/>
  <c r="H40" i="5" s="1"/>
  <c r="C40" i="5"/>
  <c r="D39" i="5"/>
  <c r="H39" i="5" s="1"/>
  <c r="C39" i="5"/>
  <c r="D38" i="5"/>
  <c r="C38" i="5"/>
  <c r="D37" i="5"/>
  <c r="H37" i="5" s="1"/>
  <c r="C37" i="5"/>
  <c r="D36" i="5"/>
  <c r="C36" i="5"/>
  <c r="D35" i="5"/>
  <c r="H35" i="5" s="1"/>
  <c r="C35" i="5"/>
  <c r="D34" i="5"/>
  <c r="H34" i="5" s="1"/>
  <c r="C34" i="5"/>
  <c r="D33" i="5"/>
  <c r="H33" i="5" s="1"/>
  <c r="C33" i="5"/>
  <c r="D32" i="5"/>
  <c r="C32" i="5"/>
  <c r="D31" i="5"/>
  <c r="H31" i="5" s="1"/>
  <c r="C31" i="5"/>
  <c r="H30" i="5"/>
  <c r="G30" i="5"/>
  <c r="D30" i="5"/>
  <c r="C30" i="5"/>
  <c r="D29" i="5"/>
  <c r="H29" i="5" s="1"/>
  <c r="C29" i="5"/>
  <c r="H28" i="5"/>
  <c r="C28" i="5"/>
  <c r="D27" i="5"/>
  <c r="C27" i="5"/>
  <c r="D26" i="5"/>
  <c r="H26" i="5" s="1"/>
  <c r="C26" i="5"/>
  <c r="D25" i="5"/>
  <c r="H25" i="5" s="1"/>
  <c r="C25" i="5"/>
  <c r="G24" i="5"/>
  <c r="G53" i="5" s="1"/>
  <c r="D24" i="5"/>
  <c r="H24" i="5" s="1"/>
  <c r="C24" i="5"/>
  <c r="H23" i="5"/>
  <c r="C23" i="5"/>
  <c r="D22" i="5"/>
  <c r="H22" i="5" s="1"/>
  <c r="C22" i="5"/>
  <c r="D21" i="5"/>
  <c r="H21" i="5" s="1"/>
  <c r="C21" i="5"/>
  <c r="D20" i="5"/>
  <c r="H20" i="5" s="1"/>
  <c r="C20" i="5"/>
  <c r="D19" i="5"/>
  <c r="H19" i="5" s="1"/>
  <c r="C19" i="5"/>
  <c r="D18" i="5"/>
  <c r="H18" i="5" s="1"/>
  <c r="C18" i="5"/>
  <c r="D17" i="5"/>
  <c r="H17" i="5" s="1"/>
  <c r="C17" i="5"/>
  <c r="D16" i="5"/>
  <c r="H16" i="5" s="1"/>
  <c r="C16" i="5"/>
  <c r="D15" i="5"/>
  <c r="C15" i="5"/>
  <c r="D14" i="5"/>
  <c r="H14" i="5" s="1"/>
  <c r="C14" i="5"/>
  <c r="D13" i="5"/>
  <c r="H13" i="5" s="1"/>
  <c r="C13" i="5"/>
  <c r="D12" i="5"/>
  <c r="H12" i="5" s="1"/>
  <c r="C12" i="5"/>
  <c r="H11" i="5"/>
  <c r="C11" i="5"/>
  <c r="D10" i="5"/>
  <c r="H10" i="5" s="1"/>
  <c r="C10" i="5"/>
  <c r="D9" i="5"/>
  <c r="H9" i="5" s="1"/>
  <c r="C9" i="5"/>
  <c r="H8" i="5"/>
  <c r="C8" i="5"/>
  <c r="D7" i="5"/>
  <c r="H7" i="5" s="1"/>
  <c r="C7" i="5"/>
  <c r="H6" i="5"/>
  <c r="C6" i="5"/>
  <c r="D5" i="5"/>
  <c r="C5" i="5"/>
  <c r="D4" i="5"/>
  <c r="H4" i="5" s="1"/>
  <c r="C4" i="5"/>
  <c r="D3" i="5"/>
  <c r="C3" i="5"/>
  <c r="D2" i="5"/>
  <c r="C2" i="5"/>
  <c r="D53" i="5" l="1"/>
  <c r="H2" i="5"/>
  <c r="H53" i="5" s="1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2" i="3"/>
  <c r="F36" i="2"/>
  <c r="E36" i="2"/>
  <c r="G36" i="2" l="1"/>
  <c r="O52" i="3" l="1"/>
  <c r="O51" i="3"/>
  <c r="O50" i="3"/>
  <c r="O49" i="3"/>
  <c r="O48" i="3"/>
  <c r="C47" i="3"/>
  <c r="O47" i="3" s="1"/>
  <c r="C46" i="3"/>
  <c r="O46" i="3" s="1"/>
  <c r="C45" i="3"/>
  <c r="O45" i="3" s="1"/>
  <c r="C44" i="3"/>
  <c r="O44" i="3" s="1"/>
  <c r="C43" i="3"/>
  <c r="O43" i="3" s="1"/>
  <c r="C42" i="3"/>
  <c r="O42" i="3" s="1"/>
  <c r="C41" i="3"/>
  <c r="O41" i="3" s="1"/>
  <c r="C40" i="3"/>
  <c r="O40" i="3" s="1"/>
  <c r="C39" i="3"/>
  <c r="O39" i="3" s="1"/>
  <c r="C38" i="3"/>
  <c r="O38" i="3" s="1"/>
  <c r="C37" i="3"/>
  <c r="O37" i="3" s="1"/>
  <c r="C36" i="3"/>
  <c r="O36" i="3" s="1"/>
  <c r="C35" i="3"/>
  <c r="O35" i="3" s="1"/>
  <c r="C34" i="3"/>
  <c r="O34" i="3" s="1"/>
  <c r="C33" i="3"/>
  <c r="O33" i="3" s="1"/>
  <c r="C32" i="3"/>
  <c r="O32" i="3" s="1"/>
  <c r="C30" i="3"/>
  <c r="O30" i="3" s="1"/>
  <c r="C28" i="3"/>
  <c r="O28" i="3" s="1"/>
  <c r="C27" i="3"/>
  <c r="O27" i="3" s="1"/>
  <c r="C26" i="3"/>
  <c r="O26" i="3" s="1"/>
  <c r="C25" i="3"/>
  <c r="O25" i="3" s="1"/>
  <c r="C24" i="3"/>
  <c r="O24" i="3" s="1"/>
  <c r="C23" i="3"/>
  <c r="O23" i="3" s="1"/>
  <c r="C22" i="3"/>
  <c r="O22" i="3" s="1"/>
  <c r="C21" i="3"/>
  <c r="O21" i="3" s="1"/>
  <c r="C20" i="3"/>
  <c r="O20" i="3" s="1"/>
  <c r="C19" i="3"/>
  <c r="O19" i="3" s="1"/>
  <c r="C18" i="3"/>
  <c r="O18" i="3" s="1"/>
  <c r="C17" i="3"/>
  <c r="O17" i="3" s="1"/>
  <c r="C16" i="3"/>
  <c r="O16" i="3" s="1"/>
  <c r="C15" i="3"/>
  <c r="O15" i="3" s="1"/>
  <c r="C14" i="3"/>
  <c r="O14" i="3" s="1"/>
  <c r="C13" i="3"/>
  <c r="O13" i="3" s="1"/>
  <c r="C12" i="3"/>
  <c r="O12" i="3" s="1"/>
  <c r="C11" i="3"/>
  <c r="O11" i="3" s="1"/>
  <c r="C10" i="3"/>
  <c r="O10" i="3" s="1"/>
  <c r="C9" i="3"/>
  <c r="O9" i="3" s="1"/>
  <c r="C8" i="3"/>
  <c r="O8" i="3" s="1"/>
  <c r="C7" i="3"/>
  <c r="O7" i="3" s="1"/>
  <c r="C6" i="3"/>
  <c r="O6" i="3" s="1"/>
  <c r="C5" i="3"/>
  <c r="O5" i="3" s="1"/>
  <c r="C4" i="3"/>
  <c r="O4" i="3" s="1"/>
  <c r="C3" i="3"/>
  <c r="O3" i="3" s="1"/>
  <c r="C2" i="3"/>
  <c r="O2" i="3" s="1"/>
  <c r="H36" i="2" l="1"/>
  <c r="D36" i="2"/>
</calcChain>
</file>

<file path=xl/sharedStrings.xml><?xml version="1.0" encoding="utf-8"?>
<sst xmlns="http://schemas.openxmlformats.org/spreadsheetml/2006/main" count="168" uniqueCount="81">
  <si>
    <t>MLE</t>
  </si>
  <si>
    <t>NOM ET  PRENOM</t>
  </si>
  <si>
    <t>AS201601</t>
  </si>
  <si>
    <t>AS201602</t>
  </si>
  <si>
    <t>AS201603</t>
  </si>
  <si>
    <t>AS201604</t>
  </si>
  <si>
    <t>AS201605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</si>
  <si>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</si>
  <si>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</si>
  <si>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</si>
  <si>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</si>
  <si>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</si>
  <si>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</si>
  <si>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</si>
  <si>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</si>
  <si>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</si>
  <si>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</si>
  <si>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</si>
  <si>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</si>
  <si>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</si>
  <si>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</si>
  <si>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</si>
  <si>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</si>
  <si>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</si>
  <si>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</si>
  <si>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</si>
  <si>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</si>
  <si>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</si>
  <si>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</si>
  <si>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</si>
  <si>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</si>
  <si>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</si>
  <si>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</si>
  <si>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</si>
  <si>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</si>
  <si>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</si>
  <si>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</si>
  <si>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</si>
  <si>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</si>
  <si>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</si>
  <si>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</si>
  <si>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</si>
  <si>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</si>
  <si>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</si>
  <si>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</si>
  <si>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</si>
  <si>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</si>
  <si>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AS201648</t>
  </si>
  <si>
    <t>TOTAL</t>
  </si>
  <si>
    <t>AS201651</t>
  </si>
  <si>
    <t>AS201652</t>
  </si>
  <si>
    <t>AS201653</t>
  </si>
  <si>
    <t>AS201649</t>
  </si>
  <si>
    <t>AS201650</t>
  </si>
  <si>
    <t>NUMORDRE</t>
  </si>
  <si>
    <t>COMPTE GELE</t>
  </si>
  <si>
    <t>MONTANT AREVERSER</t>
  </si>
  <si>
    <t>AVALISTE</t>
  </si>
  <si>
    <t>FONDS DE CAISSE</t>
  </si>
  <si>
    <t>FOTSO THOMAS</t>
  </si>
  <si>
    <t>ENGAGE</t>
  </si>
  <si>
    <t>DETTE</t>
  </si>
  <si>
    <t>NKAMGANG DEJOLIE</t>
  </si>
  <si>
    <t>TONTINE 30000</t>
  </si>
  <si>
    <t>TCHOUANTE FRANCOIS</t>
  </si>
  <si>
    <t>NDJOMO ETIENNE</t>
  </si>
  <si>
    <t>PAS DE TRACE</t>
  </si>
  <si>
    <t>0K</t>
  </si>
  <si>
    <t>AS201654</t>
  </si>
  <si>
    <t>REMBOURSE</t>
  </si>
  <si>
    <t>PAYE</t>
  </si>
  <si>
    <t>DATE</t>
  </si>
  <si>
    <t>LIBELLE</t>
  </si>
  <si>
    <t>ENTREE</t>
  </si>
  <si>
    <t>SORTIE</t>
  </si>
  <si>
    <t>SOLDE</t>
  </si>
  <si>
    <t>REPORT A NOUVEAU</t>
  </si>
  <si>
    <t>COLLECTE</t>
  </si>
  <si>
    <t>AS201656</t>
  </si>
  <si>
    <t>AS201657</t>
  </si>
  <si>
    <t>AS201658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</si>
</sst>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Britannic Bold"/>
      <family val="2"/>
    </font>
    <font>
      <b/>
      <sz val="14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2" xfId="0" applyBorder="1"/>
    <xf numFmtId="17" fontId="0" fillId="0" borderId="0" xfId="0" applyNumberFormat="1"/>
    <xf numFmtId="3" fontId="0" fillId="0" borderId="0" xfId="0" applyNumberFormat="1"/>
    <xf numFmtId="0" fontId="0" fillId="0" borderId="1" xfId="0" applyNumberFormat="1" applyBorder="1"/>
    <xf numFmtId="0" fontId="0" fillId="0" borderId="5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0" fillId="0" borderId="4" xfId="0" applyBorder="1"/>
    <xf numFmtId="0" fontId="0" fillId="0" borderId="8" xfId="0" applyBorder="1"/>
    <xf numFmtId="17" fontId="0" fillId="0" borderId="8" xfId="0" applyNumberFormat="1" applyBorder="1"/>
    <xf numFmtId="0" fontId="0" fillId="0" borderId="9" xfId="0" applyBorder="1"/>
    <xf numFmtId="0" fontId="1" fillId="0" borderId="10" xfId="0" applyFont="1" applyBorder="1"/>
    <xf numFmtId="3" fontId="0" fillId="0" borderId="10" xfId="0" applyNumberFormat="1" applyBorder="1"/>
    <xf numFmtId="0" fontId="0" fillId="0" borderId="10" xfId="0" applyBorder="1"/>
    <xf numFmtId="3" fontId="0" fillId="0" borderId="11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3" fontId="0" fillId="0" borderId="0" xfId="0" applyNumberFormat="1" applyFill="1" applyBorder="1"/>
    <xf numFmtId="0" fontId="2" fillId="0" borderId="4" xfId="0" applyNumberFormat="1" applyFont="1" applyBorder="1"/>
    <xf numFmtId="0" fontId="2" fillId="0" borderId="10" xfId="0" applyNumberFormat="1" applyFont="1" applyBorder="1"/>
    <xf numFmtId="3" fontId="2" fillId="0" borderId="10" xfId="0" applyNumberFormat="1" applyFont="1" applyBorder="1"/>
    <xf numFmtId="3" fontId="2" fillId="0" borderId="0" xfId="0" applyNumberFormat="1" applyFont="1"/>
    <xf numFmtId="3" fontId="2" fillId="0" borderId="11" xfId="0" applyNumberFormat="1" applyFont="1" applyBorder="1"/>
    <xf numFmtId="0" fontId="2" fillId="0" borderId="0" xfId="0" applyFont="1"/>
    <xf numFmtId="3" fontId="3" fillId="0" borderId="0" xfId="0" applyNumberFormat="1" applyFont="1"/>
    <xf numFmtId="3" fontId="2" fillId="0" borderId="0" xfId="0" applyNumberFormat="1" applyFont="1" applyFill="1" applyBorder="1"/>
    <xf numFmtId="0" fontId="2" fillId="0" borderId="4" xfId="0" applyFont="1" applyBorder="1"/>
    <xf numFmtId="0" fontId="2" fillId="0" borderId="10" xfId="0" applyFont="1" applyBorder="1"/>
    <xf numFmtId="0" fontId="0" fillId="0" borderId="11" xfId="0" applyBorder="1"/>
    <xf numFmtId="0" fontId="0" fillId="0" borderId="5" xfId="0" applyNumberFormat="1" applyFill="1" applyBorder="1"/>
    <xf numFmtId="0" fontId="0" fillId="0" borderId="12" xfId="0" applyNumberFormat="1" applyBorder="1"/>
    <xf numFmtId="0" fontId="0" fillId="0" borderId="12" xfId="0" applyBorder="1"/>
    <xf numFmtId="3" fontId="4" fillId="0" borderId="12" xfId="0" applyNumberFormat="1" applyFont="1" applyBorder="1"/>
    <xf numFmtId="3" fontId="4" fillId="0" borderId="13" xfId="0" applyNumberFormat="1" applyFont="1" applyBorder="1"/>
    <xf numFmtId="164" fontId="0" fillId="0" borderId="0" xfId="0" applyNumberFormat="1"/>
    <xf numFmtId="0" fontId="1" fillId="0" borderId="4" xfId="0" applyFont="1" applyBorder="1"/>
    <xf numFmtId="3" fontId="6" fillId="0" borderId="12" xfId="0" applyNumberFormat="1" applyFont="1" applyBorder="1"/>
    <xf numFmtId="0" fontId="5" fillId="0" borderId="4" xfId="0" applyFont="1" applyBorder="1"/>
    <xf numFmtId="3" fontId="1" fillId="0" borderId="10" xfId="0" applyNumberFormat="1" applyFont="1" applyBorder="1"/>
    <xf numFmtId="0" fontId="7" fillId="2" borderId="3" xfId="0" applyNumberFormat="1" applyFont="1" applyFill="1" applyBorder="1"/>
    <xf numFmtId="0" fontId="7" fillId="2" borderId="8" xfId="0" applyNumberFormat="1" applyFont="1" applyFill="1" applyBorder="1"/>
    <xf numFmtId="0" fontId="7" fillId="2" borderId="8" xfId="0" applyFont="1" applyFill="1" applyBorder="1"/>
    <xf numFmtId="17" fontId="7" fillId="2" borderId="8" xfId="0" applyNumberFormat="1" applyFont="1" applyFill="1" applyBorder="1"/>
    <xf numFmtId="0" fontId="7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>
        <row r="5">
          <cell r="O5">
            <v>0</v>
          </cell>
        </row>
        <row r="6">
          <cell r="O6">
            <v>420000</v>
          </cell>
        </row>
        <row r="7">
          <cell r="O7">
            <v>420000</v>
          </cell>
        </row>
        <row r="8">
          <cell r="O8">
            <v>420000</v>
          </cell>
        </row>
        <row r="9">
          <cell r="O9">
            <v>420000</v>
          </cell>
        </row>
        <row r="10">
          <cell r="O10">
            <v>420000</v>
          </cell>
        </row>
        <row r="13">
          <cell r="O13">
            <v>420000</v>
          </cell>
        </row>
        <row r="14">
          <cell r="O14">
            <v>420000</v>
          </cell>
        </row>
        <row r="15">
          <cell r="O15">
            <v>420000</v>
          </cell>
        </row>
        <row r="16">
          <cell r="O16">
            <v>420000</v>
          </cell>
        </row>
        <row r="17">
          <cell r="O17">
            <v>50000</v>
          </cell>
        </row>
        <row r="18">
          <cell r="O18">
            <v>420000</v>
          </cell>
        </row>
        <row r="19">
          <cell r="O19">
            <v>357000</v>
          </cell>
        </row>
        <row r="20">
          <cell r="O20">
            <v>420000</v>
          </cell>
        </row>
        <row r="21">
          <cell r="O21">
            <v>420000</v>
          </cell>
        </row>
        <row r="22">
          <cell r="O22">
            <v>420000</v>
          </cell>
        </row>
        <row r="23">
          <cell r="O23">
            <v>420000</v>
          </cell>
        </row>
        <row r="24">
          <cell r="O24">
            <v>420000</v>
          </cell>
        </row>
        <row r="25">
          <cell r="O25">
            <v>420000</v>
          </cell>
        </row>
        <row r="26">
          <cell r="O26">
            <v>420000</v>
          </cell>
        </row>
        <row r="27">
          <cell r="O27">
            <v>420000</v>
          </cell>
        </row>
        <row r="28">
          <cell r="O28">
            <v>420000</v>
          </cell>
        </row>
        <row r="29">
          <cell r="O29">
            <v>420000</v>
          </cell>
        </row>
        <row r="30">
          <cell r="O30">
            <v>0</v>
          </cell>
        </row>
        <row r="31">
          <cell r="O31">
            <v>420000</v>
          </cell>
        </row>
        <row r="32">
          <cell r="O32">
            <v>420000</v>
          </cell>
        </row>
        <row r="33">
          <cell r="O33">
            <v>420000</v>
          </cell>
        </row>
        <row r="34">
          <cell r="O34">
            <v>420000</v>
          </cell>
        </row>
        <row r="36">
          <cell r="O36">
            <v>0</v>
          </cell>
        </row>
        <row r="38">
          <cell r="O38">
            <v>420000</v>
          </cell>
        </row>
        <row r="39">
          <cell r="O39">
            <v>420000</v>
          </cell>
        </row>
        <row r="40">
          <cell r="O40">
            <v>390000</v>
          </cell>
        </row>
        <row r="41">
          <cell r="O41">
            <v>420000</v>
          </cell>
        </row>
        <row r="42">
          <cell r="O42">
            <v>420000</v>
          </cell>
        </row>
        <row r="43">
          <cell r="O43">
            <v>420000</v>
          </cell>
        </row>
        <row r="44">
          <cell r="O44">
            <v>390000</v>
          </cell>
        </row>
        <row r="45">
          <cell r="O45">
            <v>20000</v>
          </cell>
        </row>
        <row r="46">
          <cell r="O46">
            <v>420000</v>
          </cell>
        </row>
        <row r="47">
          <cell r="O47">
            <v>403819</v>
          </cell>
        </row>
        <row r="48">
          <cell r="O48">
            <v>0</v>
          </cell>
        </row>
        <row r="49">
          <cell r="O49">
            <v>420000</v>
          </cell>
        </row>
        <row r="50">
          <cell r="O50">
            <v>420000</v>
          </cell>
        </row>
        <row r="51">
          <cell r="O51">
            <v>420000</v>
          </cell>
        </row>
        <row r="52">
          <cell r="O52">
            <v>420000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  <cell r="I5" t="str">
            <v>ACTIF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  <cell r="I6" t="str">
            <v>ACTIF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  <cell r="I7" t="str">
            <v>DEMISSION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  <cell r="I8" t="str">
            <v>ACTIF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  <cell r="I9" t="str">
            <v>ACTIF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  <cell r="I10" t="str">
            <v>DECEDE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  <cell r="I11" t="str">
            <v>DECEDE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  <cell r="I12" t="str">
            <v>ACTIF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  <cell r="I13" t="str">
            <v>ACTIF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  <cell r="I14" t="str">
            <v>ACTIF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  <cell r="I15" t="str">
            <v>ACTIF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  <cell r="I16" t="str">
            <v>DEMISSION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  <cell r="I17" t="str">
            <v>ACTIF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  <cell r="I18" t="str">
            <v>ACTIF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  <cell r="I19" t="str">
            <v>DECEDE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  <cell r="I20" t="str">
            <v>ACTIF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  <cell r="I21" t="str">
            <v>ACTIF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  <cell r="I22" t="str">
            <v>DECEDE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  <cell r="I23" t="str">
            <v>ACTIF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  <cell r="I25" t="str">
            <v>ACTIF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  <cell r="I26" t="str">
            <v>ACTIF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  <cell r="I27" t="str">
            <v>DEMISSION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  <cell r="I28" t="str">
            <v>ACTIF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  <cell r="I29" t="str">
            <v>DEMISSION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  <cell r="I30" t="str">
            <v>ACTIF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  <cell r="I31" t="str">
            <v>DEMISSION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  <cell r="I32" t="str">
            <v>ACTIF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  <cell r="I33" t="str">
            <v>ACTIF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  <cell r="I34" t="str">
            <v>DECEDE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  <cell r="I35" t="str">
            <v>DEMISSION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  <cell r="I36" t="str">
            <v>DECEDE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  <cell r="I37" t="str">
            <v>ACTIF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  <cell r="I38" t="str">
            <v>DEMISSION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  <cell r="I39" t="str">
            <v>DEMISSION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  <cell r="I40" t="str">
            <v>ACTIF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  <cell r="I41" t="str">
            <v>DECEDE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  <cell r="I42" t="str">
            <v>ACTIF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  <cell r="I43" t="str">
            <v>ACTIF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  <cell r="I44" t="str">
            <v>DECEDE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  <cell r="I45" t="str">
            <v>ACTIF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  <cell r="I46" t="str">
            <v>DEMISSION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  <cell r="I47" t="str">
            <v>DEMISSION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  <cell r="I48" t="str">
            <v>ACTIF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  <cell r="I49" t="str">
            <v>DECEDE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  <cell r="I50" t="str">
            <v>ACTIF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  <cell r="I51" t="str">
            <v>ACTIF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 t="str">
            <v>ACTIF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  <cell r="I53" t="str">
            <v>ACTIF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 t="str">
            <v>DEMISSION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 t="str">
            <v>DEMISSION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 t="str">
            <v>ACTIF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I59" t="str">
            <v>DECEDE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I60" t="str">
            <v>DEMISSION</v>
          </cell>
        </row>
      </sheetData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  <cell r="I5" t="str">
            <v>ACTIF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  <cell r="I6" t="str">
            <v>ACTIF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  <cell r="I7" t="str">
            <v>ACTIF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  <cell r="I8" t="str">
            <v>ACTIF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  <cell r="I10" t="str">
            <v>ACTIF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  <cell r="I11" t="str">
            <v>ACTIF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  <cell r="I12" t="str">
            <v>ACTIF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  <cell r="I13" t="str">
            <v>ACTIF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  <cell r="I14" t="str">
            <v>ACTIF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I15" t="str">
            <v>ACTIF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  <cell r="I16" t="str">
            <v>ACTIF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  <cell r="I17" t="str">
            <v>ACTIF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  <cell r="I18" t="str">
            <v>ACTIF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  <cell r="I19" t="str">
            <v>ACTIF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  <cell r="I20" t="str">
            <v>ACTIF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  <cell r="I21" t="str">
            <v>ACTIF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  <cell r="I22" t="str">
            <v>ACTIF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  <cell r="I23" t="str">
            <v>ACTIF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  <cell r="I24" t="str">
            <v>ACTIF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  <cell r="I25" t="str">
            <v>ACTIF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  <cell r="I26" t="str">
            <v>ACTIF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  <cell r="I27" t="str">
            <v>ACTIF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I28" t="str">
            <v>ACTIF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  <cell r="I29" t="str">
            <v>ACTIF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I30" t="str">
            <v>ACTIF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I31" t="str">
            <v>ACTIF</v>
          </cell>
        </row>
        <row r="32">
          <cell r="A32" t="str">
            <v>AS201654</v>
          </cell>
          <cell r="B32">
            <v>28</v>
          </cell>
          <cell r="C32" t="str">
            <v>DJOMOU TCHANDA</v>
          </cell>
          <cell r="I32" t="str">
            <v>ACTIF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I33" t="str">
            <v>ACTIF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  <cell r="I34" t="str">
            <v>ACTIF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7"/>
  <sheetViews>
    <sheetView tabSelected="1" workbookViewId="0">
      <selection activeCell="J10" sqref="J10"/>
    </sheetView>
  </sheetViews>
  <sheetFormatPr baseColWidth="10" defaultRowHeight="15" x14ac:dyDescent="0.25"/>
  <cols>
    <col min="1" max="1" width="12.28515625" style="8" customWidth="1"/>
    <col min="2" max="2" width="9.28515625" style="8" customWidth="1"/>
    <col min="3" max="3" width="31.85546875" bestFit="1" customWidth="1"/>
    <col min="4" max="4" width="13.85546875" bestFit="1" customWidth="1"/>
    <col min="5" max="6" width="8.85546875" bestFit="1" customWidth="1"/>
    <col min="7" max="7" width="9.5703125" style="3" bestFit="1" customWidth="1"/>
    <col min="8" max="8" width="9.85546875" bestFit="1" customWidth="1"/>
  </cols>
  <sheetData>
    <row r="2" spans="1:8" ht="15.75" thickBot="1" x14ac:dyDescent="0.3"/>
    <row r="3" spans="1:8" ht="21.75" thickTop="1" x14ac:dyDescent="0.35">
      <c r="A3" s="44" t="s">
        <v>0</v>
      </c>
      <c r="B3" s="45" t="s">
        <v>54</v>
      </c>
      <c r="C3" s="46" t="s">
        <v>1</v>
      </c>
      <c r="D3" s="47">
        <v>44896</v>
      </c>
      <c r="E3" s="47"/>
      <c r="F3" s="47"/>
      <c r="G3" s="47"/>
      <c r="H3" s="48" t="s">
        <v>48</v>
      </c>
    </row>
    <row r="4" spans="1:8" x14ac:dyDescent="0.25">
      <c r="A4" s="40" t="s">
        <v>47</v>
      </c>
      <c r="B4" s="16">
        <v>1</v>
      </c>
      <c r="C4" s="16" t="str">
        <f>VLOOKUP(A4,[4]LISTADHERENT!A$5:I$39,3,0)</f>
        <v>ASELBY</v>
      </c>
      <c r="D4" s="43">
        <v>0</v>
      </c>
      <c r="E4" s="17"/>
      <c r="F4" s="17"/>
      <c r="G4" s="17"/>
      <c r="H4" s="19"/>
    </row>
    <row r="5" spans="1:8" x14ac:dyDescent="0.25">
      <c r="A5" s="40" t="s">
        <v>2</v>
      </c>
      <c r="B5" s="16">
        <v>2</v>
      </c>
      <c r="C5" s="16" t="str">
        <f>VLOOKUP(A5,[4]LISTADHERENT!A$5:I$39,3,0)</f>
        <v>BAKOP ACHILLE</v>
      </c>
      <c r="D5" s="43">
        <v>527000</v>
      </c>
      <c r="E5" s="25"/>
      <c r="F5" s="25"/>
      <c r="G5" s="25"/>
      <c r="H5" s="27"/>
    </row>
    <row r="6" spans="1:8" x14ac:dyDescent="0.25">
      <c r="A6" s="40" t="s">
        <v>3</v>
      </c>
      <c r="B6" s="16">
        <v>3</v>
      </c>
      <c r="C6" s="16" t="str">
        <f>VLOOKUP(A6,[4]LISTADHERENT!A$5:I$39,3,0)</f>
        <v>BOUTCHOUANG WILLIAM</v>
      </c>
      <c r="D6" s="43">
        <v>600000</v>
      </c>
      <c r="E6" s="17"/>
      <c r="F6" s="17"/>
      <c r="G6" s="17"/>
      <c r="H6" s="19"/>
    </row>
    <row r="7" spans="1:8" x14ac:dyDescent="0.25">
      <c r="A7" s="40" t="s">
        <v>5</v>
      </c>
      <c r="B7" s="16">
        <v>4</v>
      </c>
      <c r="C7" s="16" t="str">
        <f>VLOOKUP(A7,[4]LISTADHERENT!A$5:I$39,3,0)</f>
        <v xml:space="preserve">DJOMO JEAN PAUL </v>
      </c>
      <c r="D7" s="43">
        <v>600000</v>
      </c>
      <c r="E7" s="17"/>
      <c r="F7" s="17"/>
      <c r="G7" s="17"/>
      <c r="H7" s="19"/>
    </row>
    <row r="8" spans="1:8" s="28" customFormat="1" x14ac:dyDescent="0.25">
      <c r="A8" s="40" t="s">
        <v>68</v>
      </c>
      <c r="B8" s="16">
        <v>5</v>
      </c>
      <c r="C8" s="16" t="str">
        <f>VLOOKUP(A8,[4]LISTADHERENT!A$5:I$39,3,0)</f>
        <v>DJOMOU TCHANDA</v>
      </c>
      <c r="D8" s="43">
        <v>600000</v>
      </c>
      <c r="E8" s="25"/>
      <c r="F8" s="25"/>
      <c r="G8" s="25"/>
      <c r="H8" s="27"/>
    </row>
    <row r="9" spans="1:8" s="28" customFormat="1" x14ac:dyDescent="0.25">
      <c r="A9" s="40" t="s">
        <v>6</v>
      </c>
      <c r="B9" s="16">
        <v>6</v>
      </c>
      <c r="C9" s="16" t="str">
        <f>VLOOKUP(A9,[4]LISTADHERENT!A$5:I$39,3,0)</f>
        <v>DJOUKWE NANGUEN GUY BLAISE</v>
      </c>
      <c r="D9" s="43">
        <v>600000</v>
      </c>
      <c r="E9" s="25"/>
      <c r="F9" s="25"/>
      <c r="G9" s="25"/>
      <c r="H9" s="27"/>
    </row>
    <row r="10" spans="1:8" x14ac:dyDescent="0.25">
      <c r="A10" s="40" t="s">
        <v>7</v>
      </c>
      <c r="B10" s="16">
        <v>7</v>
      </c>
      <c r="C10" s="16" t="str">
        <f>VLOOKUP(A10,[4]LISTADHERENT!A$5:I$39,3,0)</f>
        <v>DJUOMBESSY ANTOINE</v>
      </c>
      <c r="D10" s="43">
        <v>600000</v>
      </c>
      <c r="E10" s="17"/>
      <c r="F10" s="17"/>
      <c r="G10" s="17"/>
      <c r="H10" s="19"/>
    </row>
    <row r="11" spans="1:8" x14ac:dyDescent="0.25">
      <c r="A11" s="40" t="s">
        <v>49</v>
      </c>
      <c r="B11" s="16">
        <v>8</v>
      </c>
      <c r="C11" s="16" t="str">
        <f>VLOOKUP(A11,[4]LISTADHERENT!A$5:I$39,3,0)</f>
        <v>DOMOU FABIEN</v>
      </c>
      <c r="D11" s="43">
        <v>600000</v>
      </c>
      <c r="E11" s="18"/>
      <c r="F11" s="17"/>
      <c r="G11" s="17"/>
      <c r="H11" s="19"/>
    </row>
    <row r="12" spans="1:8" x14ac:dyDescent="0.25">
      <c r="A12" s="40" t="s">
        <v>8</v>
      </c>
      <c r="B12" s="16">
        <v>9</v>
      </c>
      <c r="C12" s="16" t="str">
        <f>VLOOKUP(A12,[4]LISTADHERENT!A$5:I$39,3,0)</f>
        <v>DONHOU DAVID</v>
      </c>
      <c r="D12" s="43">
        <v>600000</v>
      </c>
      <c r="E12" s="17"/>
      <c r="F12" s="17"/>
      <c r="G12" s="17"/>
      <c r="H12" s="19"/>
    </row>
    <row r="13" spans="1:8" x14ac:dyDescent="0.25">
      <c r="A13" s="40" t="s">
        <v>10</v>
      </c>
      <c r="B13" s="16">
        <v>10</v>
      </c>
      <c r="C13" s="16" t="str">
        <f>VLOOKUP(A13,[4]LISTADHERENT!A$5:I$39,3,0)</f>
        <v>HENGUE PAUL OMER</v>
      </c>
      <c r="D13" s="43">
        <v>600000</v>
      </c>
      <c r="E13" s="17"/>
      <c r="F13" s="17"/>
      <c r="G13" s="17"/>
      <c r="H13" s="19"/>
    </row>
    <row r="14" spans="1:8" x14ac:dyDescent="0.25">
      <c r="A14" s="40" t="s">
        <v>12</v>
      </c>
      <c r="B14" s="16">
        <v>11</v>
      </c>
      <c r="C14" s="16" t="str">
        <f>VLOOKUP(A14,[4]LISTADHERENT!A$5:I$39,3,0)</f>
        <v>HOTCHO BENJAMIN</v>
      </c>
      <c r="D14" s="43">
        <v>600000</v>
      </c>
      <c r="E14" s="17"/>
      <c r="F14" s="17"/>
      <c r="G14" s="17"/>
      <c r="H14" s="19"/>
    </row>
    <row r="15" spans="1:8" s="28" customFormat="1" x14ac:dyDescent="0.25">
      <c r="A15" s="40" t="s">
        <v>16</v>
      </c>
      <c r="B15" s="16">
        <v>12</v>
      </c>
      <c r="C15" s="16" t="str">
        <f>VLOOKUP(A15,[4]LISTADHERENT!A$5:I$39,3,0)</f>
        <v>KOUAMOU MOISE</v>
      </c>
      <c r="D15" s="43">
        <v>600000</v>
      </c>
      <c r="E15" s="25"/>
      <c r="F15" s="25"/>
      <c r="G15" s="25"/>
      <c r="H15" s="27"/>
    </row>
    <row r="16" spans="1:8" x14ac:dyDescent="0.25">
      <c r="A16" s="40" t="s">
        <v>18</v>
      </c>
      <c r="B16" s="16">
        <v>13</v>
      </c>
      <c r="C16" s="16" t="str">
        <f>VLOOKUP(A16,[4]LISTADHERENT!A$5:I$39,3,0)</f>
        <v>KOUATCHO MESSACK</v>
      </c>
      <c r="D16" s="43">
        <v>600000</v>
      </c>
      <c r="E16" s="17"/>
      <c r="F16" s="17"/>
      <c r="G16" s="17"/>
      <c r="H16" s="19"/>
    </row>
    <row r="17" spans="1:8" x14ac:dyDescent="0.25">
      <c r="A17" s="40" t="s">
        <v>19</v>
      </c>
      <c r="B17" s="16">
        <v>14</v>
      </c>
      <c r="C17" s="16" t="str">
        <f>VLOOKUP(A17,[4]LISTADHERENT!A$5:I$39,3,0)</f>
        <v>LOWE JEAN</v>
      </c>
      <c r="D17" s="43">
        <v>600000</v>
      </c>
      <c r="E17" s="17"/>
      <c r="F17" s="17"/>
      <c r="G17" s="17"/>
      <c r="H17" s="19"/>
    </row>
    <row r="18" spans="1:8" x14ac:dyDescent="0.25">
      <c r="A18" s="40" t="s">
        <v>52</v>
      </c>
      <c r="B18" s="16">
        <v>15</v>
      </c>
      <c r="C18" s="16" t="str">
        <f>VLOOKUP(A18,[4]LISTADHERENT!A$5:I$39,3,0)</f>
        <v>MBOGNING TUGMA GUY</v>
      </c>
      <c r="D18" s="43">
        <v>600000</v>
      </c>
      <c r="E18" s="17"/>
      <c r="F18" s="17"/>
      <c r="G18" s="17"/>
      <c r="H18" s="19"/>
    </row>
    <row r="19" spans="1:8" x14ac:dyDescent="0.25">
      <c r="A19" s="40" t="s">
        <v>38</v>
      </c>
      <c r="B19" s="16">
        <v>16</v>
      </c>
      <c r="C19" s="16" t="str">
        <f>VLOOKUP(A19,[4]LISTADHERENT!A$5:I$39,3,0)</f>
        <v>NANGUEN MARTIN</v>
      </c>
      <c r="D19" s="43">
        <v>600000</v>
      </c>
      <c r="E19" s="17"/>
      <c r="F19" s="17"/>
      <c r="G19" s="17"/>
      <c r="H19" s="19"/>
    </row>
    <row r="20" spans="1:8" s="28" customFormat="1" x14ac:dyDescent="0.25">
      <c r="A20" s="40" t="s">
        <v>20</v>
      </c>
      <c r="B20" s="16">
        <v>17</v>
      </c>
      <c r="C20" s="16" t="str">
        <f>VLOOKUP(A20,[4]LISTADHERENT!A$5:I$39,3,0)</f>
        <v>NANKAM APPOLINAIRE</v>
      </c>
      <c r="D20" s="43">
        <v>600000</v>
      </c>
      <c r="E20" s="32"/>
      <c r="F20" s="25"/>
      <c r="G20" s="25"/>
      <c r="H20" s="27"/>
    </row>
    <row r="21" spans="1:8" s="28" customFormat="1" x14ac:dyDescent="0.25">
      <c r="A21" s="40" t="s">
        <v>21</v>
      </c>
      <c r="B21" s="16">
        <v>18</v>
      </c>
      <c r="C21" s="16" t="str">
        <f>VLOOKUP(A21,[4]LISTADHERENT!A$5:I$39,3,0)</f>
        <v>NDJOMO ETIENNE</v>
      </c>
      <c r="D21" s="43">
        <v>600000</v>
      </c>
      <c r="E21" s="25"/>
      <c r="F21" s="25"/>
      <c r="G21" s="25"/>
      <c r="H21" s="27"/>
    </row>
    <row r="22" spans="1:8" x14ac:dyDescent="0.25">
      <c r="A22" s="40" t="s">
        <v>23</v>
      </c>
      <c r="B22" s="16">
        <v>19</v>
      </c>
      <c r="C22" s="16" t="str">
        <f>VLOOKUP(A22,[4]LISTADHERENT!A$5:I$39,3,0)</f>
        <v>NGONDIEP CLAUDE</v>
      </c>
      <c r="D22" s="43">
        <v>600000</v>
      </c>
      <c r="E22" s="17"/>
      <c r="F22" s="17"/>
      <c r="G22" s="17"/>
      <c r="H22" s="19"/>
    </row>
    <row r="23" spans="1:8" x14ac:dyDescent="0.25">
      <c r="A23" s="40" t="s">
        <v>25</v>
      </c>
      <c r="B23" s="16">
        <v>20</v>
      </c>
      <c r="C23" s="16" t="str">
        <f>VLOOKUP(A23,[4]LISTADHERENT!A$5:I$39,3,0)</f>
        <v>NGUIEMEGNI MATHIEU BLAISE</v>
      </c>
      <c r="D23" s="43">
        <v>600000</v>
      </c>
      <c r="E23" s="17"/>
      <c r="F23" s="17"/>
      <c r="G23" s="17"/>
      <c r="H23" s="19"/>
    </row>
    <row r="24" spans="1:8" s="28" customFormat="1" x14ac:dyDescent="0.25">
      <c r="A24" s="40" t="s">
        <v>27</v>
      </c>
      <c r="B24" s="16">
        <v>21</v>
      </c>
      <c r="C24" s="16" t="str">
        <f>VLOOKUP(A24,[4]LISTADHERENT!A$5:I$39,3,0)</f>
        <v>NKAMGANG JUSTIN DEJOLIE</v>
      </c>
      <c r="D24" s="43">
        <v>600000</v>
      </c>
      <c r="E24" s="25"/>
      <c r="F24" s="25"/>
      <c r="G24" s="25"/>
      <c r="H24" s="27"/>
    </row>
    <row r="25" spans="1:8" x14ac:dyDescent="0.25">
      <c r="A25" s="40" t="s">
        <v>78</v>
      </c>
      <c r="B25" s="16">
        <v>22</v>
      </c>
      <c r="C25" s="16" t="str">
        <f>VLOOKUP(A25,[4]LISTADHERENT!A$5:I$39,3,0)</f>
        <v>NOUBE ETIENNE</v>
      </c>
      <c r="D25" s="43">
        <v>0</v>
      </c>
      <c r="E25" s="17"/>
      <c r="F25" s="17"/>
      <c r="G25" s="17"/>
      <c r="H25" s="19"/>
    </row>
    <row r="26" spans="1:8" s="28" customFormat="1" x14ac:dyDescent="0.25">
      <c r="A26" s="40" t="s">
        <v>32</v>
      </c>
      <c r="B26" s="16">
        <v>23</v>
      </c>
      <c r="C26" s="16" t="str">
        <f>VLOOKUP(A26,[4]LISTADHERENT!A$5:I$39,3,0)</f>
        <v>PATEGO NJOSSU GUSTAVE</v>
      </c>
      <c r="D26" s="43">
        <v>600000</v>
      </c>
      <c r="E26" s="25"/>
      <c r="F26" s="25"/>
      <c r="G26" s="25"/>
      <c r="H26" s="27"/>
    </row>
    <row r="27" spans="1:8" x14ac:dyDescent="0.25">
      <c r="A27" s="40" t="s">
        <v>79</v>
      </c>
      <c r="B27" s="16">
        <v>24</v>
      </c>
      <c r="C27" s="16" t="str">
        <f>VLOOKUP(A27,[4]LISTADHERENT!A$5:I$39,3,0)</f>
        <v>SEUMO POLYCARPE</v>
      </c>
      <c r="D27" s="43">
        <v>0</v>
      </c>
      <c r="E27" s="17"/>
      <c r="F27" s="17"/>
      <c r="G27" s="17"/>
      <c r="H27" s="19"/>
    </row>
    <row r="28" spans="1:8" x14ac:dyDescent="0.25">
      <c r="A28" s="40" t="s">
        <v>51</v>
      </c>
      <c r="B28" s="16">
        <v>25</v>
      </c>
      <c r="C28" s="16" t="str">
        <f>VLOOKUP(A28,[4]LISTADHERENT!A$5:I$39,3,0)</f>
        <v>SIME BRICE</v>
      </c>
      <c r="D28" s="43">
        <v>600000</v>
      </c>
      <c r="E28" s="17"/>
      <c r="F28" s="17"/>
      <c r="G28" s="17"/>
      <c r="H28" s="19"/>
    </row>
    <row r="29" spans="1:8" x14ac:dyDescent="0.25">
      <c r="A29" s="40" t="s">
        <v>37</v>
      </c>
      <c r="B29" s="16">
        <v>26</v>
      </c>
      <c r="C29" s="16" t="str">
        <f>VLOOKUP(A29,[4]LISTADHERENT!A$5:I$39,3,0)</f>
        <v>SIMO PIERRE</v>
      </c>
      <c r="D29" s="43">
        <v>600000</v>
      </c>
      <c r="E29" s="17"/>
      <c r="F29" s="17"/>
      <c r="G29" s="17"/>
      <c r="H29" s="19"/>
    </row>
    <row r="30" spans="1:8" x14ac:dyDescent="0.25">
      <c r="A30" s="40" t="s">
        <v>40</v>
      </c>
      <c r="B30" s="16">
        <v>27</v>
      </c>
      <c r="C30" s="16" t="str">
        <f>VLOOKUP(A30,[4]LISTADHERENT!A$5:I$39,3,0)</f>
        <v>TCHOUAMOU MATHIEU</v>
      </c>
      <c r="D30" s="43">
        <v>600000</v>
      </c>
      <c r="E30" s="17"/>
      <c r="F30" s="17"/>
      <c r="G30" s="17"/>
      <c r="H30" s="19"/>
    </row>
    <row r="31" spans="1:8" x14ac:dyDescent="0.25">
      <c r="A31" s="40" t="s">
        <v>42</v>
      </c>
      <c r="B31" s="16">
        <v>28</v>
      </c>
      <c r="C31" s="16" t="str">
        <f>VLOOKUP(A31,[4]LISTADHERENT!A$5:I$39,3,0)</f>
        <v>TCHOUTOU NANA CLAUDE</v>
      </c>
      <c r="D31" s="43">
        <v>0</v>
      </c>
      <c r="E31" s="17"/>
      <c r="F31" s="17"/>
      <c r="G31" s="17"/>
      <c r="H31" s="19"/>
    </row>
    <row r="32" spans="1:8" s="28" customFormat="1" x14ac:dyDescent="0.25">
      <c r="A32" s="40" t="s">
        <v>80</v>
      </c>
      <c r="B32" s="16">
        <v>29</v>
      </c>
      <c r="C32" s="16" t="str">
        <f>VLOOKUP(A32,[4]LISTADHERENT!A$5:I$39,3,0)</f>
        <v>YANTCHOU GERVAIS</v>
      </c>
      <c r="D32" s="43">
        <v>0</v>
      </c>
      <c r="E32" s="32"/>
      <c r="F32" s="25"/>
      <c r="G32" s="25"/>
      <c r="H32" s="27"/>
    </row>
    <row r="33" spans="1:8" x14ac:dyDescent="0.25">
      <c r="A33" s="40" t="s">
        <v>45</v>
      </c>
      <c r="B33" s="16">
        <v>30</v>
      </c>
      <c r="C33" s="16" t="str">
        <f>VLOOKUP(A33,[4]LISTADHERENT!A$5:I$39,3,0)</f>
        <v>YEPMOU JEAN JACQUES</v>
      </c>
      <c r="D33" s="43">
        <v>600000</v>
      </c>
      <c r="E33" s="17"/>
      <c r="F33" s="17"/>
      <c r="G33" s="17"/>
      <c r="H33" s="19"/>
    </row>
    <row r="34" spans="1:8" x14ac:dyDescent="0.25">
      <c r="A34" s="40" t="s">
        <v>46</v>
      </c>
      <c r="B34" s="16">
        <v>31</v>
      </c>
      <c r="C34" s="16" t="str">
        <f>VLOOKUP(A34,[4]LISTADHERENT!A$5:I$39,3,0)</f>
        <v>YOUMBI EMMANUEL</v>
      </c>
      <c r="D34" s="43">
        <v>600000</v>
      </c>
      <c r="E34" s="17"/>
      <c r="F34" s="17"/>
      <c r="G34" s="17"/>
      <c r="H34" s="19"/>
    </row>
    <row r="35" spans="1:8" x14ac:dyDescent="0.25">
      <c r="A35" s="42"/>
      <c r="B35" s="16"/>
      <c r="C35" s="16"/>
      <c r="D35" s="18"/>
      <c r="E35" s="18"/>
      <c r="F35" s="18"/>
      <c r="G35" s="17"/>
      <c r="H35" s="33"/>
    </row>
    <row r="36" spans="1:8" ht="19.5" thickBot="1" x14ac:dyDescent="0.35">
      <c r="A36" s="34" t="s">
        <v>48</v>
      </c>
      <c r="B36" s="35"/>
      <c r="C36" s="36"/>
      <c r="D36" s="41">
        <f>SUM(D4:D35)</f>
        <v>15527000</v>
      </c>
      <c r="E36" s="37">
        <f>SUM(E4:E35)</f>
        <v>0</v>
      </c>
      <c r="F36" s="37">
        <f>SUM(F4:F35)</f>
        <v>0</v>
      </c>
      <c r="G36" s="37">
        <f>SUM(G4:G35)</f>
        <v>0</v>
      </c>
      <c r="H36" s="38">
        <f>SUM(H4:H35)</f>
        <v>0</v>
      </c>
    </row>
    <row r="37" spans="1:8" ht="15.75" thickTop="1" x14ac:dyDescent="0.25"/>
  </sheetData>
  <sortState ref="A2:Q50">
    <sortCondition ref="C2:C5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activeCell="B50" sqref="B50"/>
    </sheetView>
  </sheetViews>
  <sheetFormatPr baseColWidth="10" defaultRowHeight="15" x14ac:dyDescent="0.25"/>
  <cols>
    <col min="1" max="1" width="9.28515625" style="8" bestFit="1" customWidth="1"/>
    <col min="2" max="2" width="30" bestFit="1" customWidth="1"/>
    <col min="3" max="3" width="10.7109375" customWidth="1"/>
    <col min="4" max="5" width="11.42578125" hidden="1" customWidth="1"/>
    <col min="7" max="7" width="11.42578125" hidden="1" customWidth="1"/>
    <col min="9" max="9" width="0.28515625" customWidth="1"/>
    <col min="10" max="13" width="11.42578125" hidden="1" customWidth="1"/>
  </cols>
  <sheetData>
    <row r="1" spans="1:15" ht="15.75" thickTop="1" x14ac:dyDescent="0.25">
      <c r="A1" s="4" t="s">
        <v>0</v>
      </c>
      <c r="B1" s="1" t="s">
        <v>1</v>
      </c>
      <c r="C1" s="2">
        <v>42979</v>
      </c>
      <c r="D1" s="2">
        <v>43009</v>
      </c>
      <c r="E1" s="2">
        <v>43040</v>
      </c>
      <c r="F1" s="2">
        <v>43070</v>
      </c>
      <c r="G1" s="2">
        <v>43101</v>
      </c>
      <c r="H1" s="2">
        <v>43132</v>
      </c>
      <c r="I1" s="2">
        <v>43160</v>
      </c>
      <c r="J1" s="2">
        <v>43191</v>
      </c>
      <c r="K1" s="2">
        <v>43221</v>
      </c>
      <c r="L1" s="2">
        <v>43252</v>
      </c>
      <c r="M1" s="2">
        <v>43282</v>
      </c>
      <c r="N1" s="2">
        <v>43313</v>
      </c>
      <c r="O1" t="s">
        <v>48</v>
      </c>
    </row>
    <row r="2" spans="1:15" ht="15.75" thickBot="1" x14ac:dyDescent="0.3">
      <c r="A2" s="5" t="s">
        <v>2</v>
      </c>
      <c r="B2" s="11" t="str">
        <f>VLOOKUP(A2,[3]LISTADHERENT!A$5:I$58,3,0)</f>
        <v>BAKOP ACHILLE</v>
      </c>
      <c r="C2" s="3">
        <f>[2]FONDSDECAISSE!$O6</f>
        <v>420000</v>
      </c>
      <c r="F2" s="3">
        <v>30000</v>
      </c>
      <c r="N2" s="3">
        <v>30000</v>
      </c>
      <c r="O2" s="3">
        <f>SUM(C2:N2)</f>
        <v>480000</v>
      </c>
    </row>
    <row r="3" spans="1:15" ht="15.75" thickTop="1" x14ac:dyDescent="0.25">
      <c r="A3" s="6" t="s">
        <v>3</v>
      </c>
      <c r="B3" s="11" t="str">
        <f>VLOOKUP(A3,[3]LISTADHERENT!A$5:I$58,3,0)</f>
        <v>BOUTCHOUANG WILLIAM</v>
      </c>
      <c r="C3" s="3">
        <f>[2]FONDSDECAISSE!$O7</f>
        <v>420000</v>
      </c>
      <c r="F3" s="3">
        <v>30000</v>
      </c>
      <c r="N3" s="3">
        <v>30000</v>
      </c>
      <c r="O3" s="3">
        <f>SUM(C3:N3)</f>
        <v>480000</v>
      </c>
    </row>
    <row r="4" spans="1:15" x14ac:dyDescent="0.25">
      <c r="A4" s="7" t="s">
        <v>4</v>
      </c>
      <c r="B4" s="11" t="str">
        <f>VLOOKUP(A4,[3]LISTADHERENT!A$5:I$58,3,0)</f>
        <v>CHINGUE FABRICE</v>
      </c>
      <c r="C4" s="3">
        <f>[2]FONDSDECAISSE!$O8</f>
        <v>420000</v>
      </c>
      <c r="F4" s="3">
        <v>30000</v>
      </c>
      <c r="N4" s="3">
        <v>30000</v>
      </c>
      <c r="O4" s="3">
        <f>SUM(C4:N4)</f>
        <v>480000</v>
      </c>
    </row>
    <row r="5" spans="1:15" x14ac:dyDescent="0.25">
      <c r="A5" s="7" t="s">
        <v>5</v>
      </c>
      <c r="B5" s="11" t="str">
        <f>VLOOKUP(A5,[3]LISTADHERENT!A$5:I$58,3,0)</f>
        <v xml:space="preserve">DJOMO JEAN PAUL </v>
      </c>
      <c r="C5" s="3">
        <f>[2]FONDSDECAISSE!$O9</f>
        <v>420000</v>
      </c>
      <c r="F5" s="3">
        <v>30000</v>
      </c>
      <c r="N5" s="3">
        <v>30000</v>
      </c>
      <c r="O5" s="3">
        <f>SUM(C5:N5)</f>
        <v>480000</v>
      </c>
    </row>
    <row r="6" spans="1:15" x14ac:dyDescent="0.25">
      <c r="A6" s="7" t="s">
        <v>6</v>
      </c>
      <c r="B6" s="11" t="str">
        <f>VLOOKUP(A6,[3]LISTADHERENT!A$5:I$58,3,0)</f>
        <v>DJOUKWE NANGUEN GUY BLAISE</v>
      </c>
      <c r="C6" s="3">
        <f>[2]FONDSDECAISSE!$O10</f>
        <v>420000</v>
      </c>
      <c r="F6" s="3">
        <v>30000</v>
      </c>
      <c r="N6" s="3">
        <v>30000</v>
      </c>
      <c r="O6" s="3">
        <f>SUM(C6:N6)</f>
        <v>480000</v>
      </c>
    </row>
    <row r="7" spans="1:15" x14ac:dyDescent="0.25">
      <c r="A7" s="7" t="s">
        <v>7</v>
      </c>
      <c r="B7" s="11" t="str">
        <f>VLOOKUP(A7,[3]LISTADHERENT!A$5:I$58,3,0)</f>
        <v>DJUOMBESSY ANTOINE</v>
      </c>
      <c r="C7" s="3">
        <f>[2]FONDSDECAISSE!$O13</f>
        <v>420000</v>
      </c>
      <c r="F7" s="3">
        <v>30000</v>
      </c>
      <c r="N7" s="3">
        <v>30000</v>
      </c>
      <c r="O7" s="3">
        <f t="shared" ref="O7:O28" si="0">SUM(C7:N7)</f>
        <v>480000</v>
      </c>
    </row>
    <row r="8" spans="1:15" x14ac:dyDescent="0.25">
      <c r="A8" s="7" t="s">
        <v>8</v>
      </c>
      <c r="B8" s="11" t="str">
        <f>VLOOKUP(A8,[3]LISTADHERENT!A$5:I$58,3,0)</f>
        <v>DONHOU DAVID</v>
      </c>
      <c r="C8" s="3">
        <f>[2]FONDSDECAISSE!$O14</f>
        <v>420000</v>
      </c>
      <c r="F8" s="3">
        <v>30000</v>
      </c>
      <c r="N8" s="3">
        <v>30000</v>
      </c>
      <c r="O8" s="3">
        <f t="shared" si="0"/>
        <v>480000</v>
      </c>
    </row>
    <row r="9" spans="1:15" x14ac:dyDescent="0.25">
      <c r="A9" s="7" t="s">
        <v>9</v>
      </c>
      <c r="B9" s="11" t="str">
        <f>VLOOKUP(A9,[3]LISTADHERENT!A$5:I$58,3,0)</f>
        <v>FOTSO THOMAS</v>
      </c>
      <c r="C9" s="3">
        <f>[2]FONDSDECAISSE!$O15</f>
        <v>420000</v>
      </c>
      <c r="F9" s="3">
        <v>30000</v>
      </c>
      <c r="N9" s="3">
        <v>30000</v>
      </c>
      <c r="O9" s="3">
        <f t="shared" si="0"/>
        <v>480000</v>
      </c>
    </row>
    <row r="10" spans="1:15" x14ac:dyDescent="0.25">
      <c r="A10" s="7" t="s">
        <v>10</v>
      </c>
      <c r="B10" s="11" t="str">
        <f>VLOOKUP(A10,[3]LISTADHERENT!A$5:I$58,3,0)</f>
        <v>HENGUE PAUL OMER</v>
      </c>
      <c r="C10" s="3">
        <f>[2]FONDSDECAISSE!$O16</f>
        <v>420000</v>
      </c>
      <c r="F10" s="3">
        <v>30000</v>
      </c>
      <c r="N10" s="3">
        <v>30000</v>
      </c>
      <c r="O10" s="3">
        <f t="shared" si="0"/>
        <v>480000</v>
      </c>
    </row>
    <row r="11" spans="1:15" x14ac:dyDescent="0.25">
      <c r="A11" s="7" t="s">
        <v>11</v>
      </c>
      <c r="B11" s="11" t="str">
        <f>VLOOKUP(A11,[3]LISTADHERENT!A$5:I$58,3,0)</f>
        <v>HODIEP JULES</v>
      </c>
      <c r="C11" s="3">
        <f>[2]FONDSDECAISSE!$O17</f>
        <v>50000</v>
      </c>
      <c r="F11" s="3">
        <v>30000</v>
      </c>
      <c r="N11" s="3"/>
      <c r="O11" s="3">
        <f t="shared" si="0"/>
        <v>80000</v>
      </c>
    </row>
    <row r="12" spans="1:15" x14ac:dyDescent="0.25">
      <c r="A12" s="7" t="s">
        <v>12</v>
      </c>
      <c r="B12" s="11" t="str">
        <f>VLOOKUP(A12,[3]LISTADHERENT!A$5:I$58,3,0)</f>
        <v>HOTCHO BENJAMIN</v>
      </c>
      <c r="C12" s="3">
        <f>[2]FONDSDECAISSE!$O18</f>
        <v>420000</v>
      </c>
      <c r="F12" s="3">
        <v>30000</v>
      </c>
      <c r="N12" s="3">
        <v>30000</v>
      </c>
      <c r="O12" s="3">
        <f t="shared" si="0"/>
        <v>480000</v>
      </c>
    </row>
    <row r="13" spans="1:15" x14ac:dyDescent="0.25">
      <c r="A13" s="7" t="s">
        <v>13</v>
      </c>
      <c r="B13" s="11" t="str">
        <f>VLOOKUP(A13,[3]LISTADHERENT!A$5:I$58,3,0)</f>
        <v>NKEHE DAVID</v>
      </c>
      <c r="C13" s="3">
        <f>[2]FONDSDECAISSE!$O19</f>
        <v>357000</v>
      </c>
      <c r="F13" s="3">
        <v>30000</v>
      </c>
      <c r="H13" s="3">
        <v>60000</v>
      </c>
      <c r="N13" s="3">
        <v>33000</v>
      </c>
      <c r="O13" s="3">
        <f t="shared" si="0"/>
        <v>480000</v>
      </c>
    </row>
    <row r="14" spans="1:15" x14ac:dyDescent="0.25">
      <c r="A14" s="7" t="s">
        <v>14</v>
      </c>
      <c r="B14" s="11" t="str">
        <f>VLOOKUP(A14,[3]LISTADHERENT!A$5:I$58,3,0)</f>
        <v>KEPSEU FRANCIS</v>
      </c>
      <c r="C14" s="3">
        <f>[2]FONDSDECAISSE!$O20</f>
        <v>420000</v>
      </c>
      <c r="F14" s="3">
        <v>30000</v>
      </c>
      <c r="N14" s="3">
        <v>30000</v>
      </c>
      <c r="O14" s="3">
        <f t="shared" si="0"/>
        <v>480000</v>
      </c>
    </row>
    <row r="15" spans="1:15" x14ac:dyDescent="0.25">
      <c r="A15" s="7" t="s">
        <v>15</v>
      </c>
      <c r="B15" s="11" t="str">
        <f>VLOOKUP(A15,[3]LISTADHERENT!A$5:I$58,3,0)</f>
        <v>KOUAMOU EMMANUEL</v>
      </c>
      <c r="C15" s="3">
        <f>[2]FONDSDECAISSE!$O21</f>
        <v>420000</v>
      </c>
      <c r="F15" s="3">
        <v>30000</v>
      </c>
      <c r="N15" s="3">
        <v>30000</v>
      </c>
      <c r="O15" s="3">
        <f t="shared" si="0"/>
        <v>480000</v>
      </c>
    </row>
    <row r="16" spans="1:15" x14ac:dyDescent="0.25">
      <c r="A16" s="7" t="s">
        <v>16</v>
      </c>
      <c r="B16" s="11" t="str">
        <f>VLOOKUP(A16,[3]LISTADHERENT!A$5:I$58,3,0)</f>
        <v>KOUAMOU MOISE</v>
      </c>
      <c r="C16" s="3">
        <f>[2]FONDSDECAISSE!$O22</f>
        <v>420000</v>
      </c>
      <c r="F16" s="3">
        <v>30000</v>
      </c>
      <c r="N16" s="3">
        <v>30000</v>
      </c>
      <c r="O16" s="3">
        <f t="shared" si="0"/>
        <v>480000</v>
      </c>
    </row>
    <row r="17" spans="1:15" x14ac:dyDescent="0.25">
      <c r="A17" s="7" t="s">
        <v>17</v>
      </c>
      <c r="B17" s="11" t="str">
        <f>VLOOKUP(A17,[3]LISTADHERENT!A$5:I$58,3,0)</f>
        <v>KOUAMO VICTOR PEGUY</v>
      </c>
      <c r="C17" s="3">
        <f>[2]FONDSDECAISSE!$O23</f>
        <v>420000</v>
      </c>
      <c r="F17" s="3">
        <v>30000</v>
      </c>
      <c r="N17" s="3">
        <v>30000</v>
      </c>
      <c r="O17" s="3">
        <f t="shared" si="0"/>
        <v>480000</v>
      </c>
    </row>
    <row r="18" spans="1:15" x14ac:dyDescent="0.25">
      <c r="A18" s="7" t="s">
        <v>18</v>
      </c>
      <c r="B18" s="11" t="str">
        <f>VLOOKUP(A18,[3]LISTADHERENT!A$5:I$58,3,0)</f>
        <v>KOUATCHO MESSACK</v>
      </c>
      <c r="C18" s="3">
        <f>[2]FONDSDECAISSE!$O24</f>
        <v>420000</v>
      </c>
      <c r="F18" s="3">
        <v>30000</v>
      </c>
      <c r="N18" s="3">
        <v>30000</v>
      </c>
      <c r="O18" s="3">
        <f t="shared" si="0"/>
        <v>480000</v>
      </c>
    </row>
    <row r="19" spans="1:15" x14ac:dyDescent="0.25">
      <c r="A19" s="7" t="s">
        <v>19</v>
      </c>
      <c r="B19" s="11" t="str">
        <f>VLOOKUP(A19,[3]LISTADHERENT!A$5:I$58,3,0)</f>
        <v>LOWE JEAN</v>
      </c>
      <c r="C19" s="3">
        <f>[2]FONDSDECAISSE!$O25</f>
        <v>420000</v>
      </c>
      <c r="F19" s="3">
        <v>30000</v>
      </c>
      <c r="N19" s="3">
        <v>30000</v>
      </c>
      <c r="O19" s="3">
        <f t="shared" si="0"/>
        <v>480000</v>
      </c>
    </row>
    <row r="20" spans="1:15" x14ac:dyDescent="0.25">
      <c r="A20" s="7" t="s">
        <v>20</v>
      </c>
      <c r="B20" s="11" t="str">
        <f>VLOOKUP(A20,[3]LISTADHERENT!A$5:I$58,3,0)</f>
        <v>NANKAM APPOLINAIRE</v>
      </c>
      <c r="C20" s="3">
        <f>[2]FONDSDECAISSE!$O26</f>
        <v>420000</v>
      </c>
      <c r="F20" s="3">
        <v>30000</v>
      </c>
      <c r="N20" s="3">
        <v>30000</v>
      </c>
      <c r="O20" s="3">
        <f t="shared" si="0"/>
        <v>480000</v>
      </c>
    </row>
    <row r="21" spans="1:15" x14ac:dyDescent="0.25">
      <c r="A21" s="7" t="s">
        <v>21</v>
      </c>
      <c r="B21" s="11" t="str">
        <f>VLOOKUP(A21,[3]LISTADHERENT!A$5:I$58,3,0)</f>
        <v>NDJOMO ETIENNE</v>
      </c>
      <c r="C21" s="3">
        <f>[2]FONDSDECAISSE!$O27</f>
        <v>420000</v>
      </c>
      <c r="F21" s="3">
        <v>30000</v>
      </c>
      <c r="N21" s="3">
        <v>30000</v>
      </c>
      <c r="O21" s="3">
        <f t="shared" si="0"/>
        <v>480000</v>
      </c>
    </row>
    <row r="22" spans="1:15" x14ac:dyDescent="0.25">
      <c r="A22" s="7" t="s">
        <v>22</v>
      </c>
      <c r="B22" s="11" t="str">
        <f>VLOOKUP(A22,[3]LISTADHERENT!A$5:I$58,3,0)</f>
        <v>NDOMBOU JEAN CLAUDE</v>
      </c>
      <c r="C22" s="3">
        <f>[2]FONDSDECAISSE!$O28</f>
        <v>420000</v>
      </c>
      <c r="F22" s="3">
        <v>30000</v>
      </c>
      <c r="N22" s="3">
        <v>30000</v>
      </c>
      <c r="O22" s="3">
        <f t="shared" si="0"/>
        <v>480000</v>
      </c>
    </row>
    <row r="23" spans="1:15" x14ac:dyDescent="0.25">
      <c r="A23" s="7" t="s">
        <v>23</v>
      </c>
      <c r="B23" s="11" t="str">
        <f>VLOOKUP(A23,[3]LISTADHERENT!A$5:I$58,3,0)</f>
        <v>NGONDIEP CLAUDE</v>
      </c>
      <c r="C23" s="3">
        <f>[2]FONDSDECAISSE!$O29</f>
        <v>420000</v>
      </c>
      <c r="F23" s="3">
        <v>30000</v>
      </c>
      <c r="N23" s="3">
        <v>30000</v>
      </c>
      <c r="O23" s="3">
        <f t="shared" si="0"/>
        <v>480000</v>
      </c>
    </row>
    <row r="24" spans="1:15" x14ac:dyDescent="0.25">
      <c r="A24" s="7" t="s">
        <v>24</v>
      </c>
      <c r="B24" s="11" t="str">
        <f>VLOOKUP(A24,[3]LISTADHERENT!A$5:I$58,3,0)</f>
        <v>NGONGANG JEAN THEODORE</v>
      </c>
      <c r="C24" s="3">
        <f>[2]FONDSDECAISSE!$O30</f>
        <v>0</v>
      </c>
      <c r="F24" s="3">
        <v>30000</v>
      </c>
      <c r="N24" s="3"/>
      <c r="O24" s="3">
        <f t="shared" si="0"/>
        <v>30000</v>
      </c>
    </row>
    <row r="25" spans="1:15" x14ac:dyDescent="0.25">
      <c r="A25" s="7" t="s">
        <v>25</v>
      </c>
      <c r="B25" s="11" t="str">
        <f>VLOOKUP(A25,[3]LISTADHERENT!A$5:I$58,3,0)</f>
        <v>NGUIEMEGNI MATHIEU BLAISE</v>
      </c>
      <c r="C25" s="3">
        <f>[2]FONDSDECAISSE!$O31</f>
        <v>420000</v>
      </c>
      <c r="F25" s="3">
        <v>30000</v>
      </c>
      <c r="N25" s="3">
        <v>30000</v>
      </c>
      <c r="O25" s="3">
        <f t="shared" si="0"/>
        <v>480000</v>
      </c>
    </row>
    <row r="26" spans="1:15" x14ac:dyDescent="0.25">
      <c r="A26" s="7" t="s">
        <v>26</v>
      </c>
      <c r="B26" s="11" t="str">
        <f>VLOOKUP(A26,[3]LISTADHERENT!A$5:I$58,3,0)</f>
        <v>NJEPDJIO MBOUKAM DELUXE</v>
      </c>
      <c r="C26" s="3">
        <f>[2]FONDSDECAISSE!$O32</f>
        <v>420000</v>
      </c>
      <c r="F26" s="3">
        <v>30000</v>
      </c>
      <c r="N26" s="3">
        <v>30000</v>
      </c>
      <c r="O26" s="3">
        <f t="shared" si="0"/>
        <v>480000</v>
      </c>
    </row>
    <row r="27" spans="1:15" x14ac:dyDescent="0.25">
      <c r="A27" s="7" t="s">
        <v>27</v>
      </c>
      <c r="B27" s="11" t="str">
        <f>VLOOKUP(A27,[3]LISTADHERENT!A$5:I$58,3,0)</f>
        <v>NKAMGANG JUSTIN DEJOLIE</v>
      </c>
      <c r="C27" s="3">
        <f>[2]FONDSDECAISSE!$O33</f>
        <v>420000</v>
      </c>
      <c r="F27" s="3">
        <v>30000</v>
      </c>
      <c r="N27" s="3">
        <v>30000</v>
      </c>
      <c r="O27" s="3">
        <f t="shared" si="0"/>
        <v>480000</v>
      </c>
    </row>
    <row r="28" spans="1:15" x14ac:dyDescent="0.25">
      <c r="A28" s="7" t="s">
        <v>28</v>
      </c>
      <c r="B28" s="11" t="str">
        <f>VLOOKUP(A28,[3]LISTADHERENT!A$5:I$58,3,0)</f>
        <v>NKEPSEU DIEUDONNE</v>
      </c>
      <c r="C28" s="3">
        <f>[2]FONDSDECAISSE!$O34</f>
        <v>420000</v>
      </c>
      <c r="F28" s="3">
        <v>30000</v>
      </c>
      <c r="N28" s="3">
        <v>30000</v>
      </c>
      <c r="O28" s="3">
        <f t="shared" si="0"/>
        <v>480000</v>
      </c>
    </row>
    <row r="29" spans="1:15" x14ac:dyDescent="0.25">
      <c r="A29" s="7" t="s">
        <v>29</v>
      </c>
      <c r="B29" s="11" t="str">
        <f>VLOOKUP(A29,[3]LISTADHERENT!A$5:I$58,3,0)</f>
        <v>NKEPSEU HENANG RENE</v>
      </c>
      <c r="C29" s="3"/>
      <c r="F29" s="3">
        <v>0</v>
      </c>
      <c r="N29" s="3">
        <v>30000</v>
      </c>
      <c r="O29" s="3"/>
    </row>
    <row r="30" spans="1:15" x14ac:dyDescent="0.25">
      <c r="A30" s="7" t="s">
        <v>30</v>
      </c>
      <c r="B30" s="11" t="str">
        <f>VLOOKUP(A30,[3]LISTADHERENT!A$5:I$58,3,0)</f>
        <v>NTEPDIE TUEMAC MZ</v>
      </c>
      <c r="C30" s="3">
        <f>[2]FONDSDECAISSE!$O36</f>
        <v>0</v>
      </c>
      <c r="F30" s="3">
        <v>0</v>
      </c>
      <c r="N30" s="3">
        <v>30000</v>
      </c>
      <c r="O30" s="3">
        <f>SUM(C30:N30)</f>
        <v>30000</v>
      </c>
    </row>
    <row r="31" spans="1:15" x14ac:dyDescent="0.25">
      <c r="A31" s="7" t="s">
        <v>31</v>
      </c>
      <c r="B31" s="11" t="str">
        <f>VLOOKUP(A31,[3]LISTADHERENT!A$5:I$58,3,0)</f>
        <v>NTOMBOU ADOLPHE</v>
      </c>
      <c r="C31" s="3"/>
      <c r="F31" s="3">
        <v>0</v>
      </c>
      <c r="N31" s="3">
        <v>30000</v>
      </c>
      <c r="O31" s="3"/>
    </row>
    <row r="32" spans="1:15" x14ac:dyDescent="0.25">
      <c r="A32" s="7" t="s">
        <v>32</v>
      </c>
      <c r="B32" s="11" t="str">
        <f>VLOOKUP(A32,[3]LISTADHERENT!A$5:I$58,3,0)</f>
        <v>PATEGO NJOSSU GUSTAVE</v>
      </c>
      <c r="C32" s="3">
        <f>[2]FONDSDECAISSE!$O38</f>
        <v>420000</v>
      </c>
      <c r="F32" s="3">
        <v>30000</v>
      </c>
      <c r="N32" s="3">
        <v>30000</v>
      </c>
      <c r="O32" s="3">
        <f t="shared" ref="O32:O52" si="1">SUM(C32:N32)</f>
        <v>480000</v>
      </c>
    </row>
    <row r="33" spans="1:15" x14ac:dyDescent="0.25">
      <c r="A33" s="7" t="s">
        <v>33</v>
      </c>
      <c r="B33" s="11" t="str">
        <f>VLOOKUP(A33,[3]LISTADHERENT!A$5:I$58,3,0)</f>
        <v>SEUNOU RICHELOT</v>
      </c>
      <c r="C33" s="3">
        <f>[2]FONDSDECAISSE!$O39</f>
        <v>420000</v>
      </c>
      <c r="F33" s="3">
        <v>30000</v>
      </c>
      <c r="N33" s="3">
        <v>30000</v>
      </c>
      <c r="O33" s="3">
        <f t="shared" si="1"/>
        <v>480000</v>
      </c>
    </row>
    <row r="34" spans="1:15" x14ac:dyDescent="0.25">
      <c r="A34" s="7" t="s">
        <v>34</v>
      </c>
      <c r="B34" s="11" t="str">
        <f>VLOOKUP(A34,[3]LISTADHERENT!A$5:I$58,3,0)</f>
        <v>SIME ABEL</v>
      </c>
      <c r="C34" s="3">
        <f>[2]FONDSDECAISSE!$O40</f>
        <v>390000</v>
      </c>
      <c r="F34" s="3">
        <v>30000</v>
      </c>
      <c r="N34" s="3"/>
      <c r="O34" s="3">
        <f t="shared" si="1"/>
        <v>420000</v>
      </c>
    </row>
    <row r="35" spans="1:15" x14ac:dyDescent="0.25">
      <c r="A35" s="7" t="s">
        <v>35</v>
      </c>
      <c r="B35" s="11" t="str">
        <f>VLOOKUP(A35,[3]LISTADHERENT!A$5:I$58,3,0)</f>
        <v>SIMO FONGANG ERIC</v>
      </c>
      <c r="C35" s="3">
        <f>[2]FONDSDECAISSE!$O41</f>
        <v>420000</v>
      </c>
      <c r="F35" s="3">
        <v>30000</v>
      </c>
      <c r="N35" s="3">
        <v>30000</v>
      </c>
      <c r="O35" s="3">
        <f t="shared" si="1"/>
        <v>480000</v>
      </c>
    </row>
    <row r="36" spans="1:15" x14ac:dyDescent="0.25">
      <c r="A36" s="7" t="s">
        <v>36</v>
      </c>
      <c r="B36" s="11" t="str">
        <f>VLOOKUP(A36,[3]LISTADHERENT!A$5:I$58,3,0)</f>
        <v>SIME MATHIEU</v>
      </c>
      <c r="C36" s="3">
        <f>[2]FONDSDECAISSE!$O42</f>
        <v>420000</v>
      </c>
      <c r="F36" s="3">
        <v>30000</v>
      </c>
      <c r="N36" s="3">
        <v>30000</v>
      </c>
      <c r="O36" s="3">
        <f t="shared" si="1"/>
        <v>480000</v>
      </c>
    </row>
    <row r="37" spans="1:15" x14ac:dyDescent="0.25">
      <c r="A37" s="7" t="s">
        <v>37</v>
      </c>
      <c r="B37" s="11" t="str">
        <f>VLOOKUP(A37,[3]LISTADHERENT!A$5:I$58,3,0)</f>
        <v>SIMO PIERRE</v>
      </c>
      <c r="C37" s="3">
        <f>[2]FONDSDECAISSE!$O43</f>
        <v>420000</v>
      </c>
      <c r="F37" s="3">
        <v>30000</v>
      </c>
      <c r="N37" s="3">
        <v>30000</v>
      </c>
      <c r="O37" s="3">
        <f t="shared" si="1"/>
        <v>480000</v>
      </c>
    </row>
    <row r="38" spans="1:15" x14ac:dyDescent="0.25">
      <c r="A38" s="7" t="s">
        <v>38</v>
      </c>
      <c r="B38" s="11" t="str">
        <f>VLOOKUP(A38,[3]LISTADHERENT!A$5:I$58,3,0)</f>
        <v>NANGUEN MARTIN</v>
      </c>
      <c r="C38" s="3">
        <f>[2]FONDSDECAISSE!$O44</f>
        <v>390000</v>
      </c>
      <c r="F38" s="3">
        <v>30000</v>
      </c>
      <c r="N38" s="3">
        <v>30000</v>
      </c>
      <c r="O38" s="3">
        <f t="shared" si="1"/>
        <v>450000</v>
      </c>
    </row>
    <row r="39" spans="1:15" x14ac:dyDescent="0.25">
      <c r="A39" s="7" t="s">
        <v>39</v>
      </c>
      <c r="B39" s="11" t="str">
        <f>VLOOKUP(A39,[3]LISTADHERENT!A$5:I$58,3,0)</f>
        <v>TCHOUAMOU JEAN PAUL</v>
      </c>
      <c r="C39" s="3">
        <f>[2]FONDSDECAISSE!$O45</f>
        <v>20000</v>
      </c>
      <c r="F39" s="3">
        <v>30000</v>
      </c>
      <c r="N39" s="3"/>
      <c r="O39" s="3">
        <f t="shared" si="1"/>
        <v>50000</v>
      </c>
    </row>
    <row r="40" spans="1:15" x14ac:dyDescent="0.25">
      <c r="A40" s="7" t="s">
        <v>40</v>
      </c>
      <c r="B40" s="11" t="str">
        <f>VLOOKUP(A40,[3]LISTADHERENT!A$5:I$58,3,0)</f>
        <v>TCHOUAMOU MATHIEU</v>
      </c>
      <c r="C40" s="3">
        <f>[2]FONDSDECAISSE!$O46</f>
        <v>420000</v>
      </c>
      <c r="F40" s="3">
        <v>30000</v>
      </c>
      <c r="N40" s="3">
        <v>30000</v>
      </c>
      <c r="O40" s="3">
        <f t="shared" si="1"/>
        <v>480000</v>
      </c>
    </row>
    <row r="41" spans="1:15" x14ac:dyDescent="0.25">
      <c r="A41" s="7" t="s">
        <v>41</v>
      </c>
      <c r="B41" s="11" t="str">
        <f>VLOOKUP(A41,[3]LISTADHERENT!A$5:I$58,3,0)</f>
        <v>TCHOUANTE FRANCOIS</v>
      </c>
      <c r="C41" s="3">
        <f>[2]FONDSDECAISSE!$O47</f>
        <v>403819</v>
      </c>
      <c r="F41" s="3">
        <v>30000</v>
      </c>
      <c r="N41" s="3">
        <v>30000</v>
      </c>
      <c r="O41" s="3">
        <f t="shared" si="1"/>
        <v>463819</v>
      </c>
    </row>
    <row r="42" spans="1:15" x14ac:dyDescent="0.25">
      <c r="A42" s="7" t="s">
        <v>42</v>
      </c>
      <c r="B42" s="11" t="str">
        <f>VLOOKUP(A42,[3]LISTADHERENT!A$5:I$58,3,0)</f>
        <v>TCHOUTOU NANA CLAUDE</v>
      </c>
      <c r="C42" s="3">
        <f>[2]FONDSDECAISSE!$O48</f>
        <v>0</v>
      </c>
      <c r="F42" s="3">
        <v>30000</v>
      </c>
      <c r="N42" s="3"/>
      <c r="O42" s="3">
        <f t="shared" si="1"/>
        <v>30000</v>
      </c>
    </row>
    <row r="43" spans="1:15" x14ac:dyDescent="0.25">
      <c r="A43" s="7" t="s">
        <v>43</v>
      </c>
      <c r="B43" s="11" t="str">
        <f>VLOOKUP(A43,[3]LISTADHERENT!A$5:I$58,3,0)</f>
        <v>TIEYAM ERNEST</v>
      </c>
      <c r="C43" s="3">
        <f>[2]FONDSDECAISSE!$O49</f>
        <v>420000</v>
      </c>
      <c r="F43" s="3">
        <v>30000</v>
      </c>
      <c r="N43" s="3">
        <v>30000</v>
      </c>
      <c r="O43" s="3">
        <f t="shared" si="1"/>
        <v>480000</v>
      </c>
    </row>
    <row r="44" spans="1:15" x14ac:dyDescent="0.25">
      <c r="A44" s="7" t="s">
        <v>44</v>
      </c>
      <c r="B44" s="11" t="str">
        <f>VLOOKUP(A44,[3]LISTADHERENT!A$5:I$58,3,0)</f>
        <v>TUGMA PIERRE LOTI</v>
      </c>
      <c r="C44" s="3">
        <f>[2]FONDSDECAISSE!$O50</f>
        <v>420000</v>
      </c>
      <c r="F44" s="3">
        <v>30000</v>
      </c>
      <c r="N44" s="3">
        <v>30000</v>
      </c>
      <c r="O44" s="3">
        <f t="shared" si="1"/>
        <v>480000</v>
      </c>
    </row>
    <row r="45" spans="1:15" x14ac:dyDescent="0.25">
      <c r="A45" s="7" t="s">
        <v>45</v>
      </c>
      <c r="B45" s="11" t="str">
        <f>VLOOKUP(A45,[3]LISTADHERENT!A$5:I$58,3,0)</f>
        <v>YEPMOU JEAN JACQUES</v>
      </c>
      <c r="C45" s="3">
        <f>[2]FONDSDECAISSE!$O51</f>
        <v>420000</v>
      </c>
      <c r="F45" s="3">
        <v>30000</v>
      </c>
      <c r="N45" s="3">
        <v>30000</v>
      </c>
      <c r="O45" s="3">
        <f t="shared" si="1"/>
        <v>480000</v>
      </c>
    </row>
    <row r="46" spans="1:15" x14ac:dyDescent="0.25">
      <c r="A46" s="7" t="s">
        <v>46</v>
      </c>
      <c r="B46" s="11" t="str">
        <f>VLOOKUP(A46,[3]LISTADHERENT!A$5:I$58,3,0)</f>
        <v>YOUMBI EMMANUEL</v>
      </c>
      <c r="C46" s="3">
        <f>[2]FONDSDECAISSE!$O52</f>
        <v>420000</v>
      </c>
      <c r="F46" s="3">
        <v>30000</v>
      </c>
      <c r="N46" s="3">
        <v>30000</v>
      </c>
      <c r="O46" s="3">
        <f t="shared" si="1"/>
        <v>480000</v>
      </c>
    </row>
    <row r="47" spans="1:15" x14ac:dyDescent="0.25">
      <c r="A47" s="7" t="s">
        <v>47</v>
      </c>
      <c r="B47" s="11" t="str">
        <f>VLOOKUP(A47,[3]LISTADHERENT!A$5:I$58,3,0)</f>
        <v>ASELBY</v>
      </c>
      <c r="C47" s="3">
        <f>362838.011083746+F47</f>
        <v>362838.01108374598</v>
      </c>
      <c r="F47" s="3">
        <v>0</v>
      </c>
      <c r="N47" s="3">
        <v>31243</v>
      </c>
      <c r="O47" s="3">
        <f t="shared" si="1"/>
        <v>394081.01108374598</v>
      </c>
    </row>
    <row r="48" spans="1:15" x14ac:dyDescent="0.25">
      <c r="A48" s="10" t="s">
        <v>52</v>
      </c>
      <c r="B48" s="11" t="str">
        <f>VLOOKUP(A48,[3]LISTADHERENT!A$5:I$58,3,0)</f>
        <v>MBOGNING TUGMA GUY</v>
      </c>
      <c r="N48" s="3">
        <v>30000</v>
      </c>
      <c r="O48" s="3">
        <f t="shared" si="1"/>
        <v>30000</v>
      </c>
    </row>
    <row r="49" spans="1:15" ht="15.75" thickBot="1" x14ac:dyDescent="0.3">
      <c r="A49" s="9" t="s">
        <v>53</v>
      </c>
      <c r="B49" s="11" t="str">
        <f>VLOOKUP(A49,[3]LISTADHERENT!A$5:I$58,3,0)</f>
        <v>DJOMO DOMO</v>
      </c>
      <c r="N49" s="3"/>
      <c r="O49" s="3">
        <f t="shared" si="1"/>
        <v>0</v>
      </c>
    </row>
    <row r="50" spans="1:15" ht="16.5" thickTop="1" thickBot="1" x14ac:dyDescent="0.3">
      <c r="A50" s="9" t="s">
        <v>49</v>
      </c>
      <c r="B50" s="11" t="str">
        <f>VLOOKUP(A50,[3]LISTADHERENT!A$5:I$58,3,0)</f>
        <v>DOMOU FABIEN</v>
      </c>
      <c r="N50" s="3">
        <v>441596</v>
      </c>
      <c r="O50" s="3">
        <f t="shared" si="1"/>
        <v>441596</v>
      </c>
    </row>
    <row r="51" spans="1:15" ht="16.5" thickTop="1" thickBot="1" x14ac:dyDescent="0.3">
      <c r="A51" s="9" t="s">
        <v>50</v>
      </c>
      <c r="B51" s="11" t="str">
        <f>VLOOKUP(A51,[3]LISTADHERENT!A$5:I$58,3,0)</f>
        <v>NGANHOU JEAN</v>
      </c>
      <c r="N51" s="3"/>
      <c r="O51" s="3">
        <f t="shared" si="1"/>
        <v>0</v>
      </c>
    </row>
    <row r="52" spans="1:15" ht="16.5" thickTop="1" thickBot="1" x14ac:dyDescent="0.3">
      <c r="A52" s="9" t="s">
        <v>51</v>
      </c>
      <c r="B52" s="11" t="str">
        <f>VLOOKUP(A52,[3]LISTADHERENT!A$5:I$58,3,0)</f>
        <v>SIME BRICE</v>
      </c>
      <c r="N52" s="3"/>
      <c r="O52" s="3">
        <f t="shared" si="1"/>
        <v>0</v>
      </c>
    </row>
    <row r="53" spans="1:15" ht="15.75" thickTop="1" x14ac:dyDescent="0.25">
      <c r="N53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3" sqref="B3"/>
    </sheetView>
  </sheetViews>
  <sheetFormatPr baseColWidth="10" defaultRowHeight="15" x14ac:dyDescent="0.25"/>
  <cols>
    <col min="1" max="1" width="12.28515625" style="8" customWidth="1"/>
    <col min="2" max="2" width="31.85546875" bestFit="1" customWidth="1"/>
    <col min="3" max="3" width="9.85546875" bestFit="1" customWidth="1"/>
    <col min="4" max="5" width="8.85546875" bestFit="1" customWidth="1"/>
    <col min="6" max="6" width="16.42578125" bestFit="1" customWidth="1"/>
    <col min="7" max="7" width="15" bestFit="1" customWidth="1"/>
    <col min="8" max="8" width="11.42578125" style="3"/>
  </cols>
  <sheetData>
    <row r="1" spans="1:8" ht="15.75" thickTop="1" x14ac:dyDescent="0.25">
      <c r="A1" s="6" t="s">
        <v>71</v>
      </c>
      <c r="B1" s="13" t="s">
        <v>72</v>
      </c>
      <c r="C1" s="14" t="s">
        <v>73</v>
      </c>
      <c r="D1" s="14" t="s">
        <v>74</v>
      </c>
      <c r="E1" s="14" t="s">
        <v>75</v>
      </c>
    </row>
    <row r="2" spans="1:8" x14ac:dyDescent="0.25">
      <c r="A2" s="39">
        <v>44105</v>
      </c>
      <c r="B2" s="17" t="s">
        <v>76</v>
      </c>
      <c r="C2" s="3">
        <v>300000</v>
      </c>
      <c r="D2" s="3"/>
      <c r="E2" s="3"/>
      <c r="H2"/>
    </row>
    <row r="3" spans="1:8" s="28" customFormat="1" x14ac:dyDescent="0.25">
      <c r="A3" s="30"/>
      <c r="B3" s="17" t="s">
        <v>77</v>
      </c>
      <c r="C3" s="26"/>
      <c r="D3" s="26"/>
      <c r="E3" s="26"/>
    </row>
    <row r="4" spans="1:8" x14ac:dyDescent="0.25">
      <c r="A4" s="3"/>
      <c r="C4" s="3"/>
      <c r="D4" s="3"/>
      <c r="E4" s="3"/>
      <c r="H4"/>
    </row>
    <row r="5" spans="1:8" x14ac:dyDescent="0.25">
      <c r="A5" s="22"/>
      <c r="B5" s="22"/>
      <c r="C5" s="3"/>
      <c r="D5" s="3"/>
      <c r="E5" s="22"/>
      <c r="H5"/>
    </row>
    <row r="6" spans="1:8" x14ac:dyDescent="0.25">
      <c r="A6" s="3"/>
      <c r="C6" s="3"/>
      <c r="D6" s="3"/>
      <c r="E6" s="3"/>
      <c r="H6"/>
    </row>
    <row r="7" spans="1:8" x14ac:dyDescent="0.25">
      <c r="A7" s="3"/>
      <c r="C7" s="3"/>
      <c r="D7" s="3"/>
      <c r="E7" s="3"/>
      <c r="H7"/>
    </row>
    <row r="8" spans="1:8" s="28" customFormat="1" x14ac:dyDescent="0.25">
      <c r="A8" s="26"/>
      <c r="C8" s="26"/>
      <c r="D8" s="26"/>
      <c r="E8" s="26"/>
    </row>
    <row r="9" spans="1:8" s="28" customFormat="1" x14ac:dyDescent="0.25">
      <c r="A9" s="26"/>
      <c r="C9" s="26"/>
      <c r="D9" s="26"/>
      <c r="E9" s="26"/>
    </row>
    <row r="10" spans="1:8" x14ac:dyDescent="0.25">
      <c r="A10" s="3"/>
      <c r="C10" s="3"/>
      <c r="D10" s="3"/>
      <c r="E10" s="3"/>
      <c r="H10"/>
    </row>
    <row r="11" spans="1:8" x14ac:dyDescent="0.25">
      <c r="A11" s="3"/>
      <c r="C11" s="3"/>
      <c r="D11" s="3"/>
      <c r="E11" s="3"/>
      <c r="H11"/>
    </row>
    <row r="12" spans="1:8" x14ac:dyDescent="0.25">
      <c r="A12" s="3"/>
      <c r="C12" s="3"/>
      <c r="D12" s="3"/>
      <c r="E12" s="3"/>
      <c r="H12"/>
    </row>
    <row r="13" spans="1:8" x14ac:dyDescent="0.25">
      <c r="A13" s="3"/>
      <c r="C13" s="3"/>
      <c r="D13" s="3"/>
      <c r="E13" s="3"/>
      <c r="H13"/>
    </row>
    <row r="14" spans="1:8" x14ac:dyDescent="0.25">
      <c r="A14" s="3"/>
      <c r="C14" s="3"/>
      <c r="D14" s="3"/>
      <c r="E14" s="3"/>
      <c r="H14"/>
    </row>
    <row r="15" spans="1:8" s="28" customFormat="1" x14ac:dyDescent="0.25">
      <c r="A15" s="26"/>
      <c r="C15" s="26"/>
      <c r="D15" s="26"/>
      <c r="E15" s="26"/>
    </row>
    <row r="16" spans="1:8" x14ac:dyDescent="0.25">
      <c r="A16" s="3"/>
      <c r="C16" s="3"/>
      <c r="D16" s="3"/>
      <c r="E16" s="3"/>
      <c r="H16"/>
    </row>
    <row r="17" spans="1:8" x14ac:dyDescent="0.25">
      <c r="A17" s="3"/>
      <c r="C17" s="3"/>
      <c r="D17" s="3"/>
      <c r="E17" s="3"/>
      <c r="H17"/>
    </row>
    <row r="18" spans="1:8" x14ac:dyDescent="0.25">
      <c r="A18" s="3"/>
      <c r="B18" s="3"/>
      <c r="C18" s="3"/>
      <c r="D18" s="3"/>
      <c r="E18" s="3"/>
      <c r="H18"/>
    </row>
    <row r="19" spans="1:8" x14ac:dyDescent="0.25">
      <c r="A19" s="22"/>
      <c r="B19" s="29"/>
      <c r="C19" s="3"/>
      <c r="D19" s="3"/>
      <c r="E19" s="3"/>
      <c r="H19"/>
    </row>
    <row r="20" spans="1:8" x14ac:dyDescent="0.25">
      <c r="A20" s="3"/>
      <c r="C20" s="3"/>
      <c r="D20" s="3"/>
      <c r="E20" s="3"/>
      <c r="H20"/>
    </row>
    <row r="21" spans="1:8" x14ac:dyDescent="0.25">
      <c r="A21" s="3"/>
      <c r="C21" s="3"/>
      <c r="D21" s="3"/>
      <c r="E21" s="3"/>
      <c r="H21"/>
    </row>
    <row r="22" spans="1:8" x14ac:dyDescent="0.25">
      <c r="A22" s="3"/>
      <c r="C22" s="3"/>
      <c r="D22" s="3"/>
      <c r="E22" s="3"/>
      <c r="H22"/>
    </row>
    <row r="23" spans="1:8" s="28" customFormat="1" x14ac:dyDescent="0.25">
      <c r="A23" s="26"/>
      <c r="C23" s="26"/>
      <c r="D23" s="26"/>
      <c r="E23" s="26"/>
    </row>
    <row r="24" spans="1:8" s="28" customFormat="1" x14ac:dyDescent="0.25">
      <c r="A24" s="26"/>
      <c r="C24" s="26"/>
      <c r="D24" s="26"/>
      <c r="E24" s="26"/>
    </row>
    <row r="25" spans="1:8" x14ac:dyDescent="0.25">
      <c r="A25" s="3"/>
      <c r="C25" s="3"/>
      <c r="D25" s="3"/>
      <c r="E25" s="3"/>
      <c r="H25"/>
    </row>
    <row r="26" spans="1:8" x14ac:dyDescent="0.25">
      <c r="A26" s="3"/>
      <c r="C26" s="3"/>
      <c r="D26" s="3"/>
      <c r="E26" s="3"/>
      <c r="H26"/>
    </row>
    <row r="27" spans="1:8" s="28" customFormat="1" x14ac:dyDescent="0.25">
      <c r="A27" s="30"/>
      <c r="C27" s="26"/>
      <c r="D27" s="26"/>
      <c r="E27" s="26"/>
    </row>
    <row r="28" spans="1:8" s="28" customFormat="1" x14ac:dyDescent="0.25">
      <c r="A28" s="26"/>
      <c r="C28" s="26"/>
      <c r="D28" s="26"/>
      <c r="E28" s="26"/>
    </row>
    <row r="29" spans="1:8" x14ac:dyDescent="0.25">
      <c r="A29" s="3"/>
      <c r="C29" s="3"/>
      <c r="D29" s="3"/>
      <c r="E29" s="3"/>
      <c r="H29"/>
    </row>
    <row r="30" spans="1:8" s="28" customFormat="1" x14ac:dyDescent="0.25">
      <c r="A30" s="26"/>
      <c r="C30" s="26"/>
      <c r="D30" s="26"/>
      <c r="E30" s="26"/>
    </row>
    <row r="31" spans="1:8" x14ac:dyDescent="0.25">
      <c r="A31" s="3"/>
      <c r="C31" s="3"/>
      <c r="D31" s="3"/>
      <c r="E31" s="3"/>
      <c r="H31"/>
    </row>
    <row r="32" spans="1:8" x14ac:dyDescent="0.25">
      <c r="A32" s="3"/>
      <c r="B32" s="3"/>
      <c r="C32" s="3"/>
      <c r="D32" s="3"/>
      <c r="E32" s="3"/>
      <c r="H32"/>
    </row>
    <row r="33" spans="1:8" x14ac:dyDescent="0.25">
      <c r="A33" s="3"/>
      <c r="E33" s="3"/>
      <c r="H33"/>
    </row>
    <row r="34" spans="1:8" x14ac:dyDescent="0.25">
      <c r="A34" s="3"/>
      <c r="E34" s="3"/>
      <c r="H34"/>
    </row>
    <row r="35" spans="1:8" x14ac:dyDescent="0.25">
      <c r="A35" s="3"/>
      <c r="E35" s="3"/>
      <c r="H35"/>
    </row>
    <row r="36" spans="1:8" x14ac:dyDescent="0.25">
      <c r="A36" s="3"/>
      <c r="E36" s="3"/>
      <c r="H36"/>
    </row>
    <row r="37" spans="1:8" x14ac:dyDescent="0.25">
      <c r="A37" s="3"/>
      <c r="E37" s="3"/>
      <c r="H37"/>
    </row>
    <row r="38" spans="1:8" x14ac:dyDescent="0.25">
      <c r="A38" s="22"/>
      <c r="E38" s="3"/>
      <c r="H38"/>
    </row>
    <row r="39" spans="1:8" x14ac:dyDescent="0.25">
      <c r="A39" s="3"/>
      <c r="E39" s="3"/>
      <c r="H39"/>
    </row>
    <row r="40" spans="1:8" s="28" customFormat="1" x14ac:dyDescent="0.25">
      <c r="A40" s="26"/>
      <c r="E40" s="26"/>
    </row>
    <row r="41" spans="1:8" x14ac:dyDescent="0.25">
      <c r="A41" s="3"/>
      <c r="E41" s="3"/>
      <c r="H41"/>
    </row>
    <row r="42" spans="1:8" x14ac:dyDescent="0.25">
      <c r="A42" s="3"/>
      <c r="E42" s="3"/>
      <c r="H42"/>
    </row>
    <row r="43" spans="1:8" x14ac:dyDescent="0.25">
      <c r="A43" s="3"/>
      <c r="E43" s="3"/>
      <c r="H43"/>
    </row>
    <row r="44" spans="1:8" s="28" customFormat="1" x14ac:dyDescent="0.25">
      <c r="A44" s="26"/>
      <c r="E44" s="26"/>
    </row>
    <row r="45" spans="1:8" x14ac:dyDescent="0.25">
      <c r="A45" s="3"/>
      <c r="E45" s="3"/>
      <c r="H45"/>
    </row>
    <row r="46" spans="1:8" x14ac:dyDescent="0.25">
      <c r="A46" s="3"/>
      <c r="B46" s="3"/>
      <c r="E46" s="3"/>
      <c r="H46"/>
    </row>
    <row r="47" spans="1:8" x14ac:dyDescent="0.25">
      <c r="A47" s="22"/>
      <c r="E47" s="3"/>
      <c r="H47"/>
    </row>
    <row r="48" spans="1:8" x14ac:dyDescent="0.25">
      <c r="A48" s="3"/>
      <c r="E48" s="3"/>
      <c r="H48"/>
    </row>
    <row r="49" spans="1:8" x14ac:dyDescent="0.25">
      <c r="A49" s="3"/>
      <c r="E49" s="3"/>
      <c r="H49"/>
    </row>
    <row r="50" spans="1:8" x14ac:dyDescent="0.25">
      <c r="A50" s="3"/>
      <c r="E50" s="3"/>
      <c r="H50"/>
    </row>
    <row r="51" spans="1:8" x14ac:dyDescent="0.25">
      <c r="A51" s="3"/>
      <c r="E51" s="3"/>
      <c r="H51"/>
    </row>
    <row r="52" spans="1:8" x14ac:dyDescent="0.25">
      <c r="A52"/>
      <c r="E52" s="3"/>
      <c r="H52"/>
    </row>
    <row r="53" spans="1:8" x14ac:dyDescent="0.25">
      <c r="A53"/>
      <c r="E53" s="3"/>
      <c r="H53"/>
    </row>
    <row r="54" spans="1:8" x14ac:dyDescent="0.25">
      <c r="A54"/>
      <c r="E54" s="3"/>
      <c r="H54"/>
    </row>
    <row r="55" spans="1:8" x14ac:dyDescent="0.25">
      <c r="A55"/>
      <c r="E55" s="3"/>
      <c r="H5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activeCell="H30" sqref="H30"/>
    </sheetView>
  </sheetViews>
  <sheetFormatPr baseColWidth="10" defaultRowHeight="15" x14ac:dyDescent="0.25"/>
  <cols>
    <col min="1" max="1" width="12.28515625" style="8" customWidth="1"/>
    <col min="2" max="2" width="9.28515625" style="8" customWidth="1"/>
    <col min="3" max="3" width="31.85546875" bestFit="1" customWidth="1"/>
    <col min="4" max="4" width="9.85546875" bestFit="1" customWidth="1"/>
    <col min="5" max="6" width="8.85546875" bestFit="1" customWidth="1"/>
    <col min="7" max="7" width="9.5703125" style="3" bestFit="1" customWidth="1"/>
    <col min="8" max="8" width="9.85546875" bestFit="1" customWidth="1"/>
    <col min="9" max="9" width="13" bestFit="1" customWidth="1"/>
    <col min="11" max="11" width="16.42578125" bestFit="1" customWidth="1"/>
    <col min="12" max="12" width="15" bestFit="1" customWidth="1"/>
    <col min="13" max="13" width="11.42578125" style="3"/>
  </cols>
  <sheetData>
    <row r="1" spans="1:14" ht="15.75" thickTop="1" x14ac:dyDescent="0.25">
      <c r="A1" s="6" t="s">
        <v>0</v>
      </c>
      <c r="B1" s="20" t="s">
        <v>54</v>
      </c>
      <c r="C1" s="13" t="s">
        <v>1</v>
      </c>
      <c r="D1" s="14">
        <v>42979</v>
      </c>
      <c r="E1" s="14">
        <v>43070</v>
      </c>
      <c r="F1" s="14">
        <v>43313</v>
      </c>
      <c r="G1" s="14">
        <v>43739</v>
      </c>
      <c r="H1" s="15" t="s">
        <v>48</v>
      </c>
      <c r="I1" t="s">
        <v>55</v>
      </c>
      <c r="J1" t="s">
        <v>56</v>
      </c>
      <c r="K1" t="s">
        <v>57</v>
      </c>
      <c r="M1" s="3" t="s">
        <v>60</v>
      </c>
    </row>
    <row r="2" spans="1:14" x14ac:dyDescent="0.25">
      <c r="A2" s="7" t="s">
        <v>47</v>
      </c>
      <c r="B2" s="21">
        <v>1</v>
      </c>
      <c r="C2" s="16" t="str">
        <f>VLOOKUP(A2,[3]LISTADHERENT!A$5:I$60,3,0)</f>
        <v>ASELBY</v>
      </c>
      <c r="D2" s="17">
        <f>362838.011083746+E2</f>
        <v>362838.01108374598</v>
      </c>
      <c r="E2" s="17">
        <v>0</v>
      </c>
      <c r="F2" s="17">
        <v>31243</v>
      </c>
      <c r="G2" s="17">
        <v>62669</v>
      </c>
      <c r="H2" s="19">
        <f>SUM(D2:G2)</f>
        <v>456750.01108374598</v>
      </c>
      <c r="I2" s="3"/>
      <c r="J2" s="17"/>
    </row>
    <row r="3" spans="1:14" s="28" customFormat="1" x14ac:dyDescent="0.25">
      <c r="A3" s="23" t="s">
        <v>2</v>
      </c>
      <c r="B3" s="24">
        <v>2</v>
      </c>
      <c r="C3" s="16" t="str">
        <f>VLOOKUP(A3,[3]LISTADHERENT!A$5:I$60,3,0)</f>
        <v>BAKOP ACHILLE</v>
      </c>
      <c r="D3" s="25">
        <f>[2]FONDSDECAISSE!$O6</f>
        <v>420000</v>
      </c>
      <c r="E3" s="25">
        <v>30000</v>
      </c>
      <c r="F3" s="25">
        <v>30000</v>
      </c>
      <c r="G3" s="25">
        <v>-480000</v>
      </c>
      <c r="H3" s="27">
        <v>216000</v>
      </c>
      <c r="I3" s="30">
        <v>480000</v>
      </c>
      <c r="J3" s="30">
        <v>216000</v>
      </c>
      <c r="M3" s="26"/>
    </row>
    <row r="4" spans="1:14" x14ac:dyDescent="0.25">
      <c r="A4" s="7" t="s">
        <v>3</v>
      </c>
      <c r="B4" s="21">
        <v>3</v>
      </c>
      <c r="C4" s="16" t="str">
        <f>VLOOKUP(A4,[3]LISTADHERENT!A$5:I$60,3,0)</f>
        <v>BOUTCHOUANG WILLIAM</v>
      </c>
      <c r="D4" s="17">
        <f>[2]FONDSDECAISSE!$O7</f>
        <v>420000</v>
      </c>
      <c r="E4" s="17">
        <v>30000</v>
      </c>
      <c r="F4" s="17">
        <v>30000</v>
      </c>
      <c r="G4" s="17">
        <v>30000</v>
      </c>
      <c r="H4" s="19">
        <f t="shared" ref="H4:H51" si="0">SUM(D4:G4)</f>
        <v>510000</v>
      </c>
      <c r="I4" s="3"/>
    </row>
    <row r="5" spans="1:14" x14ac:dyDescent="0.25">
      <c r="A5" s="7" t="s">
        <v>4</v>
      </c>
      <c r="B5" s="21">
        <v>4</v>
      </c>
      <c r="C5" s="16" t="str">
        <f>VLOOKUP(A5,[3]LISTADHERENT!A$5:I$60,3,0)</f>
        <v>CHINGUE FABRICE</v>
      </c>
      <c r="D5" s="17">
        <f>[2]FONDSDECAISSE!$O8</f>
        <v>420000</v>
      </c>
      <c r="E5" s="17">
        <v>30000</v>
      </c>
      <c r="F5" s="17">
        <v>30000</v>
      </c>
      <c r="G5" s="17">
        <v>-510000</v>
      </c>
      <c r="H5" s="19">
        <v>0</v>
      </c>
      <c r="I5" s="22"/>
      <c r="J5" s="22">
        <v>-767080</v>
      </c>
      <c r="K5" t="s">
        <v>58</v>
      </c>
      <c r="L5" t="s">
        <v>59</v>
      </c>
      <c r="M5" s="22">
        <v>180000</v>
      </c>
    </row>
    <row r="6" spans="1:14" x14ac:dyDescent="0.25">
      <c r="A6" s="12" t="s">
        <v>53</v>
      </c>
      <c r="B6" s="21">
        <v>5</v>
      </c>
      <c r="C6" s="16" t="str">
        <f>VLOOKUP(A6,[3]LISTADHERENT!A$5:I$60,3,0)</f>
        <v>DJOMO DOMO</v>
      </c>
      <c r="D6" s="18"/>
      <c r="E6" s="18"/>
      <c r="F6" s="17"/>
      <c r="G6" s="17">
        <v>0</v>
      </c>
      <c r="H6" s="19">
        <f t="shared" si="0"/>
        <v>0</v>
      </c>
      <c r="I6" s="3"/>
    </row>
    <row r="7" spans="1:14" x14ac:dyDescent="0.25">
      <c r="A7" s="7" t="s">
        <v>5</v>
      </c>
      <c r="B7" s="21">
        <v>6</v>
      </c>
      <c r="C7" s="16" t="str">
        <f>VLOOKUP(A7,[3]LISTADHERENT!A$5:I$60,3,0)</f>
        <v xml:space="preserve">DJOMO JEAN PAUL </v>
      </c>
      <c r="D7" s="17">
        <f>[2]FONDSDECAISSE!$O9</f>
        <v>420000</v>
      </c>
      <c r="E7" s="17">
        <v>30000</v>
      </c>
      <c r="F7" s="17">
        <v>30000</v>
      </c>
      <c r="G7" s="17">
        <v>30000</v>
      </c>
      <c r="H7" s="19">
        <f>SUM(D7:G7)</f>
        <v>510000</v>
      </c>
      <c r="I7" s="3"/>
    </row>
    <row r="8" spans="1:14" s="28" customFormat="1" x14ac:dyDescent="0.25">
      <c r="A8" s="7" t="s">
        <v>68</v>
      </c>
      <c r="B8" s="24">
        <v>7</v>
      </c>
      <c r="C8" s="16" t="str">
        <f>VLOOKUP(A8,[3]LISTADHERENT!A$5:I$60,3,0)</f>
        <v>DJOMOU TCHANDA</v>
      </c>
      <c r="D8" s="25">
        <v>0</v>
      </c>
      <c r="E8" s="25"/>
      <c r="F8" s="25"/>
      <c r="G8" s="25"/>
      <c r="H8" s="27">
        <f t="shared" ref="H8" si="1">SUM(D8:G8)</f>
        <v>0</v>
      </c>
      <c r="I8" s="26"/>
      <c r="M8" s="26">
        <v>200000</v>
      </c>
      <c r="N8" s="28" t="s">
        <v>61</v>
      </c>
    </row>
    <row r="9" spans="1:14" s="28" customFormat="1" x14ac:dyDescent="0.25">
      <c r="A9" s="23" t="s">
        <v>6</v>
      </c>
      <c r="B9" s="24">
        <v>7</v>
      </c>
      <c r="C9" s="16" t="str">
        <f>VLOOKUP(A9,[3]LISTADHERENT!A$5:I$60,3,0)</f>
        <v>DJOUKWE NANGUEN GUY BLAISE</v>
      </c>
      <c r="D9" s="25">
        <f>[2]FONDSDECAISSE!$O10</f>
        <v>420000</v>
      </c>
      <c r="E9" s="25">
        <v>30000</v>
      </c>
      <c r="F9" s="25">
        <v>30000</v>
      </c>
      <c r="G9" s="25">
        <v>30000</v>
      </c>
      <c r="H9" s="27">
        <f t="shared" si="0"/>
        <v>510000</v>
      </c>
      <c r="I9" s="26"/>
      <c r="M9" s="26">
        <v>200000</v>
      </c>
      <c r="N9" s="28" t="s">
        <v>61</v>
      </c>
    </row>
    <row r="10" spans="1:14" x14ac:dyDescent="0.25">
      <c r="A10" s="7" t="s">
        <v>7</v>
      </c>
      <c r="B10" s="21">
        <v>8</v>
      </c>
      <c r="C10" s="16" t="str">
        <f>VLOOKUP(A10,[3]LISTADHERENT!A$5:I$60,3,0)</f>
        <v>DJUOMBESSY ANTOINE</v>
      </c>
      <c r="D10" s="17">
        <f>[2]FONDSDECAISSE!$O13</f>
        <v>420000</v>
      </c>
      <c r="E10" s="17">
        <v>30000</v>
      </c>
      <c r="F10" s="17">
        <v>30000</v>
      </c>
      <c r="G10" s="17">
        <v>30000</v>
      </c>
      <c r="H10" s="19">
        <f t="shared" si="0"/>
        <v>510000</v>
      </c>
      <c r="I10" s="3"/>
    </row>
    <row r="11" spans="1:14" x14ac:dyDescent="0.25">
      <c r="A11" s="12" t="s">
        <v>49</v>
      </c>
      <c r="B11" s="21">
        <v>9</v>
      </c>
      <c r="C11" s="16" t="str">
        <f>VLOOKUP(A11,[3]LISTADHERENT!A$5:I$60,3,0)</f>
        <v>DOMOU FABIEN</v>
      </c>
      <c r="D11" s="18"/>
      <c r="E11" s="18"/>
      <c r="F11" s="17">
        <v>441596</v>
      </c>
      <c r="G11" s="17">
        <v>68404</v>
      </c>
      <c r="H11" s="19">
        <f t="shared" si="0"/>
        <v>510000</v>
      </c>
      <c r="I11" s="3"/>
      <c r="K11" s="3"/>
    </row>
    <row r="12" spans="1:14" x14ac:dyDescent="0.25">
      <c r="A12" s="7" t="s">
        <v>8</v>
      </c>
      <c r="B12" s="21">
        <v>10</v>
      </c>
      <c r="C12" s="16" t="str">
        <f>VLOOKUP(A12,[3]LISTADHERENT!A$5:I$60,3,0)</f>
        <v>DONHOU DAVID</v>
      </c>
      <c r="D12" s="17">
        <f>[2]FONDSDECAISSE!$O14</f>
        <v>420000</v>
      </c>
      <c r="E12" s="17">
        <v>30000</v>
      </c>
      <c r="F12" s="17">
        <v>30000</v>
      </c>
      <c r="G12" s="17">
        <v>30000</v>
      </c>
      <c r="H12" s="19">
        <f t="shared" si="0"/>
        <v>510000</v>
      </c>
      <c r="I12" s="3"/>
    </row>
    <row r="13" spans="1:14" x14ac:dyDescent="0.25">
      <c r="A13" s="7" t="s">
        <v>9</v>
      </c>
      <c r="B13" s="21">
        <v>11</v>
      </c>
      <c r="C13" s="16" t="str">
        <f>VLOOKUP(A13,[3]LISTADHERENT!A$5:I$60,3,0)</f>
        <v>FOTSO THOMAS</v>
      </c>
      <c r="D13" s="17">
        <f>[2]FONDSDECAISSE!$O15</f>
        <v>420000</v>
      </c>
      <c r="E13" s="17">
        <v>30000</v>
      </c>
      <c r="F13" s="17">
        <v>30000</v>
      </c>
      <c r="G13" s="17">
        <v>30000</v>
      </c>
      <c r="H13" s="19">
        <f t="shared" si="0"/>
        <v>510000</v>
      </c>
      <c r="I13" s="3"/>
    </row>
    <row r="14" spans="1:14" x14ac:dyDescent="0.25">
      <c r="A14" s="7" t="s">
        <v>10</v>
      </c>
      <c r="B14" s="21">
        <v>12</v>
      </c>
      <c r="C14" s="16" t="str">
        <f>VLOOKUP(A14,[3]LISTADHERENT!A$5:I$60,3,0)</f>
        <v>HENGUE PAUL OMER</v>
      </c>
      <c r="D14" s="17">
        <f>[2]FONDSDECAISSE!$O16</f>
        <v>420000</v>
      </c>
      <c r="E14" s="17">
        <v>30000</v>
      </c>
      <c r="F14" s="17">
        <v>30000</v>
      </c>
      <c r="G14" s="17">
        <v>30000</v>
      </c>
      <c r="H14" s="19">
        <f t="shared" si="0"/>
        <v>510000</v>
      </c>
      <c r="I14" s="3"/>
    </row>
    <row r="15" spans="1:14" s="28" customFormat="1" x14ac:dyDescent="0.25">
      <c r="A15" s="23" t="s">
        <v>11</v>
      </c>
      <c r="B15" s="24">
        <v>13</v>
      </c>
      <c r="C15" s="16" t="str">
        <f>VLOOKUP(A15,[3]LISTADHERENT!A$5:I$60,3,0)</f>
        <v>HODIEP JULES</v>
      </c>
      <c r="D15" s="25">
        <f>[2]FONDSDECAISSE!$O17</f>
        <v>50000</v>
      </c>
      <c r="E15" s="25">
        <v>30000</v>
      </c>
      <c r="F15" s="25"/>
      <c r="G15" s="25">
        <v>-80000</v>
      </c>
      <c r="H15" s="27">
        <v>80000</v>
      </c>
      <c r="I15" s="26">
        <v>80000</v>
      </c>
      <c r="M15" s="26"/>
    </row>
    <row r="16" spans="1:14" x14ac:dyDescent="0.25">
      <c r="A16" s="7" t="s">
        <v>12</v>
      </c>
      <c r="B16" s="21">
        <v>14</v>
      </c>
      <c r="C16" s="16" t="str">
        <f>VLOOKUP(A16,[3]LISTADHERENT!A$5:I$60,3,0)</f>
        <v>HOTCHO BENJAMIN</v>
      </c>
      <c r="D16" s="17">
        <f>[2]FONDSDECAISSE!$O18</f>
        <v>420000</v>
      </c>
      <c r="E16" s="17">
        <v>30000</v>
      </c>
      <c r="F16" s="17">
        <v>30000</v>
      </c>
      <c r="G16" s="17">
        <v>30000</v>
      </c>
      <c r="H16" s="19">
        <f t="shared" si="0"/>
        <v>510000</v>
      </c>
      <c r="I16" s="3"/>
    </row>
    <row r="17" spans="1:14" x14ac:dyDescent="0.25">
      <c r="A17" s="7" t="s">
        <v>14</v>
      </c>
      <c r="B17" s="21">
        <v>15</v>
      </c>
      <c r="C17" s="16" t="str">
        <f>VLOOKUP(A17,[3]LISTADHERENT!A$5:I$60,3,0)</f>
        <v>KEPSEU FRANCIS</v>
      </c>
      <c r="D17" s="17">
        <f>[2]FONDSDECAISSE!$O20</f>
        <v>420000</v>
      </c>
      <c r="E17" s="17">
        <v>30000</v>
      </c>
      <c r="F17" s="17">
        <v>30000</v>
      </c>
      <c r="G17" s="17">
        <v>30000</v>
      </c>
      <c r="H17" s="19">
        <f t="shared" si="0"/>
        <v>510000</v>
      </c>
      <c r="I17" s="3"/>
    </row>
    <row r="18" spans="1:14" x14ac:dyDescent="0.25">
      <c r="A18" s="7" t="s">
        <v>17</v>
      </c>
      <c r="B18" s="21">
        <v>16</v>
      </c>
      <c r="C18" s="16" t="str">
        <f>VLOOKUP(A18,[3]LISTADHERENT!A$5:I$60,3,0)</f>
        <v>KOUAMO VICTOR PEGUY</v>
      </c>
      <c r="D18" s="17">
        <f>[2]FONDSDECAISSE!$O23</f>
        <v>420000</v>
      </c>
      <c r="E18" s="17">
        <v>30000</v>
      </c>
      <c r="F18" s="17">
        <v>30000</v>
      </c>
      <c r="G18" s="17">
        <v>30000</v>
      </c>
      <c r="H18" s="19">
        <f t="shared" si="0"/>
        <v>510000</v>
      </c>
      <c r="I18" s="3"/>
      <c r="J18" s="3">
        <v>139500</v>
      </c>
    </row>
    <row r="19" spans="1:14" x14ac:dyDescent="0.25">
      <c r="A19" s="7" t="s">
        <v>15</v>
      </c>
      <c r="B19" s="21">
        <v>17</v>
      </c>
      <c r="C19" s="16" t="str">
        <f>VLOOKUP(A19,[3]LISTADHERENT!A$5:I$60,3,0)</f>
        <v>KOUAMOU EMMANUEL</v>
      </c>
      <c r="D19" s="17">
        <f>[2]FONDSDECAISSE!$O21</f>
        <v>420000</v>
      </c>
      <c r="E19" s="17">
        <v>30000</v>
      </c>
      <c r="F19" s="17">
        <v>30000</v>
      </c>
      <c r="G19" s="17">
        <v>-480000</v>
      </c>
      <c r="H19" s="19">
        <f t="shared" si="0"/>
        <v>0</v>
      </c>
      <c r="I19" s="22">
        <v>-480171</v>
      </c>
      <c r="J19" s="29">
        <v>-484041.96717826341</v>
      </c>
      <c r="L19" t="s">
        <v>62</v>
      </c>
      <c r="M19" s="3">
        <v>180000</v>
      </c>
      <c r="N19" t="s">
        <v>63</v>
      </c>
    </row>
    <row r="20" spans="1:14" x14ac:dyDescent="0.25">
      <c r="A20" s="7" t="s">
        <v>16</v>
      </c>
      <c r="B20" s="21">
        <v>18</v>
      </c>
      <c r="C20" s="16" t="str">
        <f>VLOOKUP(A20,[3]LISTADHERENT!A$5:I$60,3,0)</f>
        <v>KOUAMOU MOISE</v>
      </c>
      <c r="D20" s="17">
        <f>[2]FONDSDECAISSE!$O22</f>
        <v>420000</v>
      </c>
      <c r="E20" s="17">
        <v>30000</v>
      </c>
      <c r="F20" s="17">
        <v>30000</v>
      </c>
      <c r="G20" s="17">
        <v>30000</v>
      </c>
      <c r="H20" s="19">
        <f t="shared" si="0"/>
        <v>510000</v>
      </c>
      <c r="I20" s="3"/>
    </row>
    <row r="21" spans="1:14" x14ac:dyDescent="0.25">
      <c r="A21" s="7" t="s">
        <v>18</v>
      </c>
      <c r="B21" s="21">
        <v>19</v>
      </c>
      <c r="C21" s="16" t="str">
        <f>VLOOKUP(A21,[3]LISTADHERENT!A$5:I$60,3,0)</f>
        <v>KOUATCHO MESSACK</v>
      </c>
      <c r="D21" s="17">
        <f>[2]FONDSDECAISSE!$O24</f>
        <v>420000</v>
      </c>
      <c r="E21" s="17">
        <v>30000</v>
      </c>
      <c r="F21" s="17">
        <v>30000</v>
      </c>
      <c r="G21" s="17">
        <v>30000</v>
      </c>
      <c r="H21" s="19">
        <f t="shared" si="0"/>
        <v>510000</v>
      </c>
      <c r="I21" s="3"/>
    </row>
    <row r="22" spans="1:14" x14ac:dyDescent="0.25">
      <c r="A22" s="7" t="s">
        <v>19</v>
      </c>
      <c r="B22" s="21">
        <v>20</v>
      </c>
      <c r="C22" s="16" t="str">
        <f>VLOOKUP(A22,[3]LISTADHERENT!A$5:I$60,3,0)</f>
        <v>LOWE JEAN</v>
      </c>
      <c r="D22" s="17">
        <f>[2]FONDSDECAISSE!$O25</f>
        <v>420000</v>
      </c>
      <c r="E22" s="17">
        <v>30000</v>
      </c>
      <c r="F22" s="17">
        <v>30000</v>
      </c>
      <c r="G22" s="17">
        <v>30000</v>
      </c>
      <c r="H22" s="19">
        <f t="shared" si="0"/>
        <v>510000</v>
      </c>
      <c r="I22" s="3"/>
    </row>
    <row r="23" spans="1:14" s="28" customFormat="1" x14ac:dyDescent="0.25">
      <c r="A23" s="31" t="s">
        <v>52</v>
      </c>
      <c r="B23" s="24">
        <v>21</v>
      </c>
      <c r="C23" s="16" t="str">
        <f>VLOOKUP(A23,[3]LISTADHERENT!A$5:I$60,3,0)</f>
        <v>MBOGNING TUGMA GUY</v>
      </c>
      <c r="D23" s="32"/>
      <c r="E23" s="32"/>
      <c r="F23" s="25">
        <v>30000</v>
      </c>
      <c r="G23" s="25">
        <v>480000</v>
      </c>
      <c r="H23" s="27">
        <f t="shared" si="0"/>
        <v>510000</v>
      </c>
      <c r="I23" s="26" t="s">
        <v>66</v>
      </c>
      <c r="J23" s="28" t="s">
        <v>67</v>
      </c>
      <c r="M23" s="26"/>
    </row>
    <row r="24" spans="1:14" s="28" customFormat="1" x14ac:dyDescent="0.25">
      <c r="A24" s="23" t="s">
        <v>38</v>
      </c>
      <c r="B24" s="24">
        <v>22</v>
      </c>
      <c r="C24" s="16" t="str">
        <f>VLOOKUP(A24,[3]LISTADHERENT!A$5:I$60,3,0)</f>
        <v>NANGUEN MARTIN</v>
      </c>
      <c r="D24" s="25">
        <f>[2]FONDSDECAISSE!$O44</f>
        <v>390000</v>
      </c>
      <c r="E24" s="25">
        <v>30000</v>
      </c>
      <c r="F24" s="25">
        <v>30000</v>
      </c>
      <c r="G24" s="25">
        <f>30000+30000</f>
        <v>60000</v>
      </c>
      <c r="H24" s="27">
        <f t="shared" si="0"/>
        <v>510000</v>
      </c>
      <c r="I24" s="26"/>
      <c r="M24" s="26"/>
    </row>
    <row r="25" spans="1:14" x14ac:dyDescent="0.25">
      <c r="A25" s="7" t="s">
        <v>20</v>
      </c>
      <c r="B25" s="21">
        <v>23</v>
      </c>
      <c r="C25" s="16" t="str">
        <f>VLOOKUP(A25,[3]LISTADHERENT!A$5:I$60,3,0)</f>
        <v>NANKAM APPOLINAIRE</v>
      </c>
      <c r="D25" s="17">
        <f>[2]FONDSDECAISSE!$O26</f>
        <v>420000</v>
      </c>
      <c r="E25" s="17">
        <v>30000</v>
      </c>
      <c r="F25" s="17">
        <v>30000</v>
      </c>
      <c r="G25" s="17">
        <v>30000</v>
      </c>
      <c r="H25" s="19">
        <f t="shared" si="0"/>
        <v>510000</v>
      </c>
      <c r="I25" s="3"/>
    </row>
    <row r="26" spans="1:14" x14ac:dyDescent="0.25">
      <c r="A26" s="7" t="s">
        <v>21</v>
      </c>
      <c r="B26" s="21">
        <v>24</v>
      </c>
      <c r="C26" s="16" t="str">
        <f>VLOOKUP(A26,[3]LISTADHERENT!A$5:I$60,3,0)</f>
        <v>NDJOMO ETIENNE</v>
      </c>
      <c r="D26" s="17">
        <f>[2]FONDSDECAISSE!$O27</f>
        <v>420000</v>
      </c>
      <c r="E26" s="17">
        <v>30000</v>
      </c>
      <c r="F26" s="17">
        <v>30000</v>
      </c>
      <c r="G26" s="17">
        <v>30000</v>
      </c>
      <c r="H26" s="19">
        <f t="shared" si="0"/>
        <v>510000</v>
      </c>
      <c r="I26" s="3"/>
    </row>
    <row r="27" spans="1:14" s="28" customFormat="1" x14ac:dyDescent="0.25">
      <c r="A27" s="23" t="s">
        <v>22</v>
      </c>
      <c r="B27" s="24">
        <v>25</v>
      </c>
      <c r="C27" s="16" t="str">
        <f>VLOOKUP(A27,[3]LISTADHERENT!A$5:I$60,3,0)</f>
        <v>NDOMBOU JEAN CLAUDE</v>
      </c>
      <c r="D27" s="25">
        <f>[2]FONDSDECAISSE!$O28</f>
        <v>420000</v>
      </c>
      <c r="E27" s="25">
        <v>30000</v>
      </c>
      <c r="F27" s="25">
        <v>30000</v>
      </c>
      <c r="G27" s="25">
        <v>-480000</v>
      </c>
      <c r="H27" s="27">
        <v>480000</v>
      </c>
      <c r="I27" s="30">
        <v>480000</v>
      </c>
      <c r="M27" s="26"/>
    </row>
    <row r="28" spans="1:14" s="28" customFormat="1" x14ac:dyDescent="0.25">
      <c r="A28" s="31" t="s">
        <v>50</v>
      </c>
      <c r="B28" s="24">
        <v>26</v>
      </c>
      <c r="C28" s="16" t="str">
        <f>VLOOKUP(A28,[3]LISTADHERENT!A$5:I$60,3,0)</f>
        <v>NGANHOU JEAN</v>
      </c>
      <c r="D28" s="32"/>
      <c r="E28" s="32"/>
      <c r="F28" s="25"/>
      <c r="G28" s="25">
        <v>130000</v>
      </c>
      <c r="H28" s="27">
        <f t="shared" si="0"/>
        <v>130000</v>
      </c>
      <c r="I28" s="26"/>
      <c r="M28" s="26"/>
    </row>
    <row r="29" spans="1:14" x14ac:dyDescent="0.25">
      <c r="A29" s="7" t="s">
        <v>23</v>
      </c>
      <c r="B29" s="21">
        <v>27</v>
      </c>
      <c r="C29" s="16" t="str">
        <f>VLOOKUP(A29,[3]LISTADHERENT!A$5:I$60,3,0)</f>
        <v>NGONDIEP CLAUDE</v>
      </c>
      <c r="D29" s="17">
        <f>[2]FONDSDECAISSE!$O29</f>
        <v>420000</v>
      </c>
      <c r="E29" s="17">
        <v>30000</v>
      </c>
      <c r="F29" s="17">
        <v>30000</v>
      </c>
      <c r="G29" s="17">
        <v>30000</v>
      </c>
      <c r="H29" s="19">
        <f>SUM(D29:G29)</f>
        <v>510000</v>
      </c>
      <c r="I29" s="3"/>
    </row>
    <row r="30" spans="1:14" s="28" customFormat="1" x14ac:dyDescent="0.25">
      <c r="A30" s="23" t="s">
        <v>24</v>
      </c>
      <c r="B30" s="24">
        <v>28</v>
      </c>
      <c r="C30" s="16" t="str">
        <f>VLOOKUP(A30,[3]LISTADHERENT!A$5:I$60,3,0)</f>
        <v>NGONGANG JEAN THEODORE</v>
      </c>
      <c r="D30" s="25">
        <f>[2]FONDSDECAISSE!$O30+18045+25000</f>
        <v>43045</v>
      </c>
      <c r="E30" s="25">
        <v>30000</v>
      </c>
      <c r="F30" s="25"/>
      <c r="G30" s="25">
        <f>281067-13600</f>
        <v>267467</v>
      </c>
      <c r="H30" s="27">
        <f>267467-10000</f>
        <v>257467</v>
      </c>
      <c r="I30" s="26"/>
      <c r="M30" s="26"/>
    </row>
    <row r="31" spans="1:14" x14ac:dyDescent="0.25">
      <c r="A31" s="7" t="s">
        <v>25</v>
      </c>
      <c r="B31" s="21">
        <v>29</v>
      </c>
      <c r="C31" s="16" t="str">
        <f>VLOOKUP(A31,[3]LISTADHERENT!A$5:I$60,3,0)</f>
        <v>NGUIEMEGNI MATHIEU BLAISE</v>
      </c>
      <c r="D31" s="17">
        <f>[2]FONDSDECAISSE!$O31</f>
        <v>420000</v>
      </c>
      <c r="E31" s="17">
        <v>30000</v>
      </c>
      <c r="F31" s="17">
        <v>30000</v>
      </c>
      <c r="G31" s="17">
        <v>30000</v>
      </c>
      <c r="H31" s="19">
        <f t="shared" si="0"/>
        <v>510000</v>
      </c>
      <c r="I31" s="3"/>
    </row>
    <row r="32" spans="1:14" x14ac:dyDescent="0.25">
      <c r="A32" s="7" t="s">
        <v>26</v>
      </c>
      <c r="B32" s="21">
        <v>30</v>
      </c>
      <c r="C32" s="16" t="str">
        <f>VLOOKUP(A32,[3]LISTADHERENT!A$5:I$60,3,0)</f>
        <v>NJEPDJIO MBOUKAM DELUXE</v>
      </c>
      <c r="D32" s="17">
        <f>[2]FONDSDECAISSE!$O32</f>
        <v>420000</v>
      </c>
      <c r="E32" s="17">
        <v>30000</v>
      </c>
      <c r="F32" s="17">
        <v>30000</v>
      </c>
      <c r="G32" s="17">
        <v>-510000</v>
      </c>
      <c r="H32" s="19"/>
      <c r="I32" s="3">
        <v>-996118</v>
      </c>
      <c r="J32" s="3">
        <v>-992988.43613458727</v>
      </c>
      <c r="L32" t="s">
        <v>64</v>
      </c>
      <c r="M32" s="3">
        <v>180000</v>
      </c>
    </row>
    <row r="33" spans="1:13" x14ac:dyDescent="0.25">
      <c r="A33" s="7" t="s">
        <v>27</v>
      </c>
      <c r="B33" s="21">
        <v>31</v>
      </c>
      <c r="C33" s="16" t="str">
        <f>VLOOKUP(A33,[3]LISTADHERENT!A$5:I$60,3,0)</f>
        <v>NKAMGANG JUSTIN DEJOLIE</v>
      </c>
      <c r="D33" s="17">
        <f>[2]FONDSDECAISSE!$O33</f>
        <v>420000</v>
      </c>
      <c r="E33" s="17">
        <v>30000</v>
      </c>
      <c r="F33" s="17">
        <v>30000</v>
      </c>
      <c r="G33" s="17">
        <v>30000</v>
      </c>
      <c r="H33" s="19">
        <f t="shared" si="0"/>
        <v>510000</v>
      </c>
      <c r="I33" s="3"/>
    </row>
    <row r="34" spans="1:13" x14ac:dyDescent="0.25">
      <c r="A34" s="7" t="s">
        <v>13</v>
      </c>
      <c r="B34" s="21">
        <v>32</v>
      </c>
      <c r="C34" s="16" t="str">
        <f>VLOOKUP(A34,[3]LISTADHERENT!A$5:I$60,3,0)</f>
        <v>NKEHE DAVID</v>
      </c>
      <c r="D34" s="17">
        <f>[2]FONDSDECAISSE!$O19</f>
        <v>357000</v>
      </c>
      <c r="E34" s="17">
        <v>30000</v>
      </c>
      <c r="F34" s="17">
        <v>33000</v>
      </c>
      <c r="G34" s="17">
        <v>90000</v>
      </c>
      <c r="H34" s="19">
        <f t="shared" si="0"/>
        <v>510000</v>
      </c>
      <c r="I34" s="3"/>
    </row>
    <row r="35" spans="1:13" x14ac:dyDescent="0.25">
      <c r="A35" s="7" t="s">
        <v>28</v>
      </c>
      <c r="B35" s="21">
        <v>33</v>
      </c>
      <c r="C35" s="16" t="str">
        <f>VLOOKUP(A35,[3]LISTADHERENT!A$5:I$60,3,0)</f>
        <v>NKEPSEU DIEUDONNE</v>
      </c>
      <c r="D35" s="17">
        <f>[2]FONDSDECAISSE!$O34</f>
        <v>420000</v>
      </c>
      <c r="E35" s="17">
        <v>30000</v>
      </c>
      <c r="F35" s="17">
        <v>30000</v>
      </c>
      <c r="G35" s="17">
        <v>30000</v>
      </c>
      <c r="H35" s="19">
        <f t="shared" si="0"/>
        <v>510000</v>
      </c>
      <c r="I35" s="3"/>
    </row>
    <row r="36" spans="1:13" x14ac:dyDescent="0.25">
      <c r="A36" s="7" t="s">
        <v>30</v>
      </c>
      <c r="B36" s="21">
        <v>34</v>
      </c>
      <c r="C36" s="16" t="str">
        <f>VLOOKUP(A36,[3]LISTADHERENT!A$5:I$60,3,0)</f>
        <v>NTEPDIE TUEMAC MZ</v>
      </c>
      <c r="D36" s="17">
        <f>[2]FONDSDECAISSE!$O36</f>
        <v>0</v>
      </c>
      <c r="E36" s="17">
        <v>0</v>
      </c>
      <c r="F36" s="17">
        <v>30000</v>
      </c>
      <c r="G36" s="17"/>
      <c r="H36" s="19">
        <v>0</v>
      </c>
      <c r="I36" s="3"/>
    </row>
    <row r="37" spans="1:13" x14ac:dyDescent="0.25">
      <c r="A37" s="7" t="s">
        <v>32</v>
      </c>
      <c r="B37" s="21">
        <v>35</v>
      </c>
      <c r="C37" s="16" t="str">
        <f>VLOOKUP(A37,[3]LISTADHERENT!A$5:I$60,3,0)</f>
        <v>PATEGO NJOSSU GUSTAVE</v>
      </c>
      <c r="D37" s="17">
        <f>[2]FONDSDECAISSE!$O38</f>
        <v>420000</v>
      </c>
      <c r="E37" s="17">
        <v>30000</v>
      </c>
      <c r="F37" s="17">
        <v>30000</v>
      </c>
      <c r="G37" s="17">
        <v>30000</v>
      </c>
      <c r="H37" s="19">
        <f t="shared" si="0"/>
        <v>510000</v>
      </c>
      <c r="I37" s="3"/>
    </row>
    <row r="38" spans="1:13" x14ac:dyDescent="0.25">
      <c r="A38" s="7" t="s">
        <v>33</v>
      </c>
      <c r="B38" s="21">
        <v>36</v>
      </c>
      <c r="C38" s="16" t="str">
        <f>VLOOKUP(A38,[3]LISTADHERENT!A$5:I$60,3,0)</f>
        <v>SEUNOU RICHELOT</v>
      </c>
      <c r="D38" s="17">
        <f>[2]FONDSDECAISSE!$O39</f>
        <v>420000</v>
      </c>
      <c r="E38" s="17">
        <v>30000</v>
      </c>
      <c r="F38" s="17">
        <v>30000</v>
      </c>
      <c r="G38" s="17">
        <v>-510000</v>
      </c>
      <c r="H38" s="19"/>
      <c r="I38" s="22">
        <v>-510000</v>
      </c>
    </row>
    <row r="39" spans="1:13" x14ac:dyDescent="0.25">
      <c r="A39" s="7" t="s">
        <v>34</v>
      </c>
      <c r="B39" s="21">
        <v>37</v>
      </c>
      <c r="C39" s="16" t="str">
        <f>VLOOKUP(A39,[3]LISTADHERENT!A$5:I$60,3,0)</f>
        <v>SIME ABEL</v>
      </c>
      <c r="D39" s="17">
        <f>[2]FONDSDECAISSE!$O40</f>
        <v>390000</v>
      </c>
      <c r="E39" s="17">
        <v>30000</v>
      </c>
      <c r="F39" s="17">
        <v>-420000</v>
      </c>
      <c r="G39" s="17"/>
      <c r="H39" s="19">
        <f t="shared" si="0"/>
        <v>0</v>
      </c>
      <c r="I39" s="3"/>
    </row>
    <row r="40" spans="1:13" s="28" customFormat="1" x14ac:dyDescent="0.25">
      <c r="A40" s="31" t="s">
        <v>51</v>
      </c>
      <c r="B40" s="24">
        <v>38</v>
      </c>
      <c r="C40" s="16" t="str">
        <f>VLOOKUP(A40,[3]LISTADHERENT!A$5:I$60,3,0)</f>
        <v>SIME BRICE</v>
      </c>
      <c r="D40" s="32"/>
      <c r="E40" s="32"/>
      <c r="F40" s="25"/>
      <c r="G40" s="25">
        <f>107376.913330815+280000-27500-214500</f>
        <v>145376.91333081503</v>
      </c>
      <c r="H40" s="27">
        <f t="shared" si="0"/>
        <v>145376.91333081503</v>
      </c>
      <c r="I40" s="26"/>
      <c r="M40" s="26"/>
    </row>
    <row r="41" spans="1:13" x14ac:dyDescent="0.25">
      <c r="A41" s="7" t="s">
        <v>35</v>
      </c>
      <c r="B41" s="21">
        <v>39</v>
      </c>
      <c r="C41" s="16" t="str">
        <f>VLOOKUP(A41,[3]LISTADHERENT!A$5:I$60,3,0)</f>
        <v>SIMO FONGANG ERIC</v>
      </c>
      <c r="D41" s="17">
        <f>[2]FONDSDECAISSE!$O41</f>
        <v>420000</v>
      </c>
      <c r="E41" s="17">
        <v>30000</v>
      </c>
      <c r="F41" s="17">
        <v>30000</v>
      </c>
      <c r="G41" s="17">
        <v>30000</v>
      </c>
      <c r="H41" s="19">
        <f t="shared" si="0"/>
        <v>510000</v>
      </c>
      <c r="I41" s="3"/>
    </row>
    <row r="42" spans="1:13" x14ac:dyDescent="0.25">
      <c r="A42" s="7" t="s">
        <v>36</v>
      </c>
      <c r="B42" s="21">
        <v>40</v>
      </c>
      <c r="C42" s="16" t="str">
        <f>VLOOKUP(A42,[3]LISTADHERENT!A$5:I$60,3,0)</f>
        <v>SIME MATHIEU</v>
      </c>
      <c r="D42" s="17">
        <f>[2]FONDSDECAISSE!$O42</f>
        <v>420000</v>
      </c>
      <c r="E42" s="17">
        <v>30000</v>
      </c>
      <c r="F42" s="17">
        <v>30000</v>
      </c>
      <c r="G42" s="17">
        <v>30000</v>
      </c>
      <c r="H42" s="19">
        <f t="shared" si="0"/>
        <v>510000</v>
      </c>
      <c r="I42" s="3"/>
    </row>
    <row r="43" spans="1:13" x14ac:dyDescent="0.25">
      <c r="A43" s="7" t="s">
        <v>37</v>
      </c>
      <c r="B43" s="21">
        <v>41</v>
      </c>
      <c r="C43" s="16" t="str">
        <f>VLOOKUP(A43,[3]LISTADHERENT!A$5:I$60,3,0)</f>
        <v>SIMO PIERRE</v>
      </c>
      <c r="D43" s="17">
        <f>[2]FONDSDECAISSE!$O43</f>
        <v>420000</v>
      </c>
      <c r="E43" s="17">
        <v>30000</v>
      </c>
      <c r="F43" s="17">
        <v>30000</v>
      </c>
      <c r="G43" s="17">
        <v>30000</v>
      </c>
      <c r="H43" s="19">
        <f t="shared" si="0"/>
        <v>510000</v>
      </c>
      <c r="I43" s="3"/>
    </row>
    <row r="44" spans="1:13" s="28" customFormat="1" x14ac:dyDescent="0.25">
      <c r="A44" s="23" t="s">
        <v>39</v>
      </c>
      <c r="B44" s="24">
        <v>42</v>
      </c>
      <c r="C44" s="16" t="str">
        <f>VLOOKUP(A44,[3]LISTADHERENT!A$5:I$60,3,0)</f>
        <v>TCHOUAMOU JEAN PAUL</v>
      </c>
      <c r="D44" s="25">
        <f>[2]FONDSDECAISSE!$O45+30000</f>
        <v>50000</v>
      </c>
      <c r="E44" s="25">
        <v>30000</v>
      </c>
      <c r="F44" s="25"/>
      <c r="G44" s="25"/>
      <c r="H44" s="27"/>
      <c r="I44" s="26">
        <v>53388</v>
      </c>
      <c r="J44" s="28" t="s">
        <v>69</v>
      </c>
      <c r="M44" s="26"/>
    </row>
    <row r="45" spans="1:13" x14ac:dyDescent="0.25">
      <c r="A45" s="7" t="s">
        <v>40</v>
      </c>
      <c r="B45" s="21">
        <v>43</v>
      </c>
      <c r="C45" s="16" t="str">
        <f>VLOOKUP(A45,[3]LISTADHERENT!A$5:I$60,3,0)</f>
        <v>TCHOUAMOU MATHIEU</v>
      </c>
      <c r="D45" s="17">
        <f>[2]FONDSDECAISSE!$O46</f>
        <v>420000</v>
      </c>
      <c r="E45" s="17">
        <v>30000</v>
      </c>
      <c r="F45" s="17">
        <v>30000</v>
      </c>
      <c r="G45" s="17">
        <v>30000</v>
      </c>
      <c r="H45" s="19">
        <f t="shared" si="0"/>
        <v>510000</v>
      </c>
      <c r="I45" s="3"/>
    </row>
    <row r="46" spans="1:13" x14ac:dyDescent="0.25">
      <c r="A46" s="7" t="s">
        <v>41</v>
      </c>
      <c r="B46" s="21">
        <v>44</v>
      </c>
      <c r="C46" s="16" t="str">
        <f>VLOOKUP(A46,[3]LISTADHERENT!A$5:I$60,3,0)</f>
        <v>TCHOUANTE FRANCOIS</v>
      </c>
      <c r="D46" s="17">
        <f>[2]FONDSDECAISSE!$O47</f>
        <v>403819</v>
      </c>
      <c r="E46" s="17">
        <v>30000</v>
      </c>
      <c r="F46" s="17">
        <v>30000</v>
      </c>
      <c r="G46" s="17">
        <v>-463819</v>
      </c>
      <c r="H46" s="19">
        <f t="shared" si="0"/>
        <v>0</v>
      </c>
      <c r="I46" s="3">
        <f>+-340755+20900</f>
        <v>-319855</v>
      </c>
      <c r="J46" s="3"/>
      <c r="L46" t="s">
        <v>65</v>
      </c>
      <c r="M46" s="3">
        <v>209005</v>
      </c>
    </row>
    <row r="47" spans="1:13" x14ac:dyDescent="0.25">
      <c r="A47" s="7" t="s">
        <v>42</v>
      </c>
      <c r="B47" s="21">
        <v>45</v>
      </c>
      <c r="C47" s="16" t="str">
        <f>VLOOKUP(A47,[3]LISTADHERENT!A$5:I$60,3,0)</f>
        <v>TCHOUTOU NANA CLAUDE</v>
      </c>
      <c r="D47" s="17">
        <f>[2]FONDSDECAISSE!$O48</f>
        <v>0</v>
      </c>
      <c r="E47" s="17">
        <v>30000</v>
      </c>
      <c r="F47" s="17"/>
      <c r="G47" s="17">
        <v>-51454</v>
      </c>
      <c r="H47" s="19">
        <v>0</v>
      </c>
      <c r="I47" s="22">
        <v>-51453.696796924167</v>
      </c>
    </row>
    <row r="48" spans="1:13" x14ac:dyDescent="0.25">
      <c r="A48" s="7" t="s">
        <v>43</v>
      </c>
      <c r="B48" s="21">
        <v>46</v>
      </c>
      <c r="C48" s="16" t="str">
        <f>VLOOKUP(A48,[3]LISTADHERENT!A$5:I$60,3,0)</f>
        <v>TIEYAM ERNEST</v>
      </c>
      <c r="D48" s="17">
        <f>[2]FONDSDECAISSE!$O49</f>
        <v>420000</v>
      </c>
      <c r="E48" s="17">
        <v>30000</v>
      </c>
      <c r="F48" s="17">
        <v>30000</v>
      </c>
      <c r="G48" s="17">
        <v>-510000</v>
      </c>
      <c r="H48" s="19">
        <v>510000</v>
      </c>
      <c r="I48" s="3">
        <v>-153428</v>
      </c>
      <c r="J48" t="s">
        <v>70</v>
      </c>
    </row>
    <row r="49" spans="1:9" x14ac:dyDescent="0.25">
      <c r="A49" s="7" t="s">
        <v>44</v>
      </c>
      <c r="B49" s="21">
        <v>47</v>
      </c>
      <c r="C49" s="16" t="str">
        <f>VLOOKUP(A49,[3]LISTADHERENT!A$5:I$60,3,0)</f>
        <v>TUGMA PIERRE LOTI</v>
      </c>
      <c r="D49" s="17">
        <f>[2]FONDSDECAISSE!$O50</f>
        <v>420000</v>
      </c>
      <c r="E49" s="17">
        <v>30000</v>
      </c>
      <c r="F49" s="17">
        <v>30000</v>
      </c>
      <c r="G49" s="17">
        <v>-480000</v>
      </c>
      <c r="H49" s="19">
        <f t="shared" si="0"/>
        <v>0</v>
      </c>
      <c r="I49" s="3"/>
    </row>
    <row r="50" spans="1:9" x14ac:dyDescent="0.25">
      <c r="A50" s="7" t="s">
        <v>45</v>
      </c>
      <c r="B50" s="21">
        <v>48</v>
      </c>
      <c r="C50" s="16" t="str">
        <f>VLOOKUP(A50,[3]LISTADHERENT!A$5:I$60,3,0)</f>
        <v>YEPMOU JEAN JACQUES</v>
      </c>
      <c r="D50" s="17">
        <f>[2]FONDSDECAISSE!$O51</f>
        <v>420000</v>
      </c>
      <c r="E50" s="17">
        <v>30000</v>
      </c>
      <c r="F50" s="17">
        <v>30000</v>
      </c>
      <c r="G50" s="17">
        <v>30000</v>
      </c>
      <c r="H50" s="19">
        <f>SUM(D50:G50)</f>
        <v>510000</v>
      </c>
      <c r="I50" s="3"/>
    </row>
    <row r="51" spans="1:9" x14ac:dyDescent="0.25">
      <c r="A51" s="7" t="s">
        <v>46</v>
      </c>
      <c r="B51" s="21">
        <v>49</v>
      </c>
      <c r="C51" s="16" t="str">
        <f>VLOOKUP(A51,[3]LISTADHERENT!A$5:I$60,3,0)</f>
        <v>YOUMBI EMMANUEL</v>
      </c>
      <c r="D51" s="17">
        <f>[2]FONDSDECAISSE!$O52</f>
        <v>420000</v>
      </c>
      <c r="E51" s="17">
        <v>30000</v>
      </c>
      <c r="F51" s="17">
        <v>30000</v>
      </c>
      <c r="G51" s="17">
        <v>30000</v>
      </c>
      <c r="H51" s="19">
        <f t="shared" si="0"/>
        <v>510000</v>
      </c>
      <c r="I51" s="3"/>
    </row>
    <row r="52" spans="1:9" x14ac:dyDescent="0.25">
      <c r="A52" s="7"/>
      <c r="B52" s="21"/>
      <c r="C52" s="18"/>
      <c r="D52" s="18"/>
      <c r="E52" s="18"/>
      <c r="F52" s="18"/>
      <c r="G52" s="17"/>
      <c r="H52" s="33"/>
    </row>
    <row r="53" spans="1:9" ht="15.75" thickBot="1" x14ac:dyDescent="0.3">
      <c r="A53" s="34" t="s">
        <v>48</v>
      </c>
      <c r="B53" s="35"/>
      <c r="C53" s="36"/>
      <c r="D53" s="37">
        <f t="shared" ref="D53:G53" si="2">SUM(D2:D52)</f>
        <v>16326702.011083746</v>
      </c>
      <c r="E53" s="37">
        <f t="shared" si="2"/>
        <v>1260000</v>
      </c>
      <c r="F53" s="37">
        <f t="shared" si="2"/>
        <v>1225839</v>
      </c>
      <c r="G53" s="37">
        <f t="shared" si="2"/>
        <v>-2471356.0866691852</v>
      </c>
      <c r="H53" s="38">
        <f>SUM(H2:H52)</f>
        <v>17575593.92441456</v>
      </c>
    </row>
    <row r="54" spans="1:9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FONDSCAISSE</vt:lpstr>
      <vt:lpstr>FONDSCAISSEBACKUP</vt:lpstr>
      <vt:lpstr>FONDSTRANSPORT</vt:lpstr>
      <vt:lpstr>FONDSCAISSE2020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2017-10-29T14:07:50Z</dcterms:created>
  <dcterms:modified xsi:type="dcterms:W3CDTF">2023-11-18T18:40:43Z</dcterms:modified>
</cp:coreProperties>
</file>