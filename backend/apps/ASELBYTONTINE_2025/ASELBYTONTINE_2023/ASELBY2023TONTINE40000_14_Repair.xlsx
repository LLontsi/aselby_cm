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<sst xmlns="http://schemas.openxmlformats.org/spreadsheetml/2006/main" count="4708" uniqueCount="206">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</sst>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1010500</v>
      </c>
      <c r="D40" s="5">
        <f t="shared" si="16"/>
        <v>4997500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4997500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511000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27000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157000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1500000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4845000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1915000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325000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1071000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1032000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2619000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1424000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1429000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4092000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600000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1500000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3120000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1901000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2288000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600000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2902000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600000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1500000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4938000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27000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384000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6300000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577000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600000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1500000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1484500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3000000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2050000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1500000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2990000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450000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27000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77000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720000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27000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77000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1500000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60411500</v>
      </c>
      <c r="E40" s="5">
        <f t="shared" si="7"/>
        <v>4401500</v>
      </c>
      <c r="F40" s="5">
        <f t="shared" si="7"/>
        <v>1500000</v>
      </c>
      <c r="G40" s="5">
        <f t="shared" si="7"/>
        <v>120000</v>
      </c>
      <c r="H40" s="5">
        <f t="shared" si="7"/>
        <v>0</v>
      </c>
      <c r="I40" s="5">
        <f t="shared" si="7"/>
        <v>1072500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10010000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389000</v>
      </c>
      <c r="AK40" s="5">
        <f t="shared" si="9"/>
        <v>1636500</v>
      </c>
      <c r="AL40" s="5">
        <f t="shared" si="9"/>
        <v>9500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1872500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2615000</v>
      </c>
      <c r="AX40" s="5">
        <f t="shared" si="9"/>
        <v>4704000</v>
      </c>
      <c r="AY40" s="5">
        <f t="shared" si="9"/>
        <v>8336500</v>
      </c>
      <c r="AZ40" s="5">
        <f t="shared" si="9"/>
        <v>19270000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17243800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19270000</v>
      </c>
      <c r="D47" s="9">
        <f>SUMIFS(D8:D40,H8:H40,"BANQUE")</f>
        <v>0</v>
      </c>
      <c r="F47" s="9">
        <f>E40</f>
        <v>4401500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37094000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