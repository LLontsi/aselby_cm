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1EA45F42-9967-4294-B9DF-3B36D40E4F98}" xr6:coauthVersionLast="37" xr6:coauthVersionMax="37" xr10:uidLastSave="{00000000-0000-0000-0000-000000000000}"/>
  <bookViews>
    <workbookView xWindow="0" yWindow="0" windowWidth="20490" windowHeight="7620" firstSheet="8" activeTab="10" xr2:uid="{00000000-000D-0000-FFFF-FFFF00000000}"/>
  </bookViews>
  <sheets>
    <sheet name="BILAN 2016" sheetId="4" r:id="rId1"/>
    <sheet name="BILAN 2017" sheetId="7" r:id="rId2"/>
    <sheet name="BILAN 2022" sheetId="22" r:id="rId3"/>
    <sheet name="DETAILFICHECASSATION (2)" sheetId="44" r:id="rId4"/>
    <sheet name="BILAN 2024" sheetId="21" r:id="rId5"/>
    <sheet name="BILAN 2025" sheetId="41" r:id="rId6"/>
    <sheet name="ENTREE" sheetId="1" r:id="rId7"/>
    <sheet name="SORTIE" sheetId="2" r:id="rId8"/>
    <sheet name="SYNTHESECOMPTE" sheetId="33" r:id="rId9"/>
    <sheet name="DETAILFICHECASSATION" sheetId="20" r:id="rId10"/>
    <sheet name="DISPOFONDS" sheetId="34" r:id="rId11"/>
    <sheet name="DETAILFPNDSROULT" sheetId="24" r:id="rId12"/>
    <sheet name="DETAILFRAISEXCEPTIONNEL" sheetId="25" r:id="rId13"/>
    <sheet name="DETAILCOLLATION" sheetId="28" r:id="rId14"/>
    <sheet name="DETAILFONDSMUTUEL" sheetId="26" r:id="rId15"/>
    <sheet name="DETAILPENALITES" sheetId="35" r:id="rId16"/>
    <sheet name="DETAILFOYER" sheetId="23" r:id="rId17"/>
    <sheet name="DETAILAIDES" sheetId="42" r:id="rId18"/>
    <sheet name="DETAIL PRETENCIRCULATION" sheetId="29" r:id="rId19"/>
    <sheet name="DETAILLISTEROUGE" sheetId="30" r:id="rId20"/>
    <sheet name="DETAILINSCRIPTION" sheetId="36" r:id="rId21"/>
    <sheet name="DETAIL INTERETTONTINE" sheetId="37" r:id="rId22"/>
    <sheet name="DETAILAGIOS" sheetId="38" r:id="rId23"/>
    <sheet name="DETAILAUTREDEPENSE" sheetId="39" r:id="rId24"/>
    <sheet name="SITUATIONSIMEPIERRE" sheetId="43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xlnm._FilterDatabase" localSheetId="9" hidden="1">DETAILFICHECASSATION!$A$5:$Q$48</definedName>
    <definedName name="_xlnm._FilterDatabase" localSheetId="3" hidden="1">'DETAILFICHECASSATION (2)'!$A$5:$Q$48</definedName>
    <definedName name="BANQUE" localSheetId="2">#REF!</definedName>
    <definedName name="BANQUE" localSheetId="4">#REF!</definedName>
    <definedName name="BANQUE" localSheetId="5">#REF!</definedName>
    <definedName name="BANQUE" localSheetId="18">#REF!</definedName>
    <definedName name="BANQUE" localSheetId="22">#REF!</definedName>
    <definedName name="BANQUE" localSheetId="17">#REF!</definedName>
    <definedName name="BANQUE" localSheetId="23">#REF!</definedName>
    <definedName name="BANQUE" localSheetId="13">#REF!</definedName>
    <definedName name="BANQUE" localSheetId="9">#REF!</definedName>
    <definedName name="BANQUE" localSheetId="3">#REF!</definedName>
    <definedName name="BANQUE" localSheetId="14">#REF!</definedName>
    <definedName name="BANQUE" localSheetId="11">#REF!</definedName>
    <definedName name="BANQUE" localSheetId="19">#REF!</definedName>
    <definedName name="BANQUE" localSheetId="15">#REF!</definedName>
    <definedName name="BANQUE" localSheetId="10">#REF!</definedName>
    <definedName name="BANQUE" localSheetId="8">#REF!</definedName>
    <definedName name="BANQUE">#REF!</definedName>
    <definedName name="MODEET30000">[1]MODEVERSEMENT!$A$1:$A$3</definedName>
    <definedName name="MODEPAID" localSheetId="1">[2]Feuil2!$A$1:$A$3</definedName>
    <definedName name="MODEPAID" localSheetId="2">[2]Feuil2!$A$1:$A$3</definedName>
    <definedName name="MODEPAID" localSheetId="4">[2]Feuil2!$A$1:$A$3</definedName>
    <definedName name="MODEPAID" localSheetId="5">[2]Feuil2!$A$1:$A$3</definedName>
    <definedName name="MODEPAID" localSheetId="9">[3]Feuil2!$A$1:$A$3</definedName>
    <definedName name="MODEPAID" localSheetId="3">[3]Feuil2!$A$1:$A$3</definedName>
    <definedName name="MODEPAID">[4]Feuil2!$A$1:$A$3</definedName>
    <definedName name="MODEPAID30000" localSheetId="9">DETAILFICHECASSATION!#REF!</definedName>
    <definedName name="MODEPAID30000" localSheetId="3">'DETAILFICHECASSATION (2)'!#REF!</definedName>
    <definedName name="MODEPAIDOK" localSheetId="2">[5]MODEVERSEMENT!$A$1:$A$4</definedName>
    <definedName name="MODEPAIDOK">[5]MODEVERSEMENT!$A$1:$A$4</definedName>
    <definedName name="MODEPAIDS">[1]MODEVERSEMENT!$A$1:$A$3</definedName>
    <definedName name="MODET25000">[6]MODEVERSEMENT!$A$1:$A$3</definedName>
    <definedName name="MODET3000">[1]MODEVERSEMENT!$A$1:$A$3</definedName>
    <definedName name="MODET30000" localSheetId="9">DETAILFICHECASSATION!#REF!</definedName>
    <definedName name="MODET30000" localSheetId="3">'DETAILFICHECASSATION (2)'!#REF!</definedName>
    <definedName name="MODEVERSEMENT" localSheetId="2">#REF!</definedName>
    <definedName name="MODEVERSEMENT" localSheetId="4">#REF!</definedName>
    <definedName name="MODEVERSEMENT" localSheetId="5">#REF!</definedName>
    <definedName name="MODEVERSEMENT" localSheetId="18">#REF!</definedName>
    <definedName name="MODEVERSEMENT" localSheetId="22">#REF!</definedName>
    <definedName name="MODEVERSEMENT" localSheetId="17">#REF!</definedName>
    <definedName name="MODEVERSEMENT" localSheetId="23">#REF!</definedName>
    <definedName name="MODEVERSEMENT" localSheetId="13">#REF!</definedName>
    <definedName name="MODEVERSEMENT" localSheetId="9">#REF!</definedName>
    <definedName name="MODEVERSEMENT" localSheetId="3">#REF!</definedName>
    <definedName name="MODEVERSEMENT" localSheetId="14">#REF!</definedName>
    <definedName name="MODEVERSEMENT" localSheetId="11">#REF!</definedName>
    <definedName name="MODEVERSEMENT" localSheetId="19">#REF!</definedName>
    <definedName name="MODEVERSEMENT" localSheetId="15">#REF!</definedName>
    <definedName name="MODEVERSEMENT" localSheetId="10">#REF!</definedName>
    <definedName name="MODEVERSEMENT" localSheetId="8">#REF!</definedName>
    <definedName name="MODEVERSEMENT">#REF!</definedName>
    <definedName name="MODEVERSEMENTS">[7]MODEVERSEMENT!$A$1:$A$3</definedName>
    <definedName name="MODPAID" localSheetId="9">DETAILFICHECASSATION!#REF!</definedName>
    <definedName name="MODPAID" localSheetId="3">'DETAILFICHECASSATION (2)'!#REF!</definedName>
    <definedName name="VALMODEPAID">[8]MODEPAID!$A$1:$A$3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6" l="1"/>
  <c r="D8" i="26"/>
  <c r="D9" i="26"/>
  <c r="D10" i="26"/>
  <c r="D11" i="26"/>
  <c r="D12" i="26"/>
  <c r="D13" i="26"/>
  <c r="D14" i="26"/>
  <c r="D15" i="26"/>
  <c r="D16" i="26"/>
  <c r="D17" i="26"/>
  <c r="D18" i="26"/>
  <c r="D19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L20" i="20"/>
  <c r="L15" i="20"/>
  <c r="P37" i="20"/>
  <c r="H11" i="26" l="1"/>
  <c r="F8" i="25"/>
  <c r="F23" i="24"/>
  <c r="F15" i="24"/>
  <c r="F14" i="24"/>
  <c r="D7" i="30"/>
  <c r="D9" i="30"/>
  <c r="R52" i="44"/>
  <c r="C52" i="44"/>
  <c r="B52" i="44"/>
  <c r="C51" i="44"/>
  <c r="R51" i="44" s="1"/>
  <c r="B51" i="44"/>
  <c r="C50" i="44"/>
  <c r="R50" i="44" s="1"/>
  <c r="B50" i="44"/>
  <c r="C49" i="44"/>
  <c r="R49" i="44" s="1"/>
  <c r="B49" i="44"/>
  <c r="V44" i="44"/>
  <c r="U44" i="44"/>
  <c r="T44" i="44"/>
  <c r="S44" i="44"/>
  <c r="L44" i="44"/>
  <c r="L58" i="44" s="1"/>
  <c r="H44" i="44"/>
  <c r="H58" i="44" s="1"/>
  <c r="G44" i="44"/>
  <c r="G58" i="44" s="1"/>
  <c r="P42" i="44"/>
  <c r="D42" i="44"/>
  <c r="C42" i="44"/>
  <c r="R42" i="44" s="1"/>
  <c r="B42" i="44"/>
  <c r="P41" i="44"/>
  <c r="D41" i="44"/>
  <c r="C41" i="44"/>
  <c r="R41" i="44" s="1"/>
  <c r="B41" i="44"/>
  <c r="P40" i="44"/>
  <c r="D40" i="44"/>
  <c r="C40" i="44"/>
  <c r="R40" i="44" s="1"/>
  <c r="B40" i="44"/>
  <c r="P39" i="44"/>
  <c r="D39" i="44"/>
  <c r="C39" i="44"/>
  <c r="R39" i="44" s="1"/>
  <c r="B39" i="44"/>
  <c r="P38" i="44"/>
  <c r="D38" i="44"/>
  <c r="C38" i="44"/>
  <c r="R38" i="44" s="1"/>
  <c r="B38" i="44"/>
  <c r="P37" i="44"/>
  <c r="D37" i="44"/>
  <c r="C37" i="44"/>
  <c r="R37" i="44" s="1"/>
  <c r="B37" i="44"/>
  <c r="P36" i="44"/>
  <c r="D36" i="44"/>
  <c r="C36" i="44"/>
  <c r="R36" i="44" s="1"/>
  <c r="B36" i="44"/>
  <c r="P35" i="44"/>
  <c r="D35" i="44"/>
  <c r="C35" i="44"/>
  <c r="R35" i="44" s="1"/>
  <c r="B35" i="44"/>
  <c r="P34" i="44"/>
  <c r="D34" i="44"/>
  <c r="C34" i="44"/>
  <c r="R34" i="44" s="1"/>
  <c r="B34" i="44"/>
  <c r="P33" i="44"/>
  <c r="D33" i="44"/>
  <c r="C33" i="44"/>
  <c r="R33" i="44" s="1"/>
  <c r="B33" i="44"/>
  <c r="P32" i="44"/>
  <c r="D32" i="44"/>
  <c r="C32" i="44"/>
  <c r="R32" i="44" s="1"/>
  <c r="B32" i="44"/>
  <c r="P31" i="44"/>
  <c r="D31" i="44"/>
  <c r="C31" i="44"/>
  <c r="R31" i="44" s="1"/>
  <c r="B31" i="44"/>
  <c r="P30" i="44"/>
  <c r="D30" i="44"/>
  <c r="C30" i="44"/>
  <c r="R30" i="44" s="1"/>
  <c r="B30" i="44"/>
  <c r="P29" i="44"/>
  <c r="D29" i="44"/>
  <c r="C29" i="44"/>
  <c r="R29" i="44" s="1"/>
  <c r="B29" i="44"/>
  <c r="P28" i="44"/>
  <c r="D28" i="44"/>
  <c r="C28" i="44"/>
  <c r="R28" i="44" s="1"/>
  <c r="B28" i="44"/>
  <c r="P27" i="44"/>
  <c r="D27" i="44"/>
  <c r="C27" i="44"/>
  <c r="R27" i="44" s="1"/>
  <c r="B27" i="44"/>
  <c r="P26" i="44"/>
  <c r="D26" i="44"/>
  <c r="C26" i="44"/>
  <c r="R26" i="44" s="1"/>
  <c r="B26" i="44"/>
  <c r="P25" i="44"/>
  <c r="D25" i="44"/>
  <c r="C25" i="44"/>
  <c r="R25" i="44" s="1"/>
  <c r="B25" i="44"/>
  <c r="P24" i="44"/>
  <c r="D24" i="44"/>
  <c r="C24" i="44"/>
  <c r="R24" i="44" s="1"/>
  <c r="B24" i="44"/>
  <c r="P23" i="44"/>
  <c r="D23" i="44"/>
  <c r="C23" i="44"/>
  <c r="R23" i="44" s="1"/>
  <c r="B23" i="44"/>
  <c r="P22" i="44"/>
  <c r="D22" i="44"/>
  <c r="C22" i="44"/>
  <c r="R22" i="44" s="1"/>
  <c r="B22" i="44"/>
  <c r="P21" i="44"/>
  <c r="D21" i="44"/>
  <c r="C21" i="44"/>
  <c r="R21" i="44" s="1"/>
  <c r="B21" i="44"/>
  <c r="P20" i="44"/>
  <c r="K20" i="44"/>
  <c r="D20" i="44"/>
  <c r="C20" i="44"/>
  <c r="R20" i="44" s="1"/>
  <c r="B20" i="44"/>
  <c r="P19" i="44"/>
  <c r="D19" i="44"/>
  <c r="C19" i="44"/>
  <c r="R19" i="44" s="1"/>
  <c r="B19" i="44"/>
  <c r="P18" i="44"/>
  <c r="D18" i="44"/>
  <c r="C18" i="44"/>
  <c r="R18" i="44" s="1"/>
  <c r="B18" i="44"/>
  <c r="P17" i="44"/>
  <c r="D17" i="44"/>
  <c r="C17" i="44"/>
  <c r="R17" i="44" s="1"/>
  <c r="B17" i="44"/>
  <c r="P16" i="44"/>
  <c r="D16" i="44"/>
  <c r="C16" i="44"/>
  <c r="R16" i="44" s="1"/>
  <c r="B16" i="44"/>
  <c r="P15" i="44"/>
  <c r="D15" i="44"/>
  <c r="C15" i="44"/>
  <c r="R15" i="44" s="1"/>
  <c r="B15" i="44"/>
  <c r="P14" i="44"/>
  <c r="D14" i="44"/>
  <c r="C14" i="44"/>
  <c r="R14" i="44" s="1"/>
  <c r="B14" i="44"/>
  <c r="P13" i="44"/>
  <c r="D13" i="44"/>
  <c r="C13" i="44"/>
  <c r="R13" i="44" s="1"/>
  <c r="B13" i="44"/>
  <c r="D12" i="44"/>
  <c r="C12" i="44"/>
  <c r="R12" i="44" s="1"/>
  <c r="B12" i="44"/>
  <c r="P11" i="44"/>
  <c r="D11" i="44"/>
  <c r="C11" i="44"/>
  <c r="R11" i="44" s="1"/>
  <c r="B11" i="44"/>
  <c r="P10" i="44"/>
  <c r="D10" i="44"/>
  <c r="C10" i="44"/>
  <c r="R10" i="44" s="1"/>
  <c r="B10" i="44"/>
  <c r="P9" i="44"/>
  <c r="D9" i="44"/>
  <c r="C9" i="44"/>
  <c r="R9" i="44" s="1"/>
  <c r="B9" i="44"/>
  <c r="P8" i="44"/>
  <c r="D8" i="44"/>
  <c r="C8" i="44"/>
  <c r="R8" i="44" s="1"/>
  <c r="B8" i="44"/>
  <c r="P7" i="44"/>
  <c r="P44" i="44" s="1"/>
  <c r="D7" i="44"/>
  <c r="C7" i="44"/>
  <c r="R7" i="44" s="1"/>
  <c r="B7" i="44"/>
  <c r="D6" i="44"/>
  <c r="C6" i="44"/>
  <c r="B6" i="44"/>
  <c r="K20" i="20"/>
  <c r="D20" i="26" s="1"/>
  <c r="P8" i="20"/>
  <c r="P9" i="20"/>
  <c r="P10" i="20"/>
  <c r="P11" i="20"/>
  <c r="P7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8" i="20"/>
  <c r="P39" i="20"/>
  <c r="P40" i="20"/>
  <c r="P41" i="20"/>
  <c r="P42" i="20"/>
  <c r="P13" i="20"/>
  <c r="V44" i="20"/>
  <c r="T44" i="20"/>
  <c r="U44" i="20"/>
  <c r="R44" i="44" l="1"/>
  <c r="R58" i="44" s="1"/>
  <c r="D44" i="44"/>
  <c r="D58" i="44" s="1"/>
  <c r="C44" i="44"/>
  <c r="C58" i="44" s="1"/>
  <c r="K44" i="44"/>
  <c r="K58" i="44" s="1"/>
  <c r="P58" i="44"/>
  <c r="D19" i="43"/>
  <c r="D21" i="43" s="1"/>
  <c r="C19" i="43"/>
  <c r="S44" i="20" l="1"/>
  <c r="F18" i="33"/>
  <c r="F8" i="42"/>
  <c r="E46" i="42"/>
  <c r="B44" i="42"/>
  <c r="B43" i="42"/>
  <c r="B42" i="42"/>
  <c r="B41" i="42"/>
  <c r="B40" i="42"/>
  <c r="B39" i="42"/>
  <c r="B38" i="42"/>
  <c r="B37" i="42"/>
  <c r="B36" i="42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C20" i="33"/>
  <c r="F46" i="42" l="1"/>
  <c r="C31" i="33"/>
  <c r="C32" i="33"/>
  <c r="E11" i="33"/>
  <c r="I46" i="35"/>
  <c r="E9" i="33"/>
  <c r="C8" i="39"/>
  <c r="F8" i="23"/>
  <c r="H10" i="26"/>
  <c r="H8" i="26"/>
  <c r="H7" i="26"/>
  <c r="H9" i="26"/>
  <c r="H6" i="26"/>
  <c r="C42" i="41"/>
  <c r="D34" i="41"/>
  <c r="C19" i="41"/>
  <c r="F19" i="41" s="1"/>
  <c r="E18" i="41"/>
  <c r="D18" i="41"/>
  <c r="D17" i="41" s="1"/>
  <c r="C18" i="41"/>
  <c r="F18" i="41" s="1"/>
  <c r="B18" i="41"/>
  <c r="E17" i="41"/>
  <c r="C17" i="41"/>
  <c r="B17" i="41"/>
  <c r="C16" i="41"/>
  <c r="F16" i="41" s="1"/>
  <c r="C15" i="41"/>
  <c r="C14" i="41"/>
  <c r="C13" i="41"/>
  <c r="C12" i="41"/>
  <c r="C11" i="41"/>
  <c r="C10" i="41"/>
  <c r="C9" i="41"/>
  <c r="E8" i="41"/>
  <c r="C8" i="41"/>
  <c r="B22" i="36"/>
  <c r="B22" i="23"/>
  <c r="B22" i="35"/>
  <c r="B22" i="28"/>
  <c r="B22" i="25"/>
  <c r="B22" i="24"/>
  <c r="D44" i="26"/>
  <c r="B20" i="26"/>
  <c r="B20" i="20"/>
  <c r="B22" i="29"/>
  <c r="F17" i="41" l="1"/>
  <c r="C27" i="41"/>
  <c r="F22" i="24" l="1"/>
  <c r="F21" i="24"/>
  <c r="F20" i="24"/>
  <c r="F19" i="24"/>
  <c r="F18" i="24"/>
  <c r="F17" i="24"/>
  <c r="F16" i="24"/>
  <c r="C9" i="39" l="1"/>
  <c r="F13" i="24"/>
  <c r="F12" i="24"/>
  <c r="F11" i="24"/>
  <c r="F10" i="24"/>
  <c r="F9" i="24"/>
  <c r="F8" i="24"/>
  <c r="C14" i="38" l="1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8" i="29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E6" i="26"/>
  <c r="D6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F46" i="25"/>
  <c r="E7" i="33" s="1"/>
  <c r="E46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8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K44" i="20"/>
  <c r="L44" i="20"/>
  <c r="D5" i="33" s="1"/>
  <c r="P44" i="20"/>
  <c r="H44" i="20"/>
  <c r="G44" i="20"/>
  <c r="B6" i="20" l="1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18" i="21" l="1"/>
  <c r="B17" i="21"/>
  <c r="F16" i="33" l="1"/>
  <c r="D28" i="33"/>
  <c r="E18" i="21"/>
  <c r="E17" i="21" s="1"/>
  <c r="D18" i="21"/>
  <c r="E8" i="21"/>
  <c r="D8" i="21"/>
  <c r="C9" i="21"/>
  <c r="C10" i="21"/>
  <c r="C11" i="21"/>
  <c r="C12" i="21"/>
  <c r="C13" i="21"/>
  <c r="C14" i="21"/>
  <c r="C15" i="21"/>
  <c r="C16" i="21"/>
  <c r="F16" i="21" s="1"/>
  <c r="C17" i="21"/>
  <c r="C18" i="21"/>
  <c r="C19" i="21"/>
  <c r="F19" i="21" s="1"/>
  <c r="C8" i="21"/>
  <c r="F8" i="21" s="1"/>
  <c r="B50" i="29"/>
  <c r="B51" i="29"/>
  <c r="B52" i="29"/>
  <c r="B53" i="29"/>
  <c r="B54" i="29"/>
  <c r="A51" i="29"/>
  <c r="A52" i="29"/>
  <c r="A53" i="29"/>
  <c r="A54" i="29"/>
  <c r="A56" i="29"/>
  <c r="A50" i="29"/>
  <c r="D34" i="21"/>
  <c r="C8" i="34"/>
  <c r="F18" i="21" l="1"/>
  <c r="C36" i="33"/>
  <c r="C27" i="21"/>
  <c r="D17" i="21"/>
  <c r="F17" i="21" s="1"/>
  <c r="E14" i="30" l="1"/>
  <c r="C21" i="38" l="1"/>
  <c r="B31" i="39" l="1"/>
  <c r="C31" i="39"/>
  <c r="E15" i="33" s="1"/>
  <c r="F15" i="33" s="1"/>
  <c r="D8" i="30" l="1"/>
  <c r="D15" i="30"/>
  <c r="D13" i="30"/>
  <c r="D12" i="30"/>
  <c r="D11" i="30"/>
  <c r="D10" i="30"/>
  <c r="C15" i="30"/>
  <c r="C13" i="30"/>
  <c r="C12" i="30"/>
  <c r="C11" i="30"/>
  <c r="C10" i="30"/>
  <c r="C9" i="30"/>
  <c r="C8" i="30"/>
  <c r="C7" i="30"/>
  <c r="E7" i="30" l="1"/>
  <c r="C50" i="29" s="1"/>
  <c r="E13" i="30"/>
  <c r="C54" i="29" s="1"/>
  <c r="E12" i="30"/>
  <c r="C53" i="29" s="1"/>
  <c r="F46" i="36"/>
  <c r="E46" i="36"/>
  <c r="H46" i="35"/>
  <c r="E10" i="33" s="1"/>
  <c r="G46" i="35"/>
  <c r="G44" i="26"/>
  <c r="E46" i="24"/>
  <c r="C17" i="30" l="1"/>
  <c r="E11" i="30"/>
  <c r="C52" i="29" s="1"/>
  <c r="E46" i="28"/>
  <c r="E46" i="23" l="1"/>
  <c r="A9" i="34" l="1"/>
  <c r="B9" i="34"/>
  <c r="C9" i="34"/>
  <c r="D9" i="34"/>
  <c r="A10" i="34"/>
  <c r="B10" i="34"/>
  <c r="C10" i="34"/>
  <c r="D10" i="34"/>
  <c r="A11" i="34"/>
  <c r="B11" i="34"/>
  <c r="C11" i="34"/>
  <c r="D11" i="34"/>
  <c r="A12" i="34"/>
  <c r="B12" i="34"/>
  <c r="C12" i="34"/>
  <c r="D12" i="34"/>
  <c r="A13" i="34"/>
  <c r="B13" i="34"/>
  <c r="C13" i="34"/>
  <c r="D13" i="34"/>
  <c r="A14" i="34"/>
  <c r="B14" i="34"/>
  <c r="C14" i="34"/>
  <c r="A15" i="34"/>
  <c r="B15" i="34"/>
  <c r="C15" i="34"/>
  <c r="D15" i="34"/>
  <c r="B8" i="34"/>
  <c r="D8" i="34"/>
  <c r="A8" i="34"/>
  <c r="C17" i="34" l="1"/>
  <c r="F17" i="33"/>
  <c r="K22" i="2"/>
  <c r="C42" i="21"/>
  <c r="C22" i="2"/>
  <c r="B22" i="2"/>
  <c r="H22" i="2"/>
  <c r="D25" i="22"/>
  <c r="F11" i="22"/>
  <c r="F25" i="22" s="1"/>
  <c r="P58" i="20" l="1"/>
  <c r="C52" i="20"/>
  <c r="R52" i="20" s="1"/>
  <c r="B52" i="20"/>
  <c r="C51" i="20"/>
  <c r="R51" i="20" s="1"/>
  <c r="B51" i="20"/>
  <c r="C50" i="20"/>
  <c r="R50" i="20" s="1"/>
  <c r="B50" i="20"/>
  <c r="C49" i="20"/>
  <c r="R49" i="20" s="1"/>
  <c r="B49" i="20"/>
  <c r="L58" i="20" l="1"/>
  <c r="H58" i="20"/>
  <c r="K58" i="20"/>
  <c r="G58" i="20" l="1"/>
  <c r="E25" i="7" l="1"/>
  <c r="E19" i="7"/>
  <c r="E20" i="7"/>
  <c r="E29" i="7"/>
  <c r="E8" i="4"/>
  <c r="E29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37" i="4" s="1"/>
  <c r="D12" i="7" l="1"/>
  <c r="D11" i="7"/>
  <c r="D10" i="7"/>
  <c r="D9" i="7"/>
  <c r="D39" i="7" s="1"/>
  <c r="C14" i="7" l="1"/>
  <c r="C18" i="4" l="1"/>
  <c r="E18" i="4" s="1"/>
  <c r="B21" i="7" s="1"/>
  <c r="E21" i="7" s="1"/>
  <c r="D12" i="4"/>
  <c r="C12" i="4"/>
  <c r="D11" i="4"/>
  <c r="C11" i="4"/>
  <c r="D10" i="4"/>
  <c r="C10" i="4"/>
  <c r="C9" i="4"/>
  <c r="E10" i="4" l="1"/>
  <c r="B10" i="7" s="1"/>
  <c r="E12" i="4"/>
  <c r="B12" i="7" s="1"/>
  <c r="E9" i="4"/>
  <c r="B9" i="7" s="1"/>
  <c r="C37" i="4"/>
  <c r="D37" i="4"/>
  <c r="E11" i="4"/>
  <c r="B11" i="7" s="1"/>
  <c r="E7" i="4"/>
  <c r="B7" i="7" s="1"/>
  <c r="E37" i="4" l="1"/>
  <c r="C12" i="7" l="1"/>
  <c r="E12" i="7" s="1"/>
  <c r="C8" i="7"/>
  <c r="C13" i="7"/>
  <c r="E13" i="7" s="1"/>
  <c r="C11" i="7"/>
  <c r="E11" i="7" s="1"/>
  <c r="C7" i="7"/>
  <c r="C10" i="7"/>
  <c r="E10" i="7" s="1"/>
  <c r="C9" i="7"/>
  <c r="E9" i="7" s="1"/>
  <c r="B39" i="7"/>
  <c r="B8" i="7"/>
  <c r="E8" i="7" l="1"/>
  <c r="C39" i="7"/>
  <c r="E39" i="7" s="1"/>
  <c r="E7" i="7"/>
  <c r="C21" i="1" l="1"/>
  <c r="B21" i="1" l="1"/>
  <c r="F10" i="30" l="1"/>
  <c r="E9" i="30" l="1"/>
  <c r="C51" i="29" s="1"/>
  <c r="C56" i="29" s="1"/>
  <c r="E8" i="30" l="1"/>
  <c r="F46" i="24" l="1"/>
  <c r="E6" i="33" s="1"/>
  <c r="E17" i="30" l="1"/>
  <c r="D17" i="30"/>
  <c r="O19" i="1" l="1"/>
  <c r="O21" i="1" s="1"/>
  <c r="L22" i="2" l="1"/>
  <c r="F46" i="23" l="1"/>
  <c r="E14" i="33" s="1"/>
  <c r="C7" i="1" l="1"/>
  <c r="B7" i="1" l="1"/>
  <c r="G19" i="2" l="1"/>
  <c r="G18" i="2"/>
  <c r="G17" i="2"/>
  <c r="G16" i="2"/>
  <c r="G15" i="2"/>
  <c r="G14" i="2"/>
  <c r="G13" i="2" l="1"/>
  <c r="G12" i="2"/>
  <c r="G11" i="2"/>
  <c r="G10" i="2"/>
  <c r="G9" i="2"/>
  <c r="G8" i="2" l="1"/>
  <c r="G22" i="2" s="1"/>
  <c r="D7" i="1" l="1"/>
  <c r="J7" i="2"/>
  <c r="D8" i="2" l="1"/>
  <c r="F8" i="2"/>
  <c r="N8" i="1"/>
  <c r="N21" i="1" s="1"/>
  <c r="M8" i="1"/>
  <c r="M21" i="1" s="1"/>
  <c r="I8" i="2"/>
  <c r="K8" i="1"/>
  <c r="K21" i="1" s="1"/>
  <c r="D8" i="1"/>
  <c r="J8" i="1"/>
  <c r="J21" i="1" s="1"/>
  <c r="L8" i="1" l="1"/>
  <c r="L21" i="1" s="1"/>
  <c r="J8" i="2"/>
  <c r="J22" i="2" s="1"/>
  <c r="E8" i="2" l="1"/>
  <c r="M8" i="2" s="1"/>
  <c r="D21" i="1" l="1"/>
  <c r="D22" i="2" l="1"/>
  <c r="I8" i="1" l="1"/>
  <c r="G8" i="1" l="1"/>
  <c r="F8" i="1"/>
  <c r="H8" i="1"/>
  <c r="E8" i="1" l="1"/>
  <c r="P8" i="1" l="1"/>
  <c r="E21" i="1" l="1"/>
  <c r="M19" i="1" l="1"/>
  <c r="D19" i="2" l="1"/>
  <c r="D19" i="1"/>
  <c r="E19" i="2"/>
  <c r="I19" i="2"/>
  <c r="N19" i="1"/>
  <c r="F19" i="2"/>
  <c r="I19" i="1"/>
  <c r="J19" i="1"/>
  <c r="K19" i="1"/>
  <c r="G19" i="1" l="1"/>
  <c r="J19" i="2"/>
  <c r="M19" i="2" s="1"/>
  <c r="M22" i="2" s="1"/>
  <c r="L19" i="1"/>
  <c r="H19" i="1"/>
  <c r="F19" i="1"/>
  <c r="E19" i="1" l="1"/>
  <c r="P19" i="1" s="1"/>
  <c r="K15" i="1" l="1"/>
  <c r="N15" i="1"/>
  <c r="F15" i="2"/>
  <c r="D14" i="1"/>
  <c r="J14" i="1"/>
  <c r="K14" i="1"/>
  <c r="N14" i="1"/>
  <c r="N16" i="1"/>
  <c r="K17" i="1"/>
  <c r="J18" i="1"/>
  <c r="I18" i="2"/>
  <c r="K18" i="1"/>
  <c r="F16" i="2"/>
  <c r="J15" i="1"/>
  <c r="I15" i="2"/>
  <c r="M15" i="1"/>
  <c r="D15" i="2"/>
  <c r="N18" i="1"/>
  <c r="F18" i="2"/>
  <c r="M18" i="1"/>
  <c r="D18" i="2"/>
  <c r="D18" i="1"/>
  <c r="E18" i="2"/>
  <c r="M17" i="1"/>
  <c r="J17" i="1"/>
  <c r="N17" i="1"/>
  <c r="K16" i="1"/>
  <c r="E16" i="2"/>
  <c r="J16" i="1"/>
  <c r="I16" i="2"/>
  <c r="M16" i="1"/>
  <c r="D15" i="1"/>
  <c r="E15" i="2"/>
  <c r="M14" i="1"/>
  <c r="I14" i="2"/>
  <c r="D14" i="2"/>
  <c r="J16" i="2" l="1"/>
  <c r="L16" i="1"/>
  <c r="L14" i="1"/>
  <c r="J14" i="2"/>
  <c r="L17" i="1"/>
  <c r="J17" i="2"/>
  <c r="J15" i="2"/>
  <c r="M15" i="2" s="1"/>
  <c r="L15" i="1"/>
  <c r="J18" i="2"/>
  <c r="M18" i="2" s="1"/>
  <c r="L18" i="1"/>
  <c r="J12" i="1"/>
  <c r="F13" i="2"/>
  <c r="D12" i="2"/>
  <c r="D12" i="1"/>
  <c r="E12" i="2"/>
  <c r="E13" i="2"/>
  <c r="M13" i="1"/>
  <c r="N13" i="1"/>
  <c r="J13" i="1"/>
  <c r="I13" i="2"/>
  <c r="K13" i="1"/>
  <c r="D13" i="2"/>
  <c r="D13" i="1"/>
  <c r="M12" i="1"/>
  <c r="K12" i="1"/>
  <c r="N12" i="1"/>
  <c r="F12" i="2"/>
  <c r="I12" i="2"/>
  <c r="I10" i="2"/>
  <c r="D10" i="2"/>
  <c r="F9" i="2"/>
  <c r="M10" i="1"/>
  <c r="K10" i="1"/>
  <c r="J11" i="1"/>
  <c r="I11" i="2"/>
  <c r="M11" i="1"/>
  <c r="K11" i="1"/>
  <c r="N11" i="1"/>
  <c r="F11" i="2"/>
  <c r="D11" i="2"/>
  <c r="E11" i="2"/>
  <c r="E10" i="2"/>
  <c r="J10" i="1"/>
  <c r="N10" i="1"/>
  <c r="F10" i="2"/>
  <c r="D9" i="2"/>
  <c r="M9" i="1"/>
  <c r="E9" i="2"/>
  <c r="J9" i="1"/>
  <c r="I9" i="2"/>
  <c r="K9" i="1"/>
  <c r="N9" i="1"/>
  <c r="J10" i="2" l="1"/>
  <c r="M10" i="2" s="1"/>
  <c r="L10" i="1"/>
  <c r="J12" i="2"/>
  <c r="M12" i="2" s="1"/>
  <c r="L12" i="1"/>
  <c r="J13" i="2"/>
  <c r="M13" i="2" s="1"/>
  <c r="L13" i="1"/>
  <c r="L9" i="1"/>
  <c r="J9" i="2"/>
  <c r="M9" i="2" s="1"/>
  <c r="L11" i="1"/>
  <c r="J11" i="2"/>
  <c r="M11" i="2" s="1"/>
  <c r="D11" i="1" l="1"/>
  <c r="D10" i="1" l="1"/>
  <c r="D9" i="1" l="1"/>
  <c r="E14" i="2" l="1"/>
  <c r="F14" i="2" l="1"/>
  <c r="M14" i="2" s="1"/>
  <c r="D16" i="1" l="1"/>
  <c r="D16" i="2" l="1"/>
  <c r="M16" i="2" s="1"/>
  <c r="D17" i="1" l="1"/>
  <c r="I17" i="2" l="1"/>
  <c r="I22" i="2" s="1"/>
  <c r="D17" i="2"/>
  <c r="F17" i="2"/>
  <c r="F22" i="2" s="1"/>
  <c r="E17" i="2"/>
  <c r="E22" i="2" s="1"/>
  <c r="M17" i="2" l="1"/>
  <c r="I16" i="1" l="1"/>
  <c r="I15" i="1"/>
  <c r="I13" i="1"/>
  <c r="I17" i="1"/>
  <c r="E15" i="1"/>
  <c r="I11" i="1"/>
  <c r="I18" i="1"/>
  <c r="I12" i="1"/>
  <c r="E18" i="1"/>
  <c r="E11" i="1"/>
  <c r="G12" i="1"/>
  <c r="H18" i="1"/>
  <c r="H11" i="1"/>
  <c r="H15" i="1"/>
  <c r="G18" i="1"/>
  <c r="F17" i="1"/>
  <c r="H16" i="1"/>
  <c r="F11" i="1"/>
  <c r="H12" i="1"/>
  <c r="F18" i="1"/>
  <c r="G16" i="1"/>
  <c r="F15" i="1"/>
  <c r="H17" i="1"/>
  <c r="F16" i="1"/>
  <c r="G11" i="1"/>
  <c r="G15" i="1"/>
  <c r="G17" i="1"/>
  <c r="G13" i="1"/>
  <c r="F13" i="1"/>
  <c r="F12" i="1"/>
  <c r="H13" i="1"/>
  <c r="P15" i="1" l="1"/>
  <c r="P11" i="1"/>
  <c r="P18" i="1"/>
  <c r="E16" i="1"/>
  <c r="P16" i="1" s="1"/>
  <c r="E17" i="1"/>
  <c r="P17" i="1" s="1"/>
  <c r="E13" i="1"/>
  <c r="P13" i="1" s="1"/>
  <c r="E12" i="1"/>
  <c r="P12" i="1" s="1"/>
  <c r="E10" i="1" l="1"/>
  <c r="I10" i="1"/>
  <c r="G10" i="1"/>
  <c r="H10" i="1"/>
  <c r="F10" i="1"/>
  <c r="P10" i="1" l="1"/>
  <c r="I9" i="1" l="1"/>
  <c r="G9" i="1"/>
  <c r="H9" i="1"/>
  <c r="F9" i="1"/>
  <c r="E9" i="1" l="1"/>
  <c r="P9" i="1" s="1"/>
  <c r="E8" i="35" l="1"/>
  <c r="I14" i="1" l="1"/>
  <c r="I21" i="1" s="1"/>
  <c r="E14" i="1" l="1"/>
  <c r="H14" i="1"/>
  <c r="H21" i="1" s="1"/>
  <c r="G14" i="1"/>
  <c r="G21" i="1" s="1"/>
  <c r="F14" i="1"/>
  <c r="F21" i="1" s="1"/>
  <c r="P14" i="1" l="1"/>
  <c r="P21" i="1" s="1"/>
  <c r="H44" i="26" l="1"/>
  <c r="E8" i="33" s="1"/>
  <c r="C6" i="20" l="1"/>
  <c r="B18" i="38" l="1"/>
  <c r="B17" i="38"/>
  <c r="B16" i="38"/>
  <c r="B15" i="38"/>
  <c r="B14" i="38"/>
  <c r="B13" i="38"/>
  <c r="B12" i="38" l="1"/>
  <c r="B11" i="38"/>
  <c r="B10" i="38" l="1"/>
  <c r="B8" i="38"/>
  <c r="B9" i="38" l="1"/>
  <c r="B8" i="37" l="1"/>
  <c r="C8" i="37" l="1"/>
  <c r="B19" i="38" l="1"/>
  <c r="B21" i="38" s="1"/>
  <c r="E13" i="33" s="1"/>
  <c r="F13" i="33" s="1"/>
  <c r="C20" i="20" l="1"/>
  <c r="R20" i="20" s="1"/>
  <c r="D20" i="20" l="1"/>
  <c r="D15" i="20" l="1"/>
  <c r="C15" i="20"/>
  <c r="R15" i="20" s="1"/>
  <c r="D16" i="20" l="1"/>
  <c r="D31" i="20" l="1"/>
  <c r="D33" i="20"/>
  <c r="D38" i="20"/>
  <c r="D8" i="20"/>
  <c r="D9" i="20"/>
  <c r="D10" i="20"/>
  <c r="D11" i="20"/>
  <c r="D12" i="20"/>
  <c r="D13" i="20"/>
  <c r="D14" i="20"/>
  <c r="D17" i="20"/>
  <c r="D18" i="20"/>
  <c r="D19" i="20"/>
  <c r="D21" i="20"/>
  <c r="D22" i="20"/>
  <c r="D23" i="20"/>
  <c r="D24" i="20"/>
  <c r="D25" i="20"/>
  <c r="D26" i="20"/>
  <c r="D27" i="20"/>
  <c r="D28" i="20"/>
  <c r="D29" i="20"/>
  <c r="D30" i="20"/>
  <c r="D32" i="20"/>
  <c r="D34" i="20"/>
  <c r="D35" i="20"/>
  <c r="D36" i="20"/>
  <c r="D37" i="20"/>
  <c r="D39" i="20"/>
  <c r="D40" i="20"/>
  <c r="D42" i="20"/>
  <c r="D41" i="20"/>
  <c r="D7" i="20"/>
  <c r="D6" i="20" l="1"/>
  <c r="D44" i="20" s="1"/>
  <c r="D58" i="20" l="1"/>
  <c r="C33" i="20" l="1"/>
  <c r="R33" i="20" s="1"/>
  <c r="C38" i="20"/>
  <c r="R38" i="20" s="1"/>
  <c r="C42" i="20" l="1"/>
  <c r="R42" i="20" s="1"/>
  <c r="C29" i="20"/>
  <c r="R29" i="20" s="1"/>
  <c r="C37" i="20"/>
  <c r="R37" i="20" s="1"/>
  <c r="C36" i="20"/>
  <c r="R36" i="20" s="1"/>
  <c r="C41" i="20"/>
  <c r="R41" i="20" s="1"/>
  <c r="C7" i="20"/>
  <c r="R7" i="20" l="1"/>
  <c r="C34" i="20" l="1"/>
  <c r="R34" i="20" s="1"/>
  <c r="C10" i="20"/>
  <c r="R10" i="20" s="1"/>
  <c r="C19" i="20"/>
  <c r="R19" i="20" s="1"/>
  <c r="C14" i="20"/>
  <c r="R14" i="20" s="1"/>
  <c r="C23" i="20"/>
  <c r="R23" i="20" s="1"/>
  <c r="C40" i="20" l="1"/>
  <c r="R40" i="20" s="1"/>
  <c r="C24" i="20"/>
  <c r="R24" i="20" s="1"/>
  <c r="C21" i="20"/>
  <c r="R21" i="20" s="1"/>
  <c r="C28" i="20"/>
  <c r="R28" i="20" s="1"/>
  <c r="C18" i="20"/>
  <c r="R18" i="20" s="1"/>
  <c r="C39" i="20"/>
  <c r="R39" i="20" s="1"/>
  <c r="C12" i="20"/>
  <c r="R12" i="20" s="1"/>
  <c r="C27" i="20"/>
  <c r="R27" i="20" s="1"/>
  <c r="C31" i="20"/>
  <c r="R31" i="20" s="1"/>
  <c r="C26" i="20"/>
  <c r="R26" i="20" s="1"/>
  <c r="C13" i="20"/>
  <c r="R13" i="20" s="1"/>
  <c r="C35" i="20"/>
  <c r="R35" i="20" s="1"/>
  <c r="C30" i="20"/>
  <c r="R30" i="20" s="1"/>
  <c r="C32" i="20"/>
  <c r="R32" i="20" s="1"/>
  <c r="C16" i="20"/>
  <c r="R16" i="20" s="1"/>
  <c r="C25" i="20"/>
  <c r="R25" i="20" s="1"/>
  <c r="C22" i="20"/>
  <c r="R22" i="20" s="1"/>
  <c r="C9" i="20"/>
  <c r="R9" i="20" s="1"/>
  <c r="C8" i="20"/>
  <c r="C11" i="20"/>
  <c r="R11" i="20" s="1"/>
  <c r="C17" i="20"/>
  <c r="R17" i="20" s="1"/>
  <c r="R8" i="20" l="1"/>
  <c r="R44" i="20" s="1"/>
  <c r="R58" i="20" s="1"/>
  <c r="C44" i="20"/>
  <c r="C58" i="20" l="1"/>
  <c r="D8" i="41"/>
  <c r="F8" i="41" l="1"/>
  <c r="E44" i="20" l="1"/>
  <c r="E58" i="20" s="1"/>
  <c r="M18" i="20" l="1"/>
  <c r="M18" i="44" l="1"/>
  <c r="B10" i="37" l="1"/>
  <c r="C10" i="37" l="1"/>
  <c r="B9" i="37" l="1"/>
  <c r="B12" i="37" s="1"/>
  <c r="C9" i="37" l="1"/>
  <c r="D22" i="29" l="1"/>
  <c r="C22" i="29"/>
  <c r="E20" i="44"/>
  <c r="C22" i="35" l="1"/>
  <c r="J20" i="44"/>
  <c r="D22" i="35"/>
  <c r="E22" i="35" s="1"/>
  <c r="J20" i="20"/>
  <c r="N20" i="20" s="1"/>
  <c r="C20" i="26"/>
  <c r="E20" i="26" s="1"/>
  <c r="F22" i="28"/>
  <c r="C22" i="36"/>
  <c r="C22" i="42"/>
  <c r="C22" i="23"/>
  <c r="C22" i="28" l="1"/>
  <c r="C22" i="24"/>
  <c r="F20" i="20"/>
  <c r="I20" i="20" s="1"/>
  <c r="O20" i="20" s="1"/>
  <c r="Q20" i="20" s="1"/>
  <c r="F20" i="44"/>
  <c r="I20" i="44" s="1"/>
  <c r="C22" i="25"/>
  <c r="M20" i="20"/>
  <c r="M20" i="44"/>
  <c r="N20" i="44" s="1"/>
  <c r="O20" i="44" l="1"/>
  <c r="Q20" i="44" s="1"/>
  <c r="C8" i="29" l="1"/>
  <c r="M6" i="20"/>
  <c r="D10" i="29"/>
  <c r="C13" i="29"/>
  <c r="D18" i="29"/>
  <c r="C21" i="29"/>
  <c r="D27" i="29"/>
  <c r="C30" i="29"/>
  <c r="D35" i="29"/>
  <c r="C38" i="29"/>
  <c r="D43" i="29"/>
  <c r="D8" i="29"/>
  <c r="D13" i="29"/>
  <c r="C16" i="29"/>
  <c r="E16" i="29" s="1"/>
  <c r="D21" i="29"/>
  <c r="C25" i="29"/>
  <c r="E25" i="29" s="1"/>
  <c r="D30" i="29"/>
  <c r="C33" i="29"/>
  <c r="D38" i="29"/>
  <c r="C41" i="29"/>
  <c r="C11" i="29"/>
  <c r="D16" i="29"/>
  <c r="C19" i="29"/>
  <c r="D25" i="29"/>
  <c r="C28" i="29"/>
  <c r="D33" i="29"/>
  <c r="C36" i="29"/>
  <c r="E36" i="29" s="1"/>
  <c r="D41" i="29"/>
  <c r="C44" i="29"/>
  <c r="E44" i="29" s="1"/>
  <c r="D11" i="29"/>
  <c r="C14" i="29"/>
  <c r="D19" i="29"/>
  <c r="C23" i="29"/>
  <c r="D28" i="29"/>
  <c r="C31" i="29"/>
  <c r="E31" i="29" s="1"/>
  <c r="D36" i="29"/>
  <c r="C39" i="29"/>
  <c r="E39" i="29" s="1"/>
  <c r="D44" i="29"/>
  <c r="C9" i="29"/>
  <c r="D14" i="29"/>
  <c r="C17" i="29"/>
  <c r="E17" i="29" s="1"/>
  <c r="D23" i="29"/>
  <c r="C26" i="29"/>
  <c r="D31" i="29"/>
  <c r="C34" i="29"/>
  <c r="D39" i="29"/>
  <c r="C42" i="29"/>
  <c r="E42" i="29" s="1"/>
  <c r="D9" i="29"/>
  <c r="C12" i="29"/>
  <c r="D17" i="29"/>
  <c r="C20" i="29"/>
  <c r="D26" i="29"/>
  <c r="C29" i="29"/>
  <c r="D34" i="29"/>
  <c r="C37" i="29"/>
  <c r="D42" i="29"/>
  <c r="D12" i="29"/>
  <c r="C15" i="29"/>
  <c r="E15" i="29" s="1"/>
  <c r="D20" i="29"/>
  <c r="C24" i="29"/>
  <c r="D29" i="29"/>
  <c r="C32" i="29"/>
  <c r="E32" i="29" s="1"/>
  <c r="D37" i="29"/>
  <c r="C40" i="29"/>
  <c r="E40" i="29" s="1"/>
  <c r="C10" i="29"/>
  <c r="D15" i="29"/>
  <c r="C18" i="29"/>
  <c r="D24" i="29"/>
  <c r="C27" i="29"/>
  <c r="D32" i="29"/>
  <c r="C35" i="29"/>
  <c r="E35" i="29" s="1"/>
  <c r="D40" i="29"/>
  <c r="C43" i="29"/>
  <c r="E43" i="29" s="1"/>
  <c r="D46" i="29" l="1"/>
  <c r="E8" i="29"/>
  <c r="C46" i="29"/>
  <c r="E5" i="33" l="1"/>
  <c r="F5" i="33" s="1"/>
  <c r="D39" i="21"/>
  <c r="D39" i="41"/>
  <c r="D42" i="41" s="1"/>
  <c r="D33" i="33"/>
  <c r="D36" i="33" s="1"/>
  <c r="C58" i="29"/>
  <c r="D14" i="34" l="1"/>
  <c r="D17" i="34" s="1"/>
  <c r="D42" i="21"/>
  <c r="J15" i="44" l="1"/>
  <c r="D17" i="35"/>
  <c r="J15" i="20"/>
  <c r="N15" i="20" s="1"/>
  <c r="C15" i="26"/>
  <c r="E15" i="26" s="1"/>
  <c r="C17" i="23"/>
  <c r="C17" i="42"/>
  <c r="C17" i="36"/>
  <c r="F17" i="28"/>
  <c r="M15" i="20" l="1"/>
  <c r="M15" i="44"/>
  <c r="N15" i="44" s="1"/>
  <c r="C8" i="26" l="1"/>
  <c r="E8" i="26" s="1"/>
  <c r="C42" i="26"/>
  <c r="E42" i="26" s="1"/>
  <c r="J39" i="20"/>
  <c r="N39" i="20" s="1"/>
  <c r="D41" i="35"/>
  <c r="J39" i="44"/>
  <c r="C38" i="36"/>
  <c r="C7" i="26"/>
  <c r="F18" i="28"/>
  <c r="C39" i="23"/>
  <c r="C39" i="42"/>
  <c r="F29" i="28"/>
  <c r="C15" i="42"/>
  <c r="C15" i="23"/>
  <c r="C11" i="26"/>
  <c r="E11" i="26" s="1"/>
  <c r="J8" i="44"/>
  <c r="D10" i="35"/>
  <c r="J8" i="20"/>
  <c r="D44" i="35"/>
  <c r="J42" i="20"/>
  <c r="N42" i="20" s="1"/>
  <c r="J42" i="44"/>
  <c r="C41" i="36"/>
  <c r="C11" i="36"/>
  <c r="F21" i="28"/>
  <c r="C16" i="23"/>
  <c r="C16" i="42"/>
  <c r="C38" i="26"/>
  <c r="E38" i="26" s="1"/>
  <c r="J35" i="44"/>
  <c r="N35" i="44" s="1"/>
  <c r="J35" i="20"/>
  <c r="N35" i="20" s="1"/>
  <c r="D37" i="35"/>
  <c r="C34" i="36"/>
  <c r="J19" i="44"/>
  <c r="D21" i="35"/>
  <c r="J19" i="20"/>
  <c r="N19" i="20" s="1"/>
  <c r="C36" i="36"/>
  <c r="C20" i="23"/>
  <c r="C20" i="42"/>
  <c r="F24" i="28"/>
  <c r="C19" i="42"/>
  <c r="C19" i="23"/>
  <c r="M11" i="20"/>
  <c r="M11" i="44"/>
  <c r="F34" i="28"/>
  <c r="C21" i="23"/>
  <c r="C21" i="42"/>
  <c r="C9" i="26"/>
  <c r="E9" i="26" s="1"/>
  <c r="D42" i="35"/>
  <c r="J40" i="20"/>
  <c r="N40" i="20" s="1"/>
  <c r="J40" i="44"/>
  <c r="C39" i="36"/>
  <c r="C16" i="26"/>
  <c r="E16" i="26" s="1"/>
  <c r="F10" i="28"/>
  <c r="F44" i="28"/>
  <c r="C32" i="42"/>
  <c r="C32" i="23"/>
  <c r="C28" i="26"/>
  <c r="E28" i="26" s="1"/>
  <c r="D27" i="35"/>
  <c r="J25" i="20"/>
  <c r="N25" i="20" s="1"/>
  <c r="J25" i="44"/>
  <c r="C24" i="36"/>
  <c r="J30" i="44"/>
  <c r="J30" i="20"/>
  <c r="N30" i="20" s="1"/>
  <c r="D32" i="35"/>
  <c r="F31" i="28"/>
  <c r="C18" i="42"/>
  <c r="C18" i="23"/>
  <c r="C39" i="26"/>
  <c r="E39" i="26" s="1"/>
  <c r="C35" i="36"/>
  <c r="C14" i="26"/>
  <c r="E14" i="26" s="1"/>
  <c r="D13" i="35"/>
  <c r="J11" i="44"/>
  <c r="J11" i="20"/>
  <c r="N11" i="20" s="1"/>
  <c r="C10" i="36"/>
  <c r="C17" i="26"/>
  <c r="E17" i="26" s="1"/>
  <c r="J13" i="44"/>
  <c r="J13" i="20"/>
  <c r="N13" i="20" s="1"/>
  <c r="D15" i="35"/>
  <c r="C12" i="36"/>
  <c r="C25" i="26"/>
  <c r="E25" i="26" s="1"/>
  <c r="F27" i="28"/>
  <c r="C13" i="42"/>
  <c r="C13" i="23"/>
  <c r="F37" i="28"/>
  <c r="C25" i="23"/>
  <c r="C25" i="42"/>
  <c r="C21" i="26"/>
  <c r="E21" i="26" s="1"/>
  <c r="D19" i="35"/>
  <c r="J17" i="20"/>
  <c r="N17" i="20" s="1"/>
  <c r="J17" i="44"/>
  <c r="C15" i="36"/>
  <c r="C29" i="36"/>
  <c r="F30" i="28"/>
  <c r="C26" i="23"/>
  <c r="C26" i="42"/>
  <c r="C12" i="26"/>
  <c r="E12" i="26" s="1"/>
  <c r="J9" i="44"/>
  <c r="D11" i="35"/>
  <c r="J9" i="20"/>
  <c r="J6" i="20"/>
  <c r="J6" i="44"/>
  <c r="C42" i="36"/>
  <c r="J36" i="20"/>
  <c r="N36" i="20" s="1"/>
  <c r="D38" i="35"/>
  <c r="J36" i="44"/>
  <c r="F33" i="28"/>
  <c r="C41" i="26"/>
  <c r="E41" i="26" s="1"/>
  <c r="F32" i="28"/>
  <c r="C28" i="23"/>
  <c r="C28" i="42"/>
  <c r="F42" i="28"/>
  <c r="C30" i="42"/>
  <c r="C30" i="23"/>
  <c r="C18" i="26"/>
  <c r="E18" i="26" s="1"/>
  <c r="J14" i="44"/>
  <c r="J14" i="20"/>
  <c r="N14" i="20" s="1"/>
  <c r="D16" i="35"/>
  <c r="C13" i="36"/>
  <c r="J12" i="44"/>
  <c r="D14" i="35"/>
  <c r="J12" i="20"/>
  <c r="N12" i="20" s="1"/>
  <c r="F19" i="28"/>
  <c r="C40" i="42"/>
  <c r="C40" i="23"/>
  <c r="C36" i="26"/>
  <c r="E36" i="26" s="1"/>
  <c r="J33" i="44"/>
  <c r="J33" i="20"/>
  <c r="N33" i="20" s="1"/>
  <c r="D35" i="35"/>
  <c r="C32" i="36"/>
  <c r="F39" i="28"/>
  <c r="C27" i="42"/>
  <c r="C27" i="23"/>
  <c r="C13" i="26"/>
  <c r="E13" i="26" s="1"/>
  <c r="J28" i="44"/>
  <c r="D30" i="35"/>
  <c r="J28" i="20"/>
  <c r="N28" i="20" s="1"/>
  <c r="C19" i="36"/>
  <c r="C24" i="26"/>
  <c r="E24" i="26" s="1"/>
  <c r="J21" i="20"/>
  <c r="N21" i="20" s="1"/>
  <c r="D23" i="35"/>
  <c r="J21" i="44"/>
  <c r="C28" i="36"/>
  <c r="F15" i="28"/>
  <c r="C26" i="26"/>
  <c r="E26" i="26" s="1"/>
  <c r="J23" i="44"/>
  <c r="D25" i="35"/>
  <c r="J23" i="20"/>
  <c r="N23" i="20" s="1"/>
  <c r="C21" i="36"/>
  <c r="C20" i="36"/>
  <c r="F35" i="28"/>
  <c r="C23" i="42"/>
  <c r="C23" i="23"/>
  <c r="F11" i="28"/>
  <c r="F8" i="28"/>
  <c r="C33" i="42"/>
  <c r="C33" i="23"/>
  <c r="C29" i="26"/>
  <c r="E29" i="26" s="1"/>
  <c r="J26" i="44"/>
  <c r="D28" i="35"/>
  <c r="J26" i="20"/>
  <c r="N26" i="20" s="1"/>
  <c r="C25" i="36"/>
  <c r="F38" i="28"/>
  <c r="C34" i="23"/>
  <c r="C34" i="42"/>
  <c r="C22" i="26"/>
  <c r="E22" i="26" s="1"/>
  <c r="J18" i="20"/>
  <c r="N18" i="20" s="1"/>
  <c r="D20" i="35"/>
  <c r="J18" i="44"/>
  <c r="N18" i="44" s="1"/>
  <c r="C16" i="36"/>
  <c r="C27" i="36"/>
  <c r="F40" i="28"/>
  <c r="C36" i="23"/>
  <c r="C36" i="42"/>
  <c r="F16" i="28"/>
  <c r="C38" i="23"/>
  <c r="C38" i="42"/>
  <c r="C27" i="26"/>
  <c r="E27" i="26" s="1"/>
  <c r="J24" i="20"/>
  <c r="N24" i="20" s="1"/>
  <c r="D26" i="35"/>
  <c r="J24" i="44"/>
  <c r="C23" i="36"/>
  <c r="J38" i="20"/>
  <c r="N38" i="20" s="1"/>
  <c r="D40" i="35"/>
  <c r="J38" i="44"/>
  <c r="F28" i="28"/>
  <c r="C14" i="23"/>
  <c r="C14" i="42"/>
  <c r="C10" i="26"/>
  <c r="E10" i="26" s="1"/>
  <c r="J7" i="44"/>
  <c r="D9" i="35"/>
  <c r="J7" i="20"/>
  <c r="D43" i="35"/>
  <c r="J41" i="44"/>
  <c r="J41" i="20"/>
  <c r="N41" i="20" s="1"/>
  <c r="C40" i="36"/>
  <c r="F13" i="28"/>
  <c r="C35" i="23"/>
  <c r="C35" i="42"/>
  <c r="C23" i="26"/>
  <c r="E23" i="26" s="1"/>
  <c r="C9" i="36"/>
  <c r="C44" i="36"/>
  <c r="C11" i="42"/>
  <c r="C11" i="23"/>
  <c r="C32" i="26"/>
  <c r="E32" i="26" s="1"/>
  <c r="J29" i="44"/>
  <c r="J29" i="20"/>
  <c r="N29" i="20" s="1"/>
  <c r="D31" i="35"/>
  <c r="F25" i="28"/>
  <c r="C33" i="26"/>
  <c r="E33" i="26" s="1"/>
  <c r="C34" i="26"/>
  <c r="E34" i="26" s="1"/>
  <c r="J31" i="44"/>
  <c r="J31" i="20"/>
  <c r="N31" i="20" s="1"/>
  <c r="D33" i="35"/>
  <c r="C30" i="36"/>
  <c r="C37" i="42"/>
  <c r="C37" i="23"/>
  <c r="F9" i="28"/>
  <c r="F43" i="28"/>
  <c r="C31" i="42"/>
  <c r="C31" i="23"/>
  <c r="J22" i="20"/>
  <c r="N22" i="20" s="1"/>
  <c r="D24" i="35"/>
  <c r="J22" i="44"/>
  <c r="F20" i="28"/>
  <c r="C41" i="23"/>
  <c r="C41" i="42"/>
  <c r="C37" i="26"/>
  <c r="E37" i="26" s="1"/>
  <c r="J34" i="44"/>
  <c r="N34" i="44" s="1"/>
  <c r="D36" i="35"/>
  <c r="J34" i="20"/>
  <c r="N34" i="20" s="1"/>
  <c r="C33" i="36"/>
  <c r="F12" i="28"/>
  <c r="C42" i="42"/>
  <c r="C42" i="23"/>
  <c r="C30" i="26"/>
  <c r="E30" i="26" s="1"/>
  <c r="J27" i="44"/>
  <c r="D29" i="35"/>
  <c r="J27" i="20"/>
  <c r="N27" i="20" s="1"/>
  <c r="C26" i="36"/>
  <c r="J10" i="20"/>
  <c r="D12" i="35"/>
  <c r="J10" i="44"/>
  <c r="C43" i="36"/>
  <c r="F14" i="28"/>
  <c r="C10" i="42"/>
  <c r="C10" i="23"/>
  <c r="C44" i="23"/>
  <c r="C44" i="42"/>
  <c r="M7" i="20"/>
  <c r="M7" i="44"/>
  <c r="N7" i="44" s="1"/>
  <c r="F26" i="28"/>
  <c r="C12" i="23"/>
  <c r="C12" i="42"/>
  <c r="C35" i="26"/>
  <c r="E35" i="26" s="1"/>
  <c r="J32" i="20"/>
  <c r="N32" i="20" s="1"/>
  <c r="J32" i="44"/>
  <c r="D34" i="35"/>
  <c r="C31" i="36"/>
  <c r="F36" i="28"/>
  <c r="C24" i="42"/>
  <c r="C24" i="23"/>
  <c r="C19" i="26"/>
  <c r="E19" i="26" s="1"/>
  <c r="J16" i="44"/>
  <c r="J16" i="20"/>
  <c r="N16" i="20" s="1"/>
  <c r="D18" i="35"/>
  <c r="C14" i="36"/>
  <c r="F23" i="28"/>
  <c r="C9" i="23"/>
  <c r="C9" i="42"/>
  <c r="C43" i="42"/>
  <c r="C43" i="23"/>
  <c r="C31" i="26"/>
  <c r="E31" i="26" s="1"/>
  <c r="C18" i="36"/>
  <c r="C29" i="42"/>
  <c r="C29" i="23"/>
  <c r="C40" i="26"/>
  <c r="E40" i="26" s="1"/>
  <c r="J37" i="44"/>
  <c r="J37" i="20"/>
  <c r="N37" i="20" s="1"/>
  <c r="D39" i="35"/>
  <c r="F41" i="28"/>
  <c r="C37" i="36"/>
  <c r="M6" i="44"/>
  <c r="M40" i="20" l="1"/>
  <c r="M40" i="44"/>
  <c r="N40" i="44" s="1"/>
  <c r="M41" i="20"/>
  <c r="M41" i="44"/>
  <c r="N41" i="44" s="1"/>
  <c r="M21" i="20"/>
  <c r="M21" i="44"/>
  <c r="N21" i="44" s="1"/>
  <c r="M10" i="20"/>
  <c r="M10" i="44"/>
  <c r="N10" i="44" s="1"/>
  <c r="M9" i="20"/>
  <c r="M9" i="44"/>
  <c r="N9" i="44" s="1"/>
  <c r="M32" i="20"/>
  <c r="M32" i="44"/>
  <c r="N32" i="44" s="1"/>
  <c r="M17" i="20"/>
  <c r="M17" i="44"/>
  <c r="N17" i="44" s="1"/>
  <c r="J44" i="44"/>
  <c r="J58" i="44" s="1"/>
  <c r="N6" i="44"/>
  <c r="N10" i="20"/>
  <c r="N6" i="20"/>
  <c r="J44" i="20"/>
  <c r="J58" i="20" s="1"/>
  <c r="N11" i="44"/>
  <c r="M23" i="20"/>
  <c r="M23" i="44"/>
  <c r="N23" i="44" s="1"/>
  <c r="M22" i="20"/>
  <c r="M22" i="44"/>
  <c r="N22" i="44" s="1"/>
  <c r="N9" i="20"/>
  <c r="F6" i="20"/>
  <c r="F6" i="44"/>
  <c r="M28" i="20"/>
  <c r="M28" i="44"/>
  <c r="N28" i="44" s="1"/>
  <c r="M26" i="20"/>
  <c r="M26" i="44"/>
  <c r="N26" i="44" s="1"/>
  <c r="M38" i="20"/>
  <c r="M38" i="44"/>
  <c r="N38" i="44" s="1"/>
  <c r="M12" i="20"/>
  <c r="M12" i="44"/>
  <c r="N12" i="44" s="1"/>
  <c r="M16" i="20"/>
  <c r="M16" i="44"/>
  <c r="N16" i="44" s="1"/>
  <c r="C46" i="42"/>
  <c r="M14" i="20"/>
  <c r="M14" i="44"/>
  <c r="N14" i="44" s="1"/>
  <c r="C46" i="23"/>
  <c r="D14" i="33" s="1"/>
  <c r="F14" i="33" s="1"/>
  <c r="N7" i="20"/>
  <c r="D46" i="35"/>
  <c r="D11" i="33" s="1"/>
  <c r="F11" i="33" s="1"/>
  <c r="F46" i="28"/>
  <c r="E12" i="33" s="1"/>
  <c r="E20" i="33" s="1"/>
  <c r="E7" i="26"/>
  <c r="E44" i="26" s="1"/>
  <c r="D8" i="33" s="1"/>
  <c r="F8" i="33" s="1"/>
  <c r="C44" i="26"/>
  <c r="M24" i="20"/>
  <c r="M24" i="44"/>
  <c r="N24" i="44" s="1"/>
  <c r="M27" i="20"/>
  <c r="M27" i="44"/>
  <c r="N27" i="44" s="1"/>
  <c r="M13" i="20"/>
  <c r="M13" i="44"/>
  <c r="N13" i="44" s="1"/>
  <c r="M25" i="20"/>
  <c r="M25" i="44"/>
  <c r="N25" i="44" s="1"/>
  <c r="M19" i="20"/>
  <c r="M19" i="44"/>
  <c r="N19" i="44" s="1"/>
  <c r="M37" i="20"/>
  <c r="M37" i="44"/>
  <c r="N37" i="44" s="1"/>
  <c r="M39" i="20"/>
  <c r="M39" i="44"/>
  <c r="N39" i="44" s="1"/>
  <c r="M30" i="20"/>
  <c r="M30" i="44"/>
  <c r="N30" i="44" s="1"/>
  <c r="M36" i="20"/>
  <c r="M36" i="44"/>
  <c r="N36" i="44" s="1"/>
  <c r="M8" i="20"/>
  <c r="N8" i="20" s="1"/>
  <c r="M8" i="44"/>
  <c r="N8" i="44" s="1"/>
  <c r="C8" i="28"/>
  <c r="M42" i="20"/>
  <c r="M42" i="44"/>
  <c r="N42" i="44" s="1"/>
  <c r="M44" i="44"/>
  <c r="M29" i="20"/>
  <c r="M29" i="44"/>
  <c r="N29" i="44" s="1"/>
  <c r="M33" i="20"/>
  <c r="M33" i="44"/>
  <c r="N33" i="44" s="1"/>
  <c r="M31" i="20"/>
  <c r="M31" i="44"/>
  <c r="N31" i="44" s="1"/>
  <c r="C46" i="36"/>
  <c r="D9" i="33" s="1"/>
  <c r="F9" i="33" s="1"/>
  <c r="M44" i="20" l="1"/>
  <c r="N44" i="44"/>
  <c r="N58" i="44" s="1"/>
  <c r="I6" i="20"/>
  <c r="N44" i="20"/>
  <c r="N58" i="20" s="1"/>
  <c r="O6" i="20" l="1"/>
  <c r="Q6" i="20" l="1"/>
  <c r="C17" i="35" l="1"/>
  <c r="E17" i="35" s="1"/>
  <c r="C17" i="25" l="1"/>
  <c r="C17" i="28"/>
  <c r="C17" i="24"/>
  <c r="C9" i="35" l="1"/>
  <c r="C40" i="35"/>
  <c r="E40" i="35" s="1"/>
  <c r="C16" i="35"/>
  <c r="E16" i="35" s="1"/>
  <c r="F15" i="20"/>
  <c r="I15" i="20" s="1"/>
  <c r="O15" i="20" s="1"/>
  <c r="Q15" i="20" s="1"/>
  <c r="F15" i="44"/>
  <c r="C12" i="35"/>
  <c r="E12" i="35" s="1"/>
  <c r="E9" i="35" l="1"/>
  <c r="C37" i="35" l="1"/>
  <c r="E37" i="35" s="1"/>
  <c r="C43" i="35"/>
  <c r="E43" i="35" s="1"/>
  <c r="C44" i="35"/>
  <c r="E44" i="35" s="1"/>
  <c r="C38" i="35"/>
  <c r="E38" i="35" s="1"/>
  <c r="C39" i="35"/>
  <c r="E39" i="35" s="1"/>
  <c r="C42" i="35"/>
  <c r="E42" i="35" s="1"/>
  <c r="C41" i="35"/>
  <c r="E41" i="35" s="1"/>
  <c r="C35" i="35"/>
  <c r="E35" i="35" s="1"/>
  <c r="F41" i="20" l="1"/>
  <c r="I41" i="20" s="1"/>
  <c r="O41" i="20" s="1"/>
  <c r="Q41" i="20" s="1"/>
  <c r="F41" i="44"/>
  <c r="C40" i="25"/>
  <c r="C37" i="24"/>
  <c r="C26" i="35"/>
  <c r="E26" i="35" s="1"/>
  <c r="C35" i="28"/>
  <c r="C42" i="28"/>
  <c r="C38" i="25"/>
  <c r="C35" i="24"/>
  <c r="C41" i="25"/>
  <c r="C40" i="24"/>
  <c r="C39" i="24"/>
  <c r="C43" i="28"/>
  <c r="C38" i="28"/>
  <c r="C35" i="25"/>
  <c r="C43" i="24"/>
  <c r="C39" i="25"/>
  <c r="C27" i="35"/>
  <c r="E27" i="35" s="1"/>
  <c r="C41" i="24"/>
  <c r="C40" i="28"/>
  <c r="C44" i="24"/>
  <c r="C43" i="25"/>
  <c r="C42" i="25"/>
  <c r="C44" i="25"/>
  <c r="C37" i="25"/>
  <c r="C39" i="28"/>
  <c r="C15" i="35"/>
  <c r="E15" i="35" s="1"/>
  <c r="C41" i="28"/>
  <c r="C44" i="28"/>
  <c r="C42" i="24"/>
  <c r="C38" i="24"/>
  <c r="C37" i="28"/>
  <c r="C20" i="35" l="1"/>
  <c r="E20" i="35" s="1"/>
  <c r="C29" i="35"/>
  <c r="E29" i="35" s="1"/>
  <c r="C32" i="35"/>
  <c r="E32" i="35" s="1"/>
  <c r="C18" i="35"/>
  <c r="E18" i="35" s="1"/>
  <c r="C23" i="35"/>
  <c r="E23" i="35" s="1"/>
  <c r="C13" i="35"/>
  <c r="E13" i="35" s="1"/>
  <c r="C11" i="35"/>
  <c r="E11" i="35" s="1"/>
  <c r="F39" i="20"/>
  <c r="I39" i="20" s="1"/>
  <c r="O39" i="20" s="1"/>
  <c r="Q39" i="20" s="1"/>
  <c r="F39" i="44"/>
  <c r="F36" i="44"/>
  <c r="F36" i="20"/>
  <c r="I36" i="20" s="1"/>
  <c r="O36" i="20" s="1"/>
  <c r="Q36" i="20" s="1"/>
  <c r="F37" i="20"/>
  <c r="I37" i="20" s="1"/>
  <c r="O37" i="20" s="1"/>
  <c r="Q37" i="20" s="1"/>
  <c r="F37" i="44"/>
  <c r="C10" i="35"/>
  <c r="C19" i="35"/>
  <c r="E19" i="35" s="1"/>
  <c r="C31" i="35"/>
  <c r="E31" i="35" s="1"/>
  <c r="C25" i="35"/>
  <c r="E25" i="35" s="1"/>
  <c r="C28" i="35"/>
  <c r="E28" i="35" s="1"/>
  <c r="F33" i="20"/>
  <c r="I33" i="20" s="1"/>
  <c r="O33" i="20" s="1"/>
  <c r="Q33" i="20" s="1"/>
  <c r="F33" i="44"/>
  <c r="F40" i="20"/>
  <c r="I40" i="20" s="1"/>
  <c r="O40" i="20" s="1"/>
  <c r="Q40" i="20" s="1"/>
  <c r="F40" i="44"/>
  <c r="C30" i="35"/>
  <c r="E30" i="35" s="1"/>
  <c r="C24" i="35"/>
  <c r="E24" i="35" s="1"/>
  <c r="C21" i="35"/>
  <c r="E21" i="35" s="1"/>
  <c r="C34" i="35"/>
  <c r="E34" i="35" s="1"/>
  <c r="C33" i="35"/>
  <c r="E33" i="35" s="1"/>
  <c r="F38" i="20"/>
  <c r="I38" i="20" s="1"/>
  <c r="O38" i="20" s="1"/>
  <c r="Q38" i="20" s="1"/>
  <c r="F38" i="44"/>
  <c r="F35" i="20"/>
  <c r="I35" i="20" s="1"/>
  <c r="O35" i="20" s="1"/>
  <c r="Q35" i="20" s="1"/>
  <c r="F35" i="44"/>
  <c r="F42" i="44"/>
  <c r="F42" i="20"/>
  <c r="I42" i="20" s="1"/>
  <c r="O42" i="20" s="1"/>
  <c r="Q42" i="20" s="1"/>
  <c r="C15" i="28" l="1"/>
  <c r="E10" i="35"/>
  <c r="C27" i="24"/>
  <c r="C27" i="25"/>
  <c r="C15" i="24"/>
  <c r="C27" i="28"/>
  <c r="C15" i="25"/>
  <c r="F13" i="20" l="1"/>
  <c r="I13" i="20" s="1"/>
  <c r="O13" i="20" s="1"/>
  <c r="Q13" i="20" s="1"/>
  <c r="F13" i="44"/>
  <c r="F11" i="20"/>
  <c r="I11" i="20" s="1"/>
  <c r="O11" i="20" s="1"/>
  <c r="Q11" i="20" s="1"/>
  <c r="F11" i="44"/>
  <c r="C31" i="28"/>
  <c r="C33" i="24"/>
  <c r="C32" i="28"/>
  <c r="C13" i="25"/>
  <c r="C18" i="25"/>
  <c r="C23" i="28"/>
  <c r="C16" i="28"/>
  <c r="C18" i="28"/>
  <c r="C30" i="25"/>
  <c r="C16" i="24"/>
  <c r="C9" i="25"/>
  <c r="F25" i="44"/>
  <c r="F25" i="20"/>
  <c r="I25" i="20" s="1"/>
  <c r="O25" i="20" s="1"/>
  <c r="Q25" i="20" s="1"/>
  <c r="C10" i="25"/>
  <c r="C21" i="28"/>
  <c r="C21" i="24"/>
  <c r="C23" i="24"/>
  <c r="C13" i="24"/>
  <c r="C19" i="28"/>
  <c r="C12" i="28"/>
  <c r="C18" i="24"/>
  <c r="C11" i="28"/>
  <c r="C28" i="24"/>
  <c r="C30" i="28"/>
  <c r="C25" i="25"/>
  <c r="C28" i="28"/>
  <c r="C20" i="25"/>
  <c r="C25" i="24"/>
  <c r="C20" i="28"/>
  <c r="C10" i="24"/>
  <c r="C31" i="25"/>
  <c r="C9" i="28"/>
  <c r="C9" i="24"/>
  <c r="C26" i="28"/>
  <c r="C32" i="24"/>
  <c r="C23" i="25"/>
  <c r="C33" i="25"/>
  <c r="C16" i="25"/>
  <c r="C33" i="28"/>
  <c r="C13" i="28"/>
  <c r="C24" i="25"/>
  <c r="C34" i="24"/>
  <c r="C29" i="25"/>
  <c r="C24" i="24"/>
  <c r="C29" i="28"/>
  <c r="C34" i="25"/>
  <c r="C25" i="28"/>
  <c r="C26" i="25"/>
  <c r="C20" i="24"/>
  <c r="C10" i="28"/>
  <c r="C28" i="25"/>
  <c r="C19" i="24"/>
  <c r="C12" i="25"/>
  <c r="C19" i="25"/>
  <c r="C34" i="28"/>
  <c r="C11" i="24"/>
  <c r="C32" i="25"/>
  <c r="C29" i="24"/>
  <c r="C11" i="25"/>
  <c r="C21" i="25"/>
  <c r="C30" i="24"/>
  <c r="C26" i="24"/>
  <c r="C24" i="28"/>
  <c r="C31" i="24"/>
  <c r="C12" i="24"/>
  <c r="F18" i="44" l="1"/>
  <c r="F18" i="20"/>
  <c r="I18" i="20" s="1"/>
  <c r="O18" i="20" s="1"/>
  <c r="Q18" i="20" s="1"/>
  <c r="F29" i="44"/>
  <c r="F29" i="20"/>
  <c r="I29" i="20" s="1"/>
  <c r="O29" i="20" s="1"/>
  <c r="Q29" i="20" s="1"/>
  <c r="F10" i="44"/>
  <c r="F10" i="20"/>
  <c r="I10" i="20" s="1"/>
  <c r="O10" i="20" s="1"/>
  <c r="Q10" i="20" s="1"/>
  <c r="F16" i="44"/>
  <c r="F16" i="20"/>
  <c r="I16" i="20" s="1"/>
  <c r="O16" i="20" s="1"/>
  <c r="Q16" i="20" s="1"/>
  <c r="F31" i="20"/>
  <c r="I31" i="20" s="1"/>
  <c r="O31" i="20" s="1"/>
  <c r="Q31" i="20" s="1"/>
  <c r="F31" i="44"/>
  <c r="F26" i="20"/>
  <c r="I26" i="20" s="1"/>
  <c r="O26" i="20" s="1"/>
  <c r="Q26" i="20" s="1"/>
  <c r="F26" i="44"/>
  <c r="F19" i="20"/>
  <c r="I19" i="20" s="1"/>
  <c r="O19" i="20" s="1"/>
  <c r="Q19" i="20" s="1"/>
  <c r="F19" i="44"/>
  <c r="F22" i="20"/>
  <c r="I22" i="20" s="1"/>
  <c r="O22" i="20" s="1"/>
  <c r="Q22" i="20" s="1"/>
  <c r="F22" i="44"/>
  <c r="F30" i="20"/>
  <c r="I30" i="20" s="1"/>
  <c r="O30" i="20" s="1"/>
  <c r="Q30" i="20" s="1"/>
  <c r="F30" i="44"/>
  <c r="F32" i="20"/>
  <c r="I32" i="20" s="1"/>
  <c r="O32" i="20" s="1"/>
  <c r="Q32" i="20" s="1"/>
  <c r="F32" i="44"/>
  <c r="F21" i="44"/>
  <c r="F21" i="20"/>
  <c r="I21" i="20" s="1"/>
  <c r="O21" i="20" s="1"/>
  <c r="Q21" i="20" s="1"/>
  <c r="F14" i="20"/>
  <c r="I14" i="20" s="1"/>
  <c r="O14" i="20" s="1"/>
  <c r="Q14" i="20" s="1"/>
  <c r="F14" i="44"/>
  <c r="F8" i="44"/>
  <c r="F8" i="20"/>
  <c r="I8" i="20" s="1"/>
  <c r="O8" i="20" s="1"/>
  <c r="Q8" i="20" s="1"/>
  <c r="F17" i="20"/>
  <c r="I17" i="20" s="1"/>
  <c r="O17" i="20" s="1"/>
  <c r="Q17" i="20" s="1"/>
  <c r="F17" i="44"/>
  <c r="F28" i="20"/>
  <c r="I28" i="20" s="1"/>
  <c r="O28" i="20" s="1"/>
  <c r="Q28" i="20" s="1"/>
  <c r="F28" i="44"/>
  <c r="F23" i="44"/>
  <c r="F23" i="20"/>
  <c r="I23" i="20" s="1"/>
  <c r="O23" i="20" s="1"/>
  <c r="Q23" i="20" s="1"/>
  <c r="F24" i="44"/>
  <c r="F24" i="20"/>
  <c r="I24" i="20" s="1"/>
  <c r="O24" i="20" s="1"/>
  <c r="Q24" i="20" s="1"/>
  <c r="F27" i="20"/>
  <c r="I27" i="20" s="1"/>
  <c r="O27" i="20" s="1"/>
  <c r="Q27" i="20" s="1"/>
  <c r="F27" i="44"/>
  <c r="F9" i="20"/>
  <c r="I9" i="20" s="1"/>
  <c r="O9" i="20" s="1"/>
  <c r="Q9" i="20" s="1"/>
  <c r="F9" i="44"/>
  <c r="F7" i="20"/>
  <c r="F7" i="44"/>
  <c r="I7" i="20" l="1"/>
  <c r="O7" i="20" l="1"/>
  <c r="Q7" i="20" l="1"/>
  <c r="C14" i="35" l="1"/>
  <c r="C36" i="35"/>
  <c r="E36" i="35" s="1"/>
  <c r="E14" i="35" l="1"/>
  <c r="E46" i="35" s="1"/>
  <c r="C46" i="35"/>
  <c r="D10" i="33" s="1"/>
  <c r="F10" i="33" s="1"/>
  <c r="C36" i="25" l="1"/>
  <c r="C36" i="24"/>
  <c r="C14" i="25"/>
  <c r="C46" i="25" s="1"/>
  <c r="D7" i="33" s="1"/>
  <c r="F7" i="33" s="1"/>
  <c r="C36" i="28"/>
  <c r="C14" i="24"/>
  <c r="C46" i="24" s="1"/>
  <c r="D6" i="33" s="1"/>
  <c r="C14" i="28"/>
  <c r="C46" i="28" s="1"/>
  <c r="D12" i="33" s="1"/>
  <c r="F12" i="33" s="1"/>
  <c r="F34" i="20" l="1"/>
  <c r="I34" i="20" s="1"/>
  <c r="O34" i="20" s="1"/>
  <c r="Q34" i="20" s="1"/>
  <c r="F34" i="44"/>
  <c r="F12" i="20"/>
  <c r="F12" i="44"/>
  <c r="F44" i="44" s="1"/>
  <c r="F58" i="44" s="1"/>
  <c r="F6" i="33"/>
  <c r="F20" i="33" s="1"/>
  <c r="D20" i="33"/>
  <c r="I12" i="20" l="1"/>
  <c r="F44" i="20"/>
  <c r="F58" i="20" s="1"/>
  <c r="O12" i="20" l="1"/>
  <c r="I44" i="20"/>
  <c r="I58" i="20" s="1"/>
  <c r="Q12" i="20" l="1"/>
  <c r="Q44" i="20" s="1"/>
  <c r="Q58" i="20" s="1"/>
  <c r="O44" i="20"/>
  <c r="O58" i="20" s="1"/>
  <c r="E35" i="44" l="1"/>
  <c r="I35" i="44" s="1"/>
  <c r="O35" i="44" s="1"/>
  <c r="Q35" i="44" s="1"/>
  <c r="E23" i="44"/>
  <c r="I23" i="44" s="1"/>
  <c r="O23" i="44" s="1"/>
  <c r="Q23" i="44" s="1"/>
  <c r="E19" i="44"/>
  <c r="I19" i="44" s="1"/>
  <c r="O19" i="44" s="1"/>
  <c r="Q19" i="44" s="1"/>
  <c r="E34" i="44"/>
  <c r="I34" i="44" s="1"/>
  <c r="O34" i="44" s="1"/>
  <c r="Q34" i="44" s="1"/>
  <c r="E21" i="44"/>
  <c r="I21" i="44" s="1"/>
  <c r="O21" i="44" s="1"/>
  <c r="Q21" i="44" s="1"/>
  <c r="E41" i="44"/>
  <c r="I41" i="44" s="1"/>
  <c r="O41" i="44" s="1"/>
  <c r="Q41" i="44" s="1"/>
  <c r="E31" i="44"/>
  <c r="I31" i="44" s="1"/>
  <c r="O31" i="44" s="1"/>
  <c r="Q31" i="44" s="1"/>
  <c r="E40" i="44"/>
  <c r="I40" i="44" s="1"/>
  <c r="O40" i="44" s="1"/>
  <c r="Q40" i="44" s="1"/>
  <c r="E14" i="44"/>
  <c r="I14" i="44" s="1"/>
  <c r="O14" i="44" s="1"/>
  <c r="Q14" i="44" s="1"/>
  <c r="E11" i="44"/>
  <c r="I11" i="44" s="1"/>
  <c r="O11" i="44" s="1"/>
  <c r="Q11" i="44" s="1"/>
  <c r="E42" i="44"/>
  <c r="I42" i="44" s="1"/>
  <c r="O42" i="44" s="1"/>
  <c r="Q42" i="44" s="1"/>
  <c r="E37" i="44"/>
  <c r="I37" i="44" s="1"/>
  <c r="O37" i="44" s="1"/>
  <c r="Q37" i="44" s="1"/>
  <c r="E16" i="44"/>
  <c r="I16" i="44" s="1"/>
  <c r="O16" i="44" s="1"/>
  <c r="Q16" i="44" s="1"/>
  <c r="E12" i="44"/>
  <c r="I12" i="44" s="1"/>
  <c r="O12" i="44" s="1"/>
  <c r="Q12" i="44" s="1"/>
  <c r="E30" i="44"/>
  <c r="I30" i="44" s="1"/>
  <c r="O30" i="44" s="1"/>
  <c r="Q30" i="44" s="1"/>
  <c r="E7" i="44"/>
  <c r="I7" i="44" s="1"/>
  <c r="O7" i="44" s="1"/>
  <c r="Q7" i="44" s="1"/>
  <c r="E10" i="44"/>
  <c r="I10" i="44" s="1"/>
  <c r="O10" i="44" s="1"/>
  <c r="Q10" i="44" s="1"/>
  <c r="E25" i="44"/>
  <c r="I25" i="44" s="1"/>
  <c r="O25" i="44" s="1"/>
  <c r="Q25" i="44" s="1"/>
  <c r="E36" i="44"/>
  <c r="I36" i="44" s="1"/>
  <c r="O36" i="44" s="1"/>
  <c r="Q36" i="44" s="1"/>
  <c r="E6" i="44"/>
  <c r="E29" i="44"/>
  <c r="I29" i="44" s="1"/>
  <c r="O29" i="44" s="1"/>
  <c r="Q29" i="44" s="1"/>
  <c r="E13" i="44"/>
  <c r="I13" i="44" s="1"/>
  <c r="O13" i="44" s="1"/>
  <c r="Q13" i="44" s="1"/>
  <c r="E38" i="44"/>
  <c r="I38" i="44" s="1"/>
  <c r="O38" i="44" s="1"/>
  <c r="Q38" i="44" s="1"/>
  <c r="E9" i="44"/>
  <c r="I9" i="44" s="1"/>
  <c r="O9" i="44" s="1"/>
  <c r="Q9" i="44" s="1"/>
  <c r="E22" i="44"/>
  <c r="I22" i="44" s="1"/>
  <c r="O22" i="44" s="1"/>
  <c r="Q22" i="44" s="1"/>
  <c r="E32" i="44"/>
  <c r="I32" i="44" s="1"/>
  <c r="O32" i="44" s="1"/>
  <c r="Q32" i="44" s="1"/>
  <c r="E18" i="44"/>
  <c r="I18" i="44" s="1"/>
  <c r="O18" i="44" s="1"/>
  <c r="Q18" i="44" s="1"/>
  <c r="E28" i="44"/>
  <c r="I28" i="44" s="1"/>
  <c r="O28" i="44" s="1"/>
  <c r="Q28" i="44" s="1"/>
  <c r="E26" i="44"/>
  <c r="I26" i="44" s="1"/>
  <c r="O26" i="44" s="1"/>
  <c r="Q26" i="44" s="1"/>
  <c r="E33" i="44"/>
  <c r="I33" i="44" s="1"/>
  <c r="O33" i="44" s="1"/>
  <c r="Q33" i="44" s="1"/>
  <c r="E39" i="44"/>
  <c r="I39" i="44" s="1"/>
  <c r="O39" i="44" s="1"/>
  <c r="Q39" i="44" s="1"/>
  <c r="E17" i="44"/>
  <c r="I17" i="44" s="1"/>
  <c r="O17" i="44" s="1"/>
  <c r="Q17" i="44" s="1"/>
  <c r="E27" i="44"/>
  <c r="I27" i="44" s="1"/>
  <c r="O27" i="44" s="1"/>
  <c r="Q27" i="44" s="1"/>
  <c r="E15" i="44"/>
  <c r="I15" i="44" s="1"/>
  <c r="O15" i="44" s="1"/>
  <c r="Q15" i="44" s="1"/>
  <c r="E24" i="44"/>
  <c r="I24" i="44" s="1"/>
  <c r="O24" i="44" s="1"/>
  <c r="Q24" i="44" s="1"/>
  <c r="E8" i="44"/>
  <c r="I8" i="44" s="1"/>
  <c r="O8" i="44" s="1"/>
  <c r="Q8" i="44" s="1"/>
  <c r="I6" i="44" l="1"/>
  <c r="E44" i="44"/>
  <c r="E58" i="44" s="1"/>
  <c r="I44" i="44" l="1"/>
  <c r="I58" i="44" s="1"/>
  <c r="O6" i="44"/>
  <c r="O44" i="44" l="1"/>
  <c r="O58" i="44" s="1"/>
  <c r="Q6" i="44"/>
  <c r="Q44" i="44" s="1"/>
  <c r="Q58" i="44" s="1"/>
  <c r="F14" i="21" l="1"/>
  <c r="D14" i="21"/>
  <c r="D12" i="41"/>
  <c r="F12" i="41"/>
  <c r="B13" i="41"/>
  <c r="A9" i="41"/>
  <c r="A10" i="21"/>
  <c r="B13" i="21"/>
  <c r="A13" i="21"/>
  <c r="B11" i="21"/>
  <c r="D15" i="41"/>
  <c r="F15" i="41"/>
  <c r="D13" i="21"/>
  <c r="F13" i="21"/>
  <c r="E13" i="41"/>
  <c r="B10" i="41"/>
  <c r="B8" i="41"/>
  <c r="B12" i="21"/>
  <c r="E10" i="41"/>
  <c r="E10" i="21"/>
  <c r="A15" i="41"/>
  <c r="E12" i="41"/>
  <c r="E15" i="41"/>
  <c r="A14" i="41"/>
  <c r="A16" i="21"/>
  <c r="A12" i="41"/>
  <c r="A15" i="21"/>
  <c r="F10" i="21"/>
  <c r="D10" i="21"/>
  <c r="D27" i="41"/>
  <c r="D9" i="41"/>
  <c r="F9" i="41"/>
  <c r="F11" i="41"/>
  <c r="D11" i="41"/>
  <c r="E11" i="41"/>
  <c r="B12" i="41"/>
  <c r="F12" i="21"/>
  <c r="D12" i="21"/>
  <c r="A8" i="21"/>
  <c r="A13" i="41"/>
  <c r="D27" i="21"/>
  <c r="F9" i="21"/>
  <c r="D9" i="21"/>
  <c r="B9" i="41"/>
  <c r="E12" i="21"/>
  <c r="F10" i="41"/>
  <c r="D10" i="41"/>
  <c r="A14" i="21"/>
  <c r="F13" i="41"/>
  <c r="D13" i="41"/>
  <c r="A8" i="41"/>
  <c r="D11" i="21"/>
  <c r="F11" i="21"/>
  <c r="E11" i="21"/>
  <c r="F14" i="41"/>
  <c r="D14" i="41"/>
  <c r="A9" i="21"/>
  <c r="B10" i="21"/>
  <c r="A18" i="21"/>
  <c r="A10" i="41"/>
  <c r="E14" i="41"/>
  <c r="B8" i="21"/>
  <c r="A11" i="41"/>
  <c r="B15" i="41"/>
  <c r="B11" i="41"/>
  <c r="B15" i="21"/>
  <c r="F15" i="21"/>
  <c r="D15" i="21"/>
  <c r="A12" i="21"/>
  <c r="E15" i="21"/>
  <c r="E9" i="21"/>
  <c r="E14" i="21"/>
  <c r="E9" i="41"/>
  <c r="B9" i="21"/>
  <c r="A17" i="41"/>
  <c r="E13" i="21"/>
  <c r="A11" i="21"/>
  <c r="A17" i="21"/>
  <c r="A18" i="41"/>
  <c r="A16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D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O38" authorId="0" shapeId="0" xr:uid="{644EB3C0-18B6-4AB7-9C12-78B4441FEB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TYAM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40" authorId="0" shapeId="0" xr:uid="{060C0217-9A50-4B32-B3EF-61BD01A046C1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Q19" authorId="0" shapeId="0" xr:uid="{9A06B51B-C803-481D-A3F4-345CB9BB729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COMPTE DJOUKWE
290 000</t>
        </r>
      </text>
    </comment>
    <comment ref="Q31" authorId="0" shapeId="0" xr:uid="{410E626A-E9D1-47E0-A5FD-19549C28056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PRET</t>
        </r>
      </text>
    </comment>
    <comment ref="O38" authorId="0" shapeId="0" xr:uid="{1767280F-1AE5-4D58-BA66-99C1564320B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DETTE TYAM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15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8" authorId="0" shapeId="0" xr:uid="{43FF7474-92E1-4157-BE4C-58CE8A8432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BOISSON DALLE FOYER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G6" authorId="0" shapeId="0" xr:uid="{B854C6C6-3F1F-435A-98F8-C521F39CC5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BELLE MERE DJOUKWE
BELLE MERE MBOGNING
BELLE MERE MASSEUNGOUE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9" authorId="0" shapeId="0" xr:uid="{BFAB633E-08AE-40D0-820E-C1FFA985DB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PREFINANCEMENT</t>
        </r>
      </text>
    </comment>
    <comment ref="F10" authorId="0" shapeId="0" xr:uid="{4D9BFE8E-A4B5-4B79-9DFA-F6EA504A4B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PREFINANCEMENT</t>
        </r>
      </text>
    </comment>
    <comment ref="F11" authorId="0" shapeId="0" xr:uid="{23180DA8-C65D-4161-8474-669CBF38E2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PREFINANCEMENT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10" authorId="0" shapeId="0" xr:uid="{C9EB78EB-E5F3-4E81-9440-37EECF17A8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  <comment ref="E14" authorId="0" shapeId="0" xr:uid="{8EF5AA4C-A792-40EC-963D-7EF91D2A24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26 7500
TONTINE T25 DEC 2024
EPARGNE 516 250</t>
        </r>
      </text>
    </comment>
    <comment ref="F15" authorId="0" shapeId="0" xr:uid="{092DAE72-D73C-4FF4-A484-7B8EB81A1E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 COMPTE</t>
        </r>
      </text>
    </comment>
  </commentList>
</comments>
</file>

<file path=xl/sharedStrings.xml><?xml version="1.0" encoding="utf-8"?>
<sst xmlns="http://schemas.openxmlformats.org/spreadsheetml/2006/main" count="964" uniqueCount="223">
  <si>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</si>
  <si>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</si>
  <si>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</si>
  <si>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</si>
  <si>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</si>
  <si>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</si>
  <si>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</si>
  <si>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</si>
  <si>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</si>
  <si>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</si>
  <si>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</si>
  <si>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</si>
  <si>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</si>
  <si>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</si>
  <si>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</si>
  <si>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</si>
  <si>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</si>
  <si>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</si>
  <si>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</si>
  <si>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</si>
  <si>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</si>
  <si>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</si>
  <si>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</si>
  <si>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</si>
  <si>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</si>
  <si>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</si>
  <si>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</si>
  <si>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</si>
  <si>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</si>
  <si>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</si>
  <si>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</si>
  <si>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</si>
  <si>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</si>
  <si>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</si>
  <si>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</si>
  <si>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</si>
  <si>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</si>
  <si>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</si>
  <si>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</si>
  <si>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</si>
  <si>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</si>
  <si>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</si>
  <si>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</si>
  <si>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</si>
  <si>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</si>
  <si>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</si>
  <si>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</si>
  <si>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</si>
  <si>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</si>
  <si>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</si>
  <si>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</si>
  <si>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</si>
  <si>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NOM ET PRENOM</t>
  </si>
  <si>
    <t>RELIQUAT</t>
  </si>
  <si>
    <t>NOUVEAU FONDS</t>
  </si>
  <si>
    <t>COMPLEMENT FONDS</t>
  </si>
  <si>
    <t>COMPLEMENT MUTUELLE</t>
  </si>
  <si>
    <t>PENALITE</t>
  </si>
  <si>
    <t>FONDS GELE</t>
  </si>
  <si>
    <t>CHAISE</t>
  </si>
  <si>
    <t>TENUE</t>
  </si>
  <si>
    <t>INTERET BQUE AFRILAND</t>
  </si>
  <si>
    <t>AS201601</t>
  </si>
  <si>
    <t>AS201602</t>
  </si>
  <si>
    <t>AS201604</t>
  </si>
  <si>
    <t>AS201605</t>
  </si>
  <si>
    <t>AS201608</t>
  </si>
  <si>
    <t>AS201609</t>
  </si>
  <si>
    <t>AS201611</t>
  </si>
  <si>
    <t>AS201613</t>
  </si>
  <si>
    <t>AS201617</t>
  </si>
  <si>
    <t>AS201619</t>
  </si>
  <si>
    <t>AS201620</t>
  </si>
  <si>
    <t>AS201621</t>
  </si>
  <si>
    <t>AS201622</t>
  </si>
  <si>
    <t>AS201624</t>
  </si>
  <si>
    <t>AS201625</t>
  </si>
  <si>
    <t>AS201626</t>
  </si>
  <si>
    <t>AS201628</t>
  </si>
  <si>
    <t>AS201633</t>
  </si>
  <si>
    <t>AS201638</t>
  </si>
  <si>
    <t>AS201639</t>
  </si>
  <si>
    <t>AS201641</t>
  </si>
  <si>
    <t>AS201643</t>
  </si>
  <si>
    <t>AS201646</t>
  </si>
  <si>
    <t>AS201647</t>
  </si>
  <si>
    <t>AS201649</t>
  </si>
  <si>
    <t>AS201651</t>
  </si>
  <si>
    <t>AS201652</t>
  </si>
  <si>
    <t>AS201653</t>
  </si>
  <si>
    <t>AS201648</t>
  </si>
  <si>
    <t>PRÊT</t>
  </si>
  <si>
    <t>INTERET</t>
  </si>
  <si>
    <t>REMBOURSEMENT</t>
  </si>
  <si>
    <t>ASSOCIATION</t>
  </si>
  <si>
    <t>ASELBY</t>
  </si>
  <si>
    <t>MATRICULE</t>
  </si>
  <si>
    <t>REPARTITION INTERET</t>
  </si>
  <si>
    <t>REPARTITION PENALITE REMBOURSEMENT PRÊT</t>
  </si>
  <si>
    <t>REPARTITION COLLATION</t>
  </si>
  <si>
    <t>TOTAL RETENU</t>
  </si>
  <si>
    <t>TOTAL  A PERCEVOIR</t>
  </si>
  <si>
    <t>MONTANT PERCU</t>
  </si>
  <si>
    <t>AS201654</t>
  </si>
  <si>
    <t>AS201656</t>
  </si>
  <si>
    <t>AS201612</t>
  </si>
  <si>
    <t>AS201623</t>
  </si>
  <si>
    <t>SYNTHESE DES COMPTES</t>
  </si>
  <si>
    <t>NUMERO ORDRE</t>
  </si>
  <si>
    <t>FONDS DE CAISSE ET RELIQUAT</t>
  </si>
  <si>
    <t>PENALITES</t>
  </si>
  <si>
    <t>TONTINE DE PRESENCE</t>
  </si>
  <si>
    <t>RECOUVREMENT POUR LA'AGWEU</t>
  </si>
  <si>
    <t>CHAISES</t>
  </si>
  <si>
    <t>DIVERS</t>
  </si>
  <si>
    <t>TENUES</t>
  </si>
  <si>
    <t>FONDS GELES</t>
  </si>
  <si>
    <t>INTERETS ET AUTRES</t>
  </si>
  <si>
    <t>INTERET TONTINE 100</t>
  </si>
  <si>
    <t>DISPOSITION DES FONDS</t>
  </si>
  <si>
    <t>COMPTE CCA AU 30/12/2022</t>
  </si>
  <si>
    <t>COMPTE MC²(NON ACTUALISE)</t>
  </si>
  <si>
    <t>DETTE PREFINANCEMENT LA'AGWEU</t>
  </si>
  <si>
    <t>DETTE MR KOUATCHO</t>
  </si>
  <si>
    <t>RESTE A RECUPERE AU CONSEIL</t>
  </si>
  <si>
    <t>FONDS EN CIRCULATION</t>
  </si>
  <si>
    <t>DETTES TONTINES</t>
  </si>
  <si>
    <t>AS201657</t>
  </si>
  <si>
    <t>AS201658</t>
  </si>
  <si>
    <t>INTERET TONTINE</t>
  </si>
  <si>
    <t>MONTANT</t>
  </si>
  <si>
    <t>SORTIE</t>
  </si>
  <si>
    <t>DATE</t>
  </si>
  <si>
    <t>LIBELLE</t>
  </si>
  <si>
    <t>ENTREE</t>
  </si>
  <si>
    <t>VERSE DANS LE COMPTE CONSEIL</t>
  </si>
  <si>
    <t>FRAIS EXCEPTIONNELLE</t>
  </si>
  <si>
    <t>FONDS MUTUELLE</t>
  </si>
  <si>
    <t>ECHEANCE</t>
  </si>
  <si>
    <t>LISTE ROUGE</t>
  </si>
  <si>
    <t>PAIEMENT</t>
  </si>
  <si>
    <t>FOTSO THOMAS</t>
  </si>
  <si>
    <t>OBSERVATIONS</t>
  </si>
  <si>
    <t>NKEHE DAVID</t>
  </si>
  <si>
    <t>TYAM ERNEST</t>
  </si>
  <si>
    <t>SIMO FONGANG ERIC</t>
  </si>
  <si>
    <t>A REVERSER</t>
  </si>
  <si>
    <t>TCHOUANTE FRANCOIS</t>
  </si>
  <si>
    <t>CHINGUE FABRICE</t>
  </si>
  <si>
    <t>NJEPDIO MBOUKAM DELUXE</t>
  </si>
  <si>
    <t>YEPMOU JEAN JACQUES</t>
  </si>
  <si>
    <t>TCHOUTOU NANA CLAUDE</t>
  </si>
  <si>
    <t>RECONDUCTION</t>
  </si>
  <si>
    <t>MONTANT PAIEMENT ESPECES</t>
  </si>
  <si>
    <t>MONTANT SANCTION</t>
  </si>
  <si>
    <t>COMPLEMENT</t>
  </si>
  <si>
    <t>T25</t>
  </si>
  <si>
    <t>T75</t>
  </si>
  <si>
    <t>T100</t>
  </si>
  <si>
    <t>TOTAL INTERET</t>
  </si>
  <si>
    <t>INTERET ADHERENT</t>
  </si>
  <si>
    <t>T0TAL</t>
  </si>
  <si>
    <t>2023-2024</t>
  </si>
  <si>
    <t>AS201661</t>
  </si>
  <si>
    <t>AS201660</t>
  </si>
  <si>
    <t>AS201659</t>
  </si>
  <si>
    <t>COMMISSION</t>
  </si>
  <si>
    <t>PRODUCTION RAPPORT</t>
  </si>
  <si>
    <t>INTERET COMPTE AFRILAND</t>
  </si>
  <si>
    <t>TAXI BANQUE</t>
  </si>
  <si>
    <t>FONDS LIQUIDE</t>
  </si>
  <si>
    <t>AGIOS</t>
  </si>
  <si>
    <t>FEVRIER</t>
  </si>
  <si>
    <t>AUTRES DEPENSES</t>
  </si>
  <si>
    <t>AGIO</t>
  </si>
  <si>
    <t>INTERET CREDITEUR</t>
  </si>
  <si>
    <t>DETTE PRÊT FONDS</t>
  </si>
  <si>
    <t>CLIENTS DOUTEUX</t>
  </si>
  <si>
    <t>FONGANG ERIC</t>
  </si>
  <si>
    <t>TERRAIN</t>
  </si>
  <si>
    <t>INTERET EPARGNE</t>
  </si>
  <si>
    <t>AS201663</t>
  </si>
  <si>
    <t>AS201629</t>
  </si>
  <si>
    <t>AS201662</t>
  </si>
  <si>
    <t>RECONDUCTION 2025</t>
  </si>
  <si>
    <t>GRATIFICATION 2024</t>
  </si>
  <si>
    <t>SOLDE TERRAIN</t>
  </si>
  <si>
    <t>AVANCE DOSSIER NOTAIRE</t>
  </si>
  <si>
    <t>OBSEQUES SIMO PIERRE</t>
  </si>
  <si>
    <t>FUNERAILLES DJOUKWE</t>
  </si>
  <si>
    <t>FUNERAIIES BELLE MERE MBONING</t>
  </si>
  <si>
    <t>FUNERAIIES BELLE MERE MASSANGO</t>
  </si>
  <si>
    <t>AIDE</t>
  </si>
  <si>
    <t>FONDS DE CAISSE ET RECONDUCTION</t>
  </si>
  <si>
    <t>PENALITES PAIEMENT ESPECES</t>
  </si>
  <si>
    <t>INTERET BANCAIRE</t>
  </si>
  <si>
    <t>SANCTIONS</t>
  </si>
  <si>
    <t>AIDES LAGWE NON REVERSEES</t>
  </si>
  <si>
    <t>COMPTE CCA AU 30/12/2021</t>
  </si>
  <si>
    <t>CAISSE MBOGNING 60 000 DJOUKWE 90 000)</t>
  </si>
  <si>
    <t>DONS FOYER</t>
  </si>
  <si>
    <t>TOTAL  A DISTRIBUER</t>
  </si>
  <si>
    <t>MONTANT PERCU EN ESPECES</t>
  </si>
  <si>
    <t>MONTANT PERCU CHEQUE</t>
  </si>
  <si>
    <t>NUM</t>
  </si>
  <si>
    <t>LIBELLES</t>
  </si>
  <si>
    <t>DEBIT</t>
  </si>
  <si>
    <t>CREDIT</t>
  </si>
  <si>
    <t>FONDS</t>
  </si>
  <si>
    <t>EPARGNE ANNUELLE JANV A FEVRIER</t>
  </si>
  <si>
    <t>INTERET TONTINE DE 100 000</t>
  </si>
  <si>
    <t>INTERET TONTINE DE PRESENCE</t>
  </si>
  <si>
    <t>INTERET ANNUEL</t>
  </si>
  <si>
    <t>SITUATION LIQUIDATION SIME PIERRE</t>
  </si>
  <si>
    <t>SOLDE PRÊT EPARGNE</t>
  </si>
  <si>
    <t>SOLDE TONTINE DE 100 000</t>
  </si>
  <si>
    <t>SOLDE TONTINE PRESENCE</t>
  </si>
  <si>
    <t>PRÊT INTERET TONTINE DE PRESENCE</t>
  </si>
  <si>
    <t>TOTAUX</t>
  </si>
  <si>
    <t>SOLDE A REMETTRE A LA FAMILLE</t>
  </si>
  <si>
    <t>FUNERAIIES BEAU PERE BRICE</t>
  </si>
  <si>
    <t>DECES MERE NOUBE</t>
  </si>
  <si>
    <t>COMMISSION TERRAIN OLEMBE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</si>
</sst>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[$-40C]mmm\-yy;@"/>
    <numFmt numFmtId="166" formatCode="#,##0;[Red]#,##0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b/>
      <sz val="14"/>
      <color theme="1"/>
      <name val="Britannic Bold"/>
      <family val="2"/>
    </font>
    <font>
      <b/>
      <sz val="20"/>
      <color theme="1"/>
      <name val="Calibri"/>
      <family val="2"/>
      <scheme val="minor"/>
    </font>
    <font>
      <sz val="14"/>
      <color theme="1"/>
      <name val="Britannic Bold"/>
      <family val="2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4"/>
      <color rgb="FFFF0000"/>
      <name val="Britannic Bold"/>
      <family val="2"/>
    </font>
    <font>
      <sz val="16"/>
      <color rgb="FFFF0000"/>
      <name val="Britannic Bold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B05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4"/>
      <color rgb="FF0070C0"/>
      <name val="Britannic Bold"/>
      <family val="2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</fills>
  <borders count="24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2" fillId="0" borderId="5" xfId="0" applyFont="1" applyBorder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0" fontId="7" fillId="0" borderId="0" xfId="0" applyFont="1" applyAlignment="1">
      <alignment horizontal="center"/>
    </xf>
    <xf numFmtId="3" fontId="2" fillId="0" borderId="0" xfId="0" applyNumberFormat="1" applyFont="1"/>
    <xf numFmtId="3" fontId="2" fillId="2" borderId="11" xfId="0" applyNumberFormat="1" applyFont="1" applyFill="1" applyBorder="1" applyAlignment="1">
      <alignment horizontal="center" wrapText="1"/>
    </xf>
    <xf numFmtId="0" fontId="0" fillId="0" borderId="12" xfId="0" applyBorder="1"/>
    <xf numFmtId="3" fontId="4" fillId="0" borderId="12" xfId="0" applyNumberFormat="1" applyFont="1" applyBorder="1"/>
    <xf numFmtId="0" fontId="0" fillId="0" borderId="0" xfId="0" applyAlignment="1">
      <alignment horizontal="center"/>
    </xf>
    <xf numFmtId="17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wrapText="1"/>
    </xf>
    <xf numFmtId="3" fontId="2" fillId="3" borderId="3" xfId="0" applyNumberFormat="1" applyFont="1" applyFill="1" applyBorder="1" applyAlignment="1">
      <alignment wrapText="1"/>
    </xf>
    <xf numFmtId="3" fontId="13" fillId="0" borderId="5" xfId="0" applyNumberFormat="1" applyFont="1" applyBorder="1"/>
    <xf numFmtId="0" fontId="0" fillId="0" borderId="5" xfId="0" applyNumberFormat="1" applyBorder="1"/>
    <xf numFmtId="0" fontId="1" fillId="0" borderId="4" xfId="0" applyFont="1" applyBorder="1"/>
    <xf numFmtId="0" fontId="1" fillId="0" borderId="4" xfId="0" applyNumberFormat="1" applyFont="1" applyBorder="1"/>
    <xf numFmtId="0" fontId="2" fillId="0" borderId="8" xfId="0" applyFont="1" applyBorder="1"/>
    <xf numFmtId="3" fontId="16" fillId="0" borderId="8" xfId="0" applyNumberFormat="1" applyFont="1" applyBorder="1"/>
    <xf numFmtId="3" fontId="16" fillId="0" borderId="9" xfId="0" applyNumberFormat="1" applyFont="1" applyBorder="1"/>
    <xf numFmtId="0" fontId="7" fillId="0" borderId="0" xfId="0" applyFont="1" applyAlignment="1">
      <alignment horizontal="center"/>
    </xf>
    <xf numFmtId="3" fontId="17" fillId="0" borderId="5" xfId="0" applyNumberFormat="1" applyFont="1" applyBorder="1"/>
    <xf numFmtId="0" fontId="0" fillId="0" borderId="13" xfId="0" applyBorder="1"/>
    <xf numFmtId="0" fontId="2" fillId="0" borderId="14" xfId="0" applyFont="1" applyBorder="1"/>
    <xf numFmtId="3" fontId="2" fillId="0" borderId="14" xfId="0" applyNumberFormat="1" applyFont="1" applyBorder="1"/>
    <xf numFmtId="3" fontId="3" fillId="0" borderId="14" xfId="0" applyNumberFormat="1" applyFont="1" applyBorder="1"/>
    <xf numFmtId="3" fontId="2" fillId="0" borderId="15" xfId="0" applyNumberFormat="1" applyFont="1" applyBorder="1"/>
    <xf numFmtId="0" fontId="0" fillId="0" borderId="7" xfId="0" applyBorder="1"/>
    <xf numFmtId="0" fontId="18" fillId="0" borderId="8" xfId="0" applyFont="1" applyBorder="1"/>
    <xf numFmtId="3" fontId="18" fillId="0" borderId="8" xfId="0" applyNumberFormat="1" applyFont="1" applyBorder="1"/>
    <xf numFmtId="0" fontId="0" fillId="0" borderId="0" xfId="0" applyBorder="1"/>
    <xf numFmtId="0" fontId="2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 applyBorder="1"/>
    <xf numFmtId="0" fontId="0" fillId="0" borderId="1" xfId="0" applyBorder="1"/>
    <xf numFmtId="0" fontId="0" fillId="0" borderId="2" xfId="0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0" borderId="6" xfId="0" applyNumberFormat="1" applyFont="1" applyBorder="1"/>
    <xf numFmtId="3" fontId="1" fillId="0" borderId="0" xfId="0" applyNumberFormat="1" applyFont="1" applyBorder="1"/>
    <xf numFmtId="3" fontId="0" fillId="0" borderId="0" xfId="0" applyNumberFormat="1" applyBorder="1"/>
    <xf numFmtId="0" fontId="1" fillId="0" borderId="0" xfId="0" applyFont="1" applyBorder="1"/>
    <xf numFmtId="3" fontId="14" fillId="0" borderId="0" xfId="0" applyNumberFormat="1" applyFont="1" applyBorder="1"/>
    <xf numFmtId="0" fontId="2" fillId="0" borderId="16" xfId="0" applyFont="1" applyBorder="1"/>
    <xf numFmtId="0" fontId="3" fillId="0" borderId="7" xfId="0" applyFont="1" applyBorder="1"/>
    <xf numFmtId="0" fontId="3" fillId="0" borderId="8" xfId="0" applyFont="1" applyBorder="1"/>
    <xf numFmtId="3" fontId="21" fillId="0" borderId="8" xfId="0" applyNumberFormat="1" applyFont="1" applyBorder="1"/>
    <xf numFmtId="3" fontId="18" fillId="0" borderId="9" xfId="0" applyNumberFormat="1" applyFont="1" applyBorder="1"/>
    <xf numFmtId="3" fontId="3" fillId="0" borderId="0" xfId="0" applyNumberFormat="1" applyFont="1"/>
    <xf numFmtId="0" fontId="1" fillId="0" borderId="12" xfId="0" applyFont="1" applyBorder="1"/>
    <xf numFmtId="3" fontId="3" fillId="0" borderId="12" xfId="0" applyNumberFormat="1" applyFont="1" applyBorder="1"/>
    <xf numFmtId="0" fontId="22" fillId="0" borderId="7" xfId="0" applyFont="1" applyBorder="1"/>
    <xf numFmtId="3" fontId="22" fillId="0" borderId="8" xfId="0" applyNumberFormat="1" applyFont="1" applyBorder="1"/>
    <xf numFmtId="3" fontId="22" fillId="0" borderId="9" xfId="0" applyNumberFormat="1" applyFont="1" applyBorder="1"/>
    <xf numFmtId="0" fontId="2" fillId="0" borderId="10" xfId="0" applyFont="1" applyBorder="1"/>
    <xf numFmtId="0" fontId="0" fillId="0" borderId="0" xfId="0" applyAlignment="1">
      <alignment horizontal="center" vertical="center"/>
    </xf>
    <xf numFmtId="0" fontId="23" fillId="0" borderId="5" xfId="0" applyFont="1" applyBorder="1"/>
    <xf numFmtId="3" fontId="24" fillId="0" borderId="5" xfId="0" applyNumberFormat="1" applyFont="1" applyBorder="1"/>
    <xf numFmtId="3" fontId="24" fillId="0" borderId="6" xfId="0" applyNumberFormat="1" applyFont="1" applyBorder="1"/>
    <xf numFmtId="3" fontId="18" fillId="0" borderId="5" xfId="0" applyNumberFormat="1" applyFont="1" applyBorder="1"/>
    <xf numFmtId="3" fontId="18" fillId="0" borderId="6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0" fontId="23" fillId="0" borderId="4" xfId="0" applyFont="1" applyBorder="1"/>
    <xf numFmtId="3" fontId="18" fillId="0" borderId="17" xfId="0" applyNumberFormat="1" applyFont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3" fontId="18" fillId="0" borderId="2" xfId="0" applyNumberFormat="1" applyFont="1" applyBorder="1"/>
    <xf numFmtId="3" fontId="2" fillId="0" borderId="5" xfId="0" applyNumberFormat="1" applyFont="1" applyBorder="1" applyAlignment="1">
      <alignment horizontal="center" vertical="center"/>
    </xf>
    <xf numFmtId="3" fontId="25" fillId="0" borderId="5" xfId="0" applyNumberFormat="1" applyFont="1" applyBorder="1"/>
    <xf numFmtId="3" fontId="26" fillId="0" borderId="6" xfId="0" applyNumberFormat="1" applyFont="1" applyBorder="1"/>
    <xf numFmtId="165" fontId="0" fillId="0" borderId="5" xfId="0" applyNumberFormat="1" applyBorder="1"/>
    <xf numFmtId="3" fontId="18" fillId="0" borderId="2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5" fontId="27" fillId="0" borderId="6" xfId="0" applyNumberFormat="1" applyFont="1" applyBorder="1"/>
    <xf numFmtId="3" fontId="2" fillId="0" borderId="3" xfId="0" applyNumberFormat="1" applyFont="1" applyFill="1" applyBorder="1" applyAlignment="1">
      <alignment horizontal="center" vertical="center"/>
    </xf>
    <xf numFmtId="0" fontId="0" fillId="0" borderId="9" xfId="0" applyBorder="1"/>
    <xf numFmtId="3" fontId="21" fillId="0" borderId="5" xfId="0" applyNumberFormat="1" applyFont="1" applyBorder="1"/>
    <xf numFmtId="3" fontId="28" fillId="0" borderId="5" xfId="0" applyNumberFormat="1" applyFont="1" applyBorder="1"/>
    <xf numFmtId="3" fontId="2" fillId="0" borderId="11" xfId="0" applyNumberFormat="1" applyFont="1" applyBorder="1" applyAlignment="1">
      <alignment horizontal="center" vertical="center"/>
    </xf>
    <xf numFmtId="3" fontId="21" fillId="0" borderId="12" xfId="0" applyNumberFormat="1" applyFont="1" applyBorder="1"/>
    <xf numFmtId="3" fontId="25" fillId="0" borderId="12" xfId="0" applyNumberFormat="1" applyFont="1" applyBorder="1"/>
    <xf numFmtId="3" fontId="16" fillId="0" borderId="22" xfId="0" applyNumberFormat="1" applyFont="1" applyBorder="1"/>
    <xf numFmtId="3" fontId="16" fillId="0" borderId="5" xfId="0" applyNumberFormat="1" applyFont="1" applyBorder="1"/>
    <xf numFmtId="3" fontId="16" fillId="0" borderId="6" xfId="0" applyNumberFormat="1" applyFont="1" applyBorder="1"/>
    <xf numFmtId="0" fontId="0" fillId="0" borderId="14" xfId="0" applyBorder="1"/>
    <xf numFmtId="0" fontId="0" fillId="0" borderId="15" xfId="0" applyBorder="1"/>
    <xf numFmtId="0" fontId="29" fillId="0" borderId="0" xfId="0" applyFont="1"/>
    <xf numFmtId="3" fontId="17" fillId="0" borderId="16" xfId="0" applyNumberFormat="1" applyFont="1" applyBorder="1"/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17" xfId="0" applyNumberFormat="1" applyFont="1" applyBorder="1"/>
    <xf numFmtId="0" fontId="0" fillId="0" borderId="18" xfId="0" applyBorder="1"/>
    <xf numFmtId="3" fontId="21" fillId="0" borderId="6" xfId="0" applyNumberFormat="1" applyFont="1" applyBorder="1"/>
    <xf numFmtId="0" fontId="1" fillId="0" borderId="23" xfId="0" applyNumberFormat="1" applyFont="1" applyBorder="1"/>
    <xf numFmtId="0" fontId="0" fillId="0" borderId="8" xfId="0" applyBorder="1"/>
    <xf numFmtId="0" fontId="2" fillId="0" borderId="23" xfId="0" applyFont="1" applyBorder="1"/>
    <xf numFmtId="0" fontId="2" fillId="0" borderId="17" xfId="0" applyFont="1" applyBorder="1"/>
    <xf numFmtId="0" fontId="0" fillId="0" borderId="17" xfId="0" applyBorder="1"/>
    <xf numFmtId="3" fontId="21" fillId="0" borderId="9" xfId="0" applyNumberFormat="1" applyFont="1" applyBorder="1"/>
    <xf numFmtId="0" fontId="0" fillId="0" borderId="3" xfId="0" applyBorder="1"/>
    <xf numFmtId="3" fontId="26" fillId="0" borderId="5" xfId="0" applyNumberFormat="1" applyFont="1" applyBorder="1"/>
    <xf numFmtId="3" fontId="17" fillId="0" borderId="4" xfId="0" applyNumberFormat="1" applyFont="1" applyBorder="1"/>
    <xf numFmtId="3" fontId="1" fillId="0" borderId="6" xfId="0" applyNumberFormat="1" applyFont="1" applyBorder="1"/>
    <xf numFmtId="0" fontId="10" fillId="0" borderId="5" xfId="0" applyFont="1" applyBorder="1"/>
    <xf numFmtId="3" fontId="10" fillId="0" borderId="5" xfId="0" applyNumberFormat="1" applyFont="1" applyBorder="1"/>
    <xf numFmtId="3" fontId="10" fillId="0" borderId="6" xfId="0" applyNumberFormat="1" applyFont="1" applyBorder="1"/>
    <xf numFmtId="0" fontId="10" fillId="0" borderId="6" xfId="0" applyFont="1" applyBorder="1"/>
    <xf numFmtId="166" fontId="10" fillId="0" borderId="6" xfId="0" applyNumberFormat="1" applyFont="1" applyBorder="1"/>
    <xf numFmtId="0" fontId="30" fillId="0" borderId="0" xfId="0" applyFo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0" xfId="0" applyAlignment="1">
      <alignment horizontal="center"/>
    </xf>
    <xf numFmtId="3" fontId="2" fillId="3" borderId="0" xfId="0" applyNumberFormat="1" applyFont="1" applyFill="1" applyBorder="1" applyAlignment="1">
      <alignment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9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18" fillId="0" borderId="2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18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AUTREMOUVEMEN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ADHEREN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LISTEFONDSCAISSE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24%20-%20Copie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AUTREMOUVEM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TONTINE75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5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75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10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AIDEDEPE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  <cell r="I5" t="str">
            <v>ACTIF</v>
          </cell>
          <cell r="J5">
            <v>44958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  <cell r="I6" t="str">
            <v>ACTIF</v>
          </cell>
          <cell r="J6">
            <v>45017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  <cell r="I7" t="str">
            <v>ACTIF</v>
          </cell>
          <cell r="J7">
            <v>45139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  <cell r="I8" t="str">
            <v>ACTIF</v>
          </cell>
          <cell r="J8">
            <v>45170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  <cell r="J9">
            <v>45413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  <cell r="I10" t="str">
            <v>ACTIF</v>
          </cell>
          <cell r="J10">
            <v>45474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  <cell r="I11" t="str">
            <v>ACTIF</v>
          </cell>
          <cell r="J11">
            <v>45536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  <cell r="I12" t="str">
            <v>ACTIF</v>
          </cell>
          <cell r="J12">
            <v>45627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  <cell r="I13" t="str">
            <v>ACTIF</v>
          </cell>
          <cell r="J13">
            <v>44348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  <cell r="I14" t="str">
            <v>ACTIF</v>
          </cell>
          <cell r="J14">
            <v>44986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I15" t="str">
            <v>ACTIF</v>
          </cell>
          <cell r="J15">
            <v>44378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  <cell r="I16" t="str">
            <v>ACTIF</v>
          </cell>
          <cell r="J16">
            <v>44256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  <cell r="I17" t="str">
            <v>ACTIF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  <cell r="I18" t="str">
            <v>ACTIF</v>
          </cell>
          <cell r="J18">
            <v>45047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  <cell r="I19" t="str">
            <v>ACTIF</v>
          </cell>
          <cell r="J19">
            <v>45078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  <cell r="I20" t="str">
            <v>ACTIF</v>
          </cell>
          <cell r="J20">
            <v>45078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  <cell r="I21" t="str">
            <v>ACTIF</v>
          </cell>
          <cell r="J21">
            <v>45047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  <cell r="I22" t="str">
            <v>ACTIF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  <cell r="I23" t="str">
            <v>ACTIF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  <cell r="I24" t="str">
            <v>ACTIF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  <cell r="I25" t="str">
            <v>ACTIF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  <cell r="I26" t="str">
            <v>ACTIF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  <cell r="I27" t="str">
            <v>ACTIF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I28" t="str">
            <v>ACTIF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  <cell r="I29" t="str">
            <v>ACTIF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  <cell r="I30" t="str">
            <v>ACTIF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I31" t="str">
            <v>ACTIF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I32" t="str">
            <v>ACTIF</v>
          </cell>
          <cell r="J32">
            <v>45017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I33" t="str">
            <v>ACTIF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  <cell r="I34" t="str">
            <v>ACTIF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  <cell r="I40" t="str">
            <v>ACTIF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DEC24"/>
      <sheetName val="MVTJANV25"/>
      <sheetName val="MVTFEV25"/>
      <sheetName val="MVTMARS25"/>
      <sheetName val="MVTAVRIL25"/>
      <sheetName val="MVTMAI25"/>
      <sheetName val="MVTJUIN25"/>
      <sheetName val="MVTJUIL25"/>
      <sheetName val="MVTAOUT25"/>
      <sheetName val="MVTSEPT25"/>
      <sheetName val="MVTOCT25"/>
      <sheetName val="MVTNOV25"/>
      <sheetName val="MVTDEC25"/>
      <sheetName val="MVTRESUME25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  <sheetName val="MVTRESUME2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A6" t="str">
            <v>AS201648</v>
          </cell>
          <cell r="B6" t="str">
            <v>ASELBY</v>
          </cell>
          <cell r="F6">
            <v>1186480.0907937791</v>
          </cell>
          <cell r="G6">
            <v>1177287.7862270027</v>
          </cell>
          <cell r="H6">
            <v>32384.458411749209</v>
          </cell>
          <cell r="I6">
            <v>1218864.5492055283</v>
          </cell>
          <cell r="J6">
            <v>0</v>
          </cell>
          <cell r="K6">
            <v>0</v>
          </cell>
          <cell r="L6">
            <v>80000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52000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1110535.1106927884</v>
          </cell>
          <cell r="G7">
            <v>954953.91223464545</v>
          </cell>
          <cell r="H7">
            <v>32503.14073090786</v>
          </cell>
          <cell r="I7">
            <v>1143038.2514236963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>
            <v>20000</v>
          </cell>
          <cell r="U7">
            <v>0</v>
          </cell>
          <cell r="V7">
            <v>1000000</v>
          </cell>
          <cell r="W7" t="str">
            <v>ESPECES</v>
          </cell>
          <cell r="X7" t="str">
            <v>BANQUE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1238945.3093471788</v>
          </cell>
          <cell r="G8">
            <v>1096297.3174913663</v>
          </cell>
          <cell r="H8">
            <v>36261.450322347766</v>
          </cell>
          <cell r="I8">
            <v>1275206.7596695265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10000</v>
          </cell>
          <cell r="U8">
            <v>0</v>
          </cell>
          <cell r="V8">
            <v>500000</v>
          </cell>
          <cell r="W8" t="str">
            <v>ESPECES</v>
          </cell>
          <cell r="X8" t="str">
            <v>BANQUE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1102653.0349018206</v>
          </cell>
          <cell r="G9">
            <v>961137.3183641315</v>
          </cell>
          <cell r="H9">
            <v>32272.448142966463</v>
          </cell>
          <cell r="I9">
            <v>1134925.4830447871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 t="str">
            <v>ESPECES</v>
          </cell>
          <cell r="X9" t="str">
            <v>BANQUE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1111024.2029457784</v>
          </cell>
          <cell r="G10">
            <v>971425.7308667925</v>
          </cell>
          <cell r="H10">
            <v>32517.455482576912</v>
          </cell>
          <cell r="I10">
            <v>1143541.6584283554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1000000</v>
          </cell>
          <cell r="W10" t="str">
            <v>ESPECES</v>
          </cell>
          <cell r="X10" t="str">
            <v>BANQUE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1353375.1832320688</v>
          </cell>
          <cell r="G11">
            <v>960862.96530022437</v>
          </cell>
          <cell r="H11">
            <v>39610.583779623492</v>
          </cell>
          <cell r="I11">
            <v>1392985.7670116923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1000000</v>
          </cell>
          <cell r="T11">
            <v>120000</v>
          </cell>
          <cell r="U11">
            <v>0</v>
          </cell>
          <cell r="V11">
            <v>1000000</v>
          </cell>
          <cell r="W11" t="str">
            <v>ESPECES</v>
          </cell>
          <cell r="X11" t="str">
            <v>BANQUE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100000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2108766.2464228673</v>
          </cell>
          <cell r="G12">
            <v>1680370.9161111314</v>
          </cell>
          <cell r="H12">
            <v>61719.368812492852</v>
          </cell>
          <cell r="I12">
            <v>2170485.6152353603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60000</v>
          </cell>
          <cell r="U12">
            <v>0</v>
          </cell>
          <cell r="V12">
            <v>0</v>
          </cell>
          <cell r="W12">
            <v>0</v>
          </cell>
          <cell r="X12" t="str">
            <v>BANQUE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1102352.388588395</v>
          </cell>
          <cell r="G13">
            <v>960839.16973006097</v>
          </cell>
          <cell r="H13">
            <v>32263.648826905752</v>
          </cell>
          <cell r="I13">
            <v>1134616.0374153007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1852068.1319297918</v>
          </cell>
          <cell r="G14">
            <v>1707311.1164119579</v>
          </cell>
          <cell r="H14">
            <v>54206.328602965223</v>
          </cell>
          <cell r="I14">
            <v>1906274.460532757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1832255.3358519438</v>
          </cell>
          <cell r="G15">
            <v>95000</v>
          </cell>
          <cell r="H15">
            <v>49206.9798240737</v>
          </cell>
          <cell r="I15">
            <v>1881462.3156760174</v>
          </cell>
          <cell r="J15">
            <v>0</v>
          </cell>
          <cell r="K15">
            <v>25000</v>
          </cell>
          <cell r="L15">
            <v>19000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1124150.586920389</v>
          </cell>
          <cell r="G16">
            <v>982672.27536945511</v>
          </cell>
          <cell r="H16">
            <v>32140.670499049585</v>
          </cell>
          <cell r="I16">
            <v>1156291.2574194386</v>
          </cell>
          <cell r="J16">
            <v>0</v>
          </cell>
          <cell r="K16">
            <v>25000</v>
          </cell>
          <cell r="L16">
            <v>45000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1390530.5257330714</v>
          </cell>
          <cell r="G17">
            <v>1092859.9095470994</v>
          </cell>
          <cell r="H17">
            <v>40698.04631420449</v>
          </cell>
          <cell r="I17">
            <v>1431228.572047276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400000</v>
          </cell>
          <cell r="T17">
            <v>8000</v>
          </cell>
          <cell r="U17">
            <v>0</v>
          </cell>
          <cell r="V17">
            <v>400000</v>
          </cell>
          <cell r="W17" t="str">
            <v>ESPECES</v>
          </cell>
          <cell r="X17" t="str">
            <v>BANQUE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1099338.9477266029</v>
          </cell>
          <cell r="G18">
            <v>960826.30000484944</v>
          </cell>
          <cell r="H18">
            <v>32175.451442174715</v>
          </cell>
          <cell r="I18">
            <v>1131514.3991687775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525000</v>
          </cell>
          <cell r="T18">
            <v>5250</v>
          </cell>
          <cell r="U18">
            <v>0</v>
          </cell>
          <cell r="V18">
            <v>500000</v>
          </cell>
          <cell r="W18" t="str">
            <v>ESPECES</v>
          </cell>
          <cell r="X18" t="str">
            <v>BANQUE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1212863.7819225998</v>
          </cell>
          <cell r="G19">
            <v>1014742.1499443398</v>
          </cell>
          <cell r="H19">
            <v>35498.096198560292</v>
          </cell>
          <cell r="I19">
            <v>1248361.87812116</v>
          </cell>
          <cell r="J19">
            <v>0</v>
          </cell>
          <cell r="K19">
            <v>35000</v>
          </cell>
          <cell r="L19">
            <v>29000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  <cell r="W19" t="str">
            <v>ESPECES</v>
          </cell>
          <cell r="X19" t="str">
            <v>BANQUE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500000</v>
          </cell>
          <cell r="J20">
            <v>0</v>
          </cell>
          <cell r="K20">
            <v>0</v>
          </cell>
          <cell r="L20">
            <v>50000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1259319.0661270553</v>
          </cell>
          <cell r="G21">
            <v>1116501.8152135806</v>
          </cell>
          <cell r="H21">
            <v>36857.749419474472</v>
          </cell>
          <cell r="I21">
            <v>1296176.8155465298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1109574.0770415631</v>
          </cell>
          <cell r="G22">
            <v>963129.9808177395</v>
          </cell>
          <cell r="H22">
            <v>32475.013198772991</v>
          </cell>
          <cell r="I22">
            <v>1142049.090240336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>
            <v>120000</v>
          </cell>
          <cell r="U22">
            <v>0</v>
          </cell>
          <cell r="V22">
            <v>1000000</v>
          </cell>
          <cell r="W22" t="str">
            <v>ESPECES</v>
          </cell>
          <cell r="X22" t="str">
            <v>BANQUE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1103924.833695306</v>
          </cell>
          <cell r="G23">
            <v>962398.55143487593</v>
          </cell>
          <cell r="H23">
            <v>32309.671149036272</v>
          </cell>
          <cell r="I23">
            <v>1136234.5048443424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1216595.3035233701</v>
          </cell>
          <cell r="G24">
            <v>1075512.0669967243</v>
          </cell>
          <cell r="H24">
            <v>30748.822502647872</v>
          </cell>
          <cell r="I24">
            <v>1247344.1260260178</v>
          </cell>
          <cell r="J24">
            <v>0</v>
          </cell>
          <cell r="K24">
            <v>25000</v>
          </cell>
          <cell r="L24">
            <v>185000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>
            <v>108000</v>
          </cell>
          <cell r="U24">
            <v>0</v>
          </cell>
          <cell r="V24">
            <v>900000</v>
          </cell>
          <cell r="W24" t="str">
            <v>EN COMPTE</v>
          </cell>
          <cell r="X24" t="str">
            <v>BANQUE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1493704.2518677169</v>
          </cell>
          <cell r="G25">
            <v>1279279.1644260087</v>
          </cell>
          <cell r="H25">
            <v>43717.734848135246</v>
          </cell>
          <cell r="I25">
            <v>1537421.9867158521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500000</v>
          </cell>
          <cell r="T25">
            <v>30000</v>
          </cell>
          <cell r="U25">
            <v>0</v>
          </cell>
          <cell r="V25">
            <v>500000</v>
          </cell>
          <cell r="W25" t="str">
            <v>BANQUE</v>
          </cell>
          <cell r="X25" t="str">
            <v>BANQUE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1658413.7031306592</v>
          </cell>
          <cell r="G26">
            <v>1411293.154792679</v>
          </cell>
          <cell r="H26">
            <v>48538.450935869099</v>
          </cell>
          <cell r="I26">
            <v>1706952.1540665282</v>
          </cell>
          <cell r="J26">
            <v>0</v>
          </cell>
          <cell r="K26">
            <v>42500</v>
          </cell>
          <cell r="L26">
            <v>36500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U26">
            <v>0</v>
          </cell>
          <cell r="V26">
            <v>1000000</v>
          </cell>
          <cell r="W26" t="str">
            <v>BANQUE</v>
          </cell>
          <cell r="X26" t="str">
            <v>BANQUE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1092185.8189545581</v>
          </cell>
          <cell r="G27">
            <v>951255.99987830815</v>
          </cell>
          <cell r="H27">
            <v>31966.09367499972</v>
          </cell>
          <cell r="I27">
            <v>1124151.9126295578</v>
          </cell>
          <cell r="J27">
            <v>0</v>
          </cell>
          <cell r="K27">
            <v>18500</v>
          </cell>
          <cell r="L27">
            <v>12500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1050000</v>
          </cell>
          <cell r="T27">
            <v>10500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1114052.1973891507</v>
          </cell>
          <cell r="G28">
            <v>973433.62548817939</v>
          </cell>
          <cell r="H28">
            <v>32606.078821521995</v>
          </cell>
          <cell r="I28">
            <v>1146658.2762106727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 t="str">
            <v>ESPECES</v>
          </cell>
          <cell r="X28" t="str">
            <v>BANQUE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1076912.0868724585</v>
          </cell>
          <cell r="G29">
            <v>935610.21840677003</v>
          </cell>
          <cell r="H29">
            <v>31519.062096645597</v>
          </cell>
          <cell r="I29">
            <v>1108431.148969104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250000</v>
          </cell>
          <cell r="W29" t="str">
            <v>BANQUE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1239673.1329764433</v>
          </cell>
          <cell r="G30">
            <v>1097019.0945803211</v>
          </cell>
          <cell r="H30">
            <v>36282.752263746544</v>
          </cell>
          <cell r="I30">
            <v>1275955.8852401897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1085679.1437898132</v>
          </cell>
          <cell r="G31">
            <v>944312.74894595868</v>
          </cell>
          <cell r="H31">
            <v>31775.656311485767</v>
          </cell>
          <cell r="I31">
            <v>1117454.8001012988</v>
          </cell>
          <cell r="J31">
            <v>0</v>
          </cell>
          <cell r="K31">
            <v>26000</v>
          </cell>
          <cell r="L31">
            <v>20000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945000</v>
          </cell>
          <cell r="T31">
            <v>9450</v>
          </cell>
          <cell r="U31">
            <v>0</v>
          </cell>
          <cell r="V31">
            <v>1000000</v>
          </cell>
          <cell r="W31" t="str">
            <v>BANQUE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1181018.9838578615</v>
          </cell>
          <cell r="G32">
            <v>1038852.2265319447</v>
          </cell>
          <cell r="H32">
            <v>34566.062674289431</v>
          </cell>
          <cell r="I32">
            <v>1215585.0465321508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  <cell r="W32" t="str">
            <v>ESPECES</v>
          </cell>
          <cell r="X32" t="str">
            <v>BANQUE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520500</v>
          </cell>
          <cell r="G33">
            <v>0</v>
          </cell>
          <cell r="H33">
            <v>0</v>
          </cell>
          <cell r="I33">
            <v>520500</v>
          </cell>
          <cell r="J33">
            <v>0</v>
          </cell>
          <cell r="K33">
            <v>332500</v>
          </cell>
          <cell r="L33">
            <v>326500</v>
          </cell>
          <cell r="M33">
            <v>1000</v>
          </cell>
          <cell r="N33">
            <v>1000</v>
          </cell>
          <cell r="O33">
            <v>4000</v>
          </cell>
          <cell r="P33">
            <v>-3000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1132860.7895001057</v>
          </cell>
          <cell r="G34">
            <v>1043087.8813039019</v>
          </cell>
          <cell r="H34">
            <v>31459.024726793392</v>
          </cell>
          <cell r="I34">
            <v>1164319.8142268991</v>
          </cell>
          <cell r="J34">
            <v>0</v>
          </cell>
          <cell r="K34">
            <v>0</v>
          </cell>
          <cell r="L34">
            <v>58000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500000</v>
          </cell>
          <cell r="W34" t="str">
            <v>EN COMPTE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1102011.7281972826</v>
          </cell>
          <cell r="G35">
            <v>960501.3394432544</v>
          </cell>
          <cell r="H35">
            <v>32253.678378851331</v>
          </cell>
          <cell r="I35">
            <v>1134265.406576134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>
            <v>60000</v>
          </cell>
          <cell r="U35">
            <v>0</v>
          </cell>
          <cell r="V35">
            <v>1000000</v>
          </cell>
          <cell r="W35" t="str">
            <v>ESPECES</v>
          </cell>
          <cell r="X35" t="str">
            <v>BANQUE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1091800.5681563942</v>
          </cell>
          <cell r="G36">
            <v>950375.01065586659</v>
          </cell>
          <cell r="H36">
            <v>31954.818154947403</v>
          </cell>
          <cell r="I36">
            <v>1123755.3863113415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>
            <v>120000</v>
          </cell>
          <cell r="U36">
            <v>0</v>
          </cell>
          <cell r="V36">
            <v>1000000</v>
          </cell>
          <cell r="W36" t="str">
            <v>BANQUE</v>
          </cell>
          <cell r="X36" t="str">
            <v>BANQUE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930250</v>
          </cell>
          <cell r="G37">
            <v>579750</v>
          </cell>
          <cell r="H37">
            <v>0</v>
          </cell>
          <cell r="I37">
            <v>930250</v>
          </cell>
          <cell r="J37">
            <v>0</v>
          </cell>
          <cell r="K37">
            <v>25000</v>
          </cell>
          <cell r="L37">
            <v>19000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507500</v>
          </cell>
          <cell r="G38">
            <v>0</v>
          </cell>
          <cell r="H38">
            <v>0</v>
          </cell>
          <cell r="I38">
            <v>507500</v>
          </cell>
          <cell r="J38">
            <v>0</v>
          </cell>
          <cell r="K38">
            <v>322500</v>
          </cell>
          <cell r="L38">
            <v>316500</v>
          </cell>
          <cell r="M38">
            <v>1000</v>
          </cell>
          <cell r="N38">
            <v>1000</v>
          </cell>
          <cell r="O38">
            <v>4000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1070457.7573240378</v>
          </cell>
          <cell r="G39">
            <v>924235.14821666293</v>
          </cell>
          <cell r="H39">
            <v>31330.156784588329</v>
          </cell>
          <cell r="I39">
            <v>1101787.9141086261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500000</v>
          </cell>
          <cell r="T39">
            <v>30000</v>
          </cell>
          <cell r="U39">
            <v>0</v>
          </cell>
          <cell r="V39">
            <v>107500</v>
          </cell>
          <cell r="W39" t="str">
            <v>BANQUE</v>
          </cell>
          <cell r="X39" t="str">
            <v>BANQUE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1886265.7896057479</v>
          </cell>
          <cell r="G40">
            <v>1744215.5898191084</v>
          </cell>
          <cell r="H40">
            <v>55207.225620454032</v>
          </cell>
          <cell r="I40">
            <v>1941473.0152262019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1095729.5180005529</v>
          </cell>
          <cell r="G41">
            <v>954271.31996370177</v>
          </cell>
          <cell r="H41">
            <v>32069.810655841593</v>
          </cell>
          <cell r="I41">
            <v>1127799.3286563945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2395244.372980848</v>
          </cell>
          <cell r="G42">
            <v>2242990.1954813572</v>
          </cell>
          <cell r="H42">
            <v>70104.010391300835</v>
          </cell>
          <cell r="I42">
            <v>2465348.383372149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4">
          <cell r="A44" t="str">
            <v>TOTAL</v>
          </cell>
          <cell r="C44">
            <v>0</v>
          </cell>
          <cell r="D44">
            <v>0</v>
          </cell>
          <cell r="E44">
            <v>0</v>
          </cell>
          <cell r="F44">
            <v>45689011.999999993</v>
          </cell>
          <cell r="G44">
            <v>36764612.000000007</v>
          </cell>
          <cell r="H44">
            <v>1251200.0000000005</v>
          </cell>
          <cell r="I44">
            <v>46940212.000000007</v>
          </cell>
          <cell r="J44">
            <v>0</v>
          </cell>
          <cell r="K44">
            <v>1522000</v>
          </cell>
          <cell r="L44">
            <v>1698000</v>
          </cell>
          <cell r="M44">
            <v>34000</v>
          </cell>
          <cell r="N44">
            <v>34000</v>
          </cell>
          <cell r="O44">
            <v>136000</v>
          </cell>
          <cell r="P44">
            <v>-3000</v>
          </cell>
          <cell r="Q44">
            <v>0</v>
          </cell>
          <cell r="R44">
            <v>0</v>
          </cell>
          <cell r="S44">
            <v>17320000</v>
          </cell>
          <cell r="T44">
            <v>1251200</v>
          </cell>
          <cell r="U44">
            <v>0</v>
          </cell>
          <cell r="V44">
            <v>15657500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52000</v>
          </cell>
          <cell r="AG44">
            <v>0</v>
          </cell>
          <cell r="AH44">
            <v>0</v>
          </cell>
          <cell r="AI44">
            <v>100000</v>
          </cell>
          <cell r="AJ44">
            <v>0</v>
          </cell>
          <cell r="AK44">
            <v>0</v>
          </cell>
          <cell r="AL44">
            <v>0</v>
          </cell>
        </row>
      </sheetData>
      <sheetData sheetId="1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1023134</v>
          </cell>
          <cell r="E6">
            <v>0</v>
          </cell>
          <cell r="F6">
            <v>13226469.338717744</v>
          </cell>
          <cell r="G6">
            <v>13196944.364028955</v>
          </cell>
          <cell r="H6">
            <v>83346.090793779207</v>
          </cell>
          <cell r="I6">
            <v>13309815.429511523</v>
          </cell>
          <cell r="J6">
            <v>0</v>
          </cell>
          <cell r="K6">
            <v>0</v>
          </cell>
          <cell r="L6">
            <v>80000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266000</v>
          </cell>
          <cell r="AG6">
            <v>200000</v>
          </cell>
          <cell r="AH6">
            <v>1060000</v>
          </cell>
          <cell r="AI6">
            <v>70000</v>
          </cell>
          <cell r="AJ6">
            <v>0</v>
          </cell>
          <cell r="AK6">
            <v>0</v>
          </cell>
          <cell r="AL6">
            <v>801000</v>
          </cell>
        </row>
        <row r="7">
          <cell r="A7" t="str">
            <v>AS201601</v>
          </cell>
          <cell r="B7" t="str">
            <v>BAKOP ACHILLE</v>
          </cell>
          <cell r="C7">
            <v>800000</v>
          </cell>
          <cell r="D7">
            <v>18598</v>
          </cell>
          <cell r="E7">
            <v>0</v>
          </cell>
          <cell r="F7">
            <v>11955373.981257843</v>
          </cell>
          <cell r="G7">
            <v>11454079.973512705</v>
          </cell>
          <cell r="H7">
            <v>68937.110692788454</v>
          </cell>
          <cell r="I7">
            <v>12024311.091950631</v>
          </cell>
          <cell r="J7">
            <v>0</v>
          </cell>
          <cell r="K7">
            <v>295000</v>
          </cell>
          <cell r="L7">
            <v>223000</v>
          </cell>
          <cell r="M7">
            <v>12000</v>
          </cell>
          <cell r="N7">
            <v>12000</v>
          </cell>
          <cell r="O7">
            <v>48000</v>
          </cell>
          <cell r="P7">
            <v>5000</v>
          </cell>
          <cell r="Q7">
            <v>0</v>
          </cell>
          <cell r="R7">
            <v>0</v>
          </cell>
          <cell r="S7">
            <v>2000000</v>
          </cell>
          <cell r="T7">
            <v>110000</v>
          </cell>
          <cell r="U7">
            <v>0</v>
          </cell>
          <cell r="V7">
            <v>1000000</v>
          </cell>
          <cell r="W7">
            <v>0</v>
          </cell>
          <cell r="X7">
            <v>46010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800000</v>
          </cell>
          <cell r="D8">
            <v>132669</v>
          </cell>
          <cell r="E8">
            <v>0</v>
          </cell>
          <cell r="F8">
            <v>13480306.743941305</v>
          </cell>
          <cell r="G8">
            <v>13031586.27791951</v>
          </cell>
          <cell r="H8">
            <v>78276.309347178671</v>
          </cell>
          <cell r="I8">
            <v>13558583.053288484</v>
          </cell>
          <cell r="J8">
            <v>0</v>
          </cell>
          <cell r="K8">
            <v>300000</v>
          </cell>
          <cell r="L8">
            <v>228000</v>
          </cell>
          <cell r="M8">
            <v>12000</v>
          </cell>
          <cell r="N8">
            <v>12000</v>
          </cell>
          <cell r="O8">
            <v>48000</v>
          </cell>
          <cell r="P8">
            <v>0</v>
          </cell>
          <cell r="Q8">
            <v>0</v>
          </cell>
          <cell r="R8">
            <v>0</v>
          </cell>
          <cell r="S8">
            <v>2000000</v>
          </cell>
          <cell r="T8">
            <v>60000</v>
          </cell>
          <cell r="U8">
            <v>0</v>
          </cell>
          <cell r="V8">
            <v>2000000</v>
          </cell>
          <cell r="W8">
            <v>0</v>
          </cell>
          <cell r="X8">
            <v>45827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100000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800000</v>
          </cell>
          <cell r="D9">
            <v>6643</v>
          </cell>
          <cell r="E9">
            <v>0</v>
          </cell>
          <cell r="F9">
            <v>11860971.500579983</v>
          </cell>
          <cell r="G9">
            <v>11415887.815722859</v>
          </cell>
          <cell r="H9">
            <v>68010.034901820793</v>
          </cell>
          <cell r="I9">
            <v>11928981.535481803</v>
          </cell>
          <cell r="J9">
            <v>5000</v>
          </cell>
          <cell r="K9">
            <v>300000</v>
          </cell>
          <cell r="L9">
            <v>228000</v>
          </cell>
          <cell r="M9">
            <v>12000</v>
          </cell>
          <cell r="N9">
            <v>12000</v>
          </cell>
          <cell r="O9">
            <v>48000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>
            <v>0</v>
          </cell>
          <cell r="X9">
            <v>46010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100000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800000</v>
          </cell>
          <cell r="D10">
            <v>7246</v>
          </cell>
          <cell r="E10">
            <v>0</v>
          </cell>
          <cell r="F10">
            <v>11959324.787707781</v>
          </cell>
          <cell r="G10">
            <v>11518964.887618596</v>
          </cell>
          <cell r="H10">
            <v>68278.202945778467</v>
          </cell>
          <cell r="I10">
            <v>12027602.99065356</v>
          </cell>
          <cell r="J10">
            <v>0</v>
          </cell>
          <cell r="K10">
            <v>307500</v>
          </cell>
          <cell r="L10">
            <v>235500</v>
          </cell>
          <cell r="M10">
            <v>12000</v>
          </cell>
          <cell r="N10">
            <v>12000</v>
          </cell>
          <cell r="O10">
            <v>48000</v>
          </cell>
          <cell r="P10">
            <v>3000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1000000</v>
          </cell>
          <cell r="W10">
            <v>0</v>
          </cell>
          <cell r="X10">
            <v>46010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800000</v>
          </cell>
          <cell r="D11">
            <v>6032</v>
          </cell>
          <cell r="E11">
            <v>0</v>
          </cell>
          <cell r="F11">
            <v>13109664.130915789</v>
          </cell>
          <cell r="G11">
            <v>11662235.945221346</v>
          </cell>
          <cell r="H11">
            <v>68968.183232068608</v>
          </cell>
          <cell r="I11">
            <v>13178632.314147858</v>
          </cell>
          <cell r="J11">
            <v>0</v>
          </cell>
          <cell r="K11">
            <v>550375</v>
          </cell>
          <cell r="L11">
            <v>478375</v>
          </cell>
          <cell r="M11">
            <v>12000</v>
          </cell>
          <cell r="N11">
            <v>12000</v>
          </cell>
          <cell r="O11">
            <v>48000</v>
          </cell>
          <cell r="P11">
            <v>3000</v>
          </cell>
          <cell r="Q11">
            <v>0</v>
          </cell>
          <cell r="R11">
            <v>0</v>
          </cell>
          <cell r="S11">
            <v>2000000</v>
          </cell>
          <cell r="T11">
            <v>225000</v>
          </cell>
          <cell r="U11">
            <v>0</v>
          </cell>
          <cell r="V11">
            <v>2135000</v>
          </cell>
          <cell r="W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100000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800000</v>
          </cell>
          <cell r="D12">
            <v>14486</v>
          </cell>
          <cell r="E12">
            <v>0</v>
          </cell>
          <cell r="F12">
            <v>20475945.329871248</v>
          </cell>
          <cell r="G12">
            <v>19545647.890708119</v>
          </cell>
          <cell r="H12">
            <v>85780.246422867262</v>
          </cell>
          <cell r="I12">
            <v>20561725.576294117</v>
          </cell>
          <cell r="J12">
            <v>0</v>
          </cell>
          <cell r="K12">
            <v>1280500</v>
          </cell>
          <cell r="L12">
            <v>1208500</v>
          </cell>
          <cell r="M12">
            <v>12000</v>
          </cell>
          <cell r="N12">
            <v>12000</v>
          </cell>
          <cell r="O12">
            <v>48000</v>
          </cell>
          <cell r="P12">
            <v>0</v>
          </cell>
          <cell r="Q12">
            <v>0</v>
          </cell>
          <cell r="R12">
            <v>0</v>
          </cell>
          <cell r="S12">
            <v>2150000</v>
          </cell>
          <cell r="T12">
            <v>91500</v>
          </cell>
          <cell r="U12">
            <v>0</v>
          </cell>
          <cell r="V12">
            <v>2150000</v>
          </cell>
          <cell r="W12">
            <v>0</v>
          </cell>
          <cell r="X12">
            <v>45980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800000</v>
          </cell>
          <cell r="D13">
            <v>6365</v>
          </cell>
          <cell r="E13">
            <v>0</v>
          </cell>
          <cell r="F13">
            <v>11857399.418647252</v>
          </cell>
          <cell r="G13">
            <v>11412323.756143957</v>
          </cell>
          <cell r="H13">
            <v>67987.388588394897</v>
          </cell>
          <cell r="I13">
            <v>11925386.807235647</v>
          </cell>
          <cell r="J13">
            <v>0</v>
          </cell>
          <cell r="K13">
            <v>300000</v>
          </cell>
          <cell r="L13">
            <v>228000</v>
          </cell>
          <cell r="M13">
            <v>12000</v>
          </cell>
          <cell r="N13">
            <v>12000</v>
          </cell>
          <cell r="O13">
            <v>48000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800000</v>
          </cell>
          <cell r="D14">
            <v>702391</v>
          </cell>
          <cell r="E14">
            <v>0</v>
          </cell>
          <cell r="F14">
            <v>20791768.770838298</v>
          </cell>
          <cell r="G14">
            <v>20332626.390908919</v>
          </cell>
          <cell r="H14">
            <v>124677.1319297915</v>
          </cell>
          <cell r="I14">
            <v>20916445.90276809</v>
          </cell>
          <cell r="J14">
            <v>0</v>
          </cell>
          <cell r="K14">
            <v>297000</v>
          </cell>
          <cell r="L14">
            <v>225000</v>
          </cell>
          <cell r="M14">
            <v>12000</v>
          </cell>
          <cell r="N14">
            <v>12000</v>
          </cell>
          <cell r="O14">
            <v>48000</v>
          </cell>
          <cell r="P14">
            <v>3000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100000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7868253.9909234187</v>
          </cell>
          <cell r="G15">
            <v>1180000</v>
          </cell>
          <cell r="H15">
            <v>5255.3358519438016</v>
          </cell>
          <cell r="I15">
            <v>7873509.3267753627</v>
          </cell>
          <cell r="J15">
            <v>0</v>
          </cell>
          <cell r="K15">
            <v>1099000</v>
          </cell>
          <cell r="L15">
            <v>1027000</v>
          </cell>
          <cell r="M15">
            <v>12000</v>
          </cell>
          <cell r="N15">
            <v>12000</v>
          </cell>
          <cell r="O15">
            <v>48000</v>
          </cell>
          <cell r="P15">
            <v>0</v>
          </cell>
          <cell r="Q15">
            <v>25000</v>
          </cell>
          <cell r="R15">
            <v>120000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175000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800000</v>
          </cell>
          <cell r="D16">
            <v>7143</v>
          </cell>
          <cell r="E16">
            <v>0</v>
          </cell>
          <cell r="F16">
            <v>11848215.045892213</v>
          </cell>
          <cell r="G16">
            <v>11403251.502973285</v>
          </cell>
          <cell r="H16">
            <v>68007.586920388829</v>
          </cell>
          <cell r="I16">
            <v>11916222.632812601</v>
          </cell>
          <cell r="J16">
            <v>0</v>
          </cell>
          <cell r="K16">
            <v>295000</v>
          </cell>
          <cell r="L16">
            <v>249000</v>
          </cell>
          <cell r="M16">
            <v>12000</v>
          </cell>
          <cell r="N16">
            <v>12000</v>
          </cell>
          <cell r="O16">
            <v>48000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155000</v>
          </cell>
          <cell r="U16">
            <v>0</v>
          </cell>
          <cell r="V16">
            <v>1050000</v>
          </cell>
          <cell r="W16">
            <v>0</v>
          </cell>
          <cell r="Y16">
            <v>0</v>
          </cell>
          <cell r="Z16">
            <v>150000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100000</v>
          </cell>
          <cell r="AJ16">
            <v>150000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800000</v>
          </cell>
          <cell r="D17">
            <v>6301</v>
          </cell>
          <cell r="E17">
            <v>0</v>
          </cell>
          <cell r="F17">
            <v>13889324.310177729</v>
          </cell>
          <cell r="G17">
            <v>12941250.841868794</v>
          </cell>
          <cell r="H17">
            <v>71729.525733071583</v>
          </cell>
          <cell r="I17">
            <v>13961053.835910801</v>
          </cell>
          <cell r="J17">
            <v>0</v>
          </cell>
          <cell r="K17">
            <v>584500</v>
          </cell>
          <cell r="L17">
            <v>512500</v>
          </cell>
          <cell r="M17">
            <v>12000</v>
          </cell>
          <cell r="N17">
            <v>12000</v>
          </cell>
          <cell r="O17">
            <v>48000</v>
          </cell>
          <cell r="P17">
            <v>0</v>
          </cell>
          <cell r="Q17">
            <v>0</v>
          </cell>
          <cell r="R17">
            <v>0</v>
          </cell>
          <cell r="S17">
            <v>1700000</v>
          </cell>
          <cell r="T17">
            <v>23000</v>
          </cell>
          <cell r="U17">
            <v>0</v>
          </cell>
          <cell r="V17">
            <v>1300000</v>
          </cell>
          <cell r="W17">
            <v>400000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800000</v>
          </cell>
          <cell r="D18">
            <v>6353</v>
          </cell>
          <cell r="E18">
            <v>0</v>
          </cell>
          <cell r="F18">
            <v>11851244.764737148</v>
          </cell>
          <cell r="G18">
            <v>11409169.911845587</v>
          </cell>
          <cell r="H18">
            <v>67985.947726602506</v>
          </cell>
          <cell r="I18">
            <v>11919230.71246375</v>
          </cell>
          <cell r="J18">
            <v>0</v>
          </cell>
          <cell r="K18">
            <v>297000</v>
          </cell>
          <cell r="L18">
            <v>225000</v>
          </cell>
          <cell r="M18">
            <v>12000</v>
          </cell>
          <cell r="N18">
            <v>12000</v>
          </cell>
          <cell r="O18">
            <v>48000</v>
          </cell>
          <cell r="P18">
            <v>3000</v>
          </cell>
          <cell r="Q18">
            <v>0</v>
          </cell>
          <cell r="R18">
            <v>0</v>
          </cell>
          <cell r="S18">
            <v>1525000</v>
          </cell>
          <cell r="T18">
            <v>71500</v>
          </cell>
          <cell r="U18">
            <v>0</v>
          </cell>
          <cell r="V18">
            <v>1346500</v>
          </cell>
          <cell r="W18">
            <v>525000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800000</v>
          </cell>
          <cell r="D19">
            <v>9944</v>
          </cell>
          <cell r="E19">
            <v>0</v>
          </cell>
          <cell r="F19">
            <v>12601713.579090027</v>
          </cell>
          <cell r="G19">
            <v>11975819.72939107</v>
          </cell>
          <cell r="H19">
            <v>69419.781922600014</v>
          </cell>
          <cell r="I19">
            <v>12671133.361012626</v>
          </cell>
          <cell r="J19">
            <v>0</v>
          </cell>
          <cell r="K19">
            <v>405500</v>
          </cell>
          <cell r="L19">
            <v>333500</v>
          </cell>
          <cell r="M19">
            <v>12000</v>
          </cell>
          <cell r="N19">
            <v>12000</v>
          </cell>
          <cell r="O19">
            <v>48000</v>
          </cell>
          <cell r="P19">
            <v>3000</v>
          </cell>
          <cell r="Q19">
            <v>0</v>
          </cell>
          <cell r="R19">
            <v>0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  <cell r="W19">
            <v>0</v>
          </cell>
          <cell r="X19">
            <v>46010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676217</v>
          </cell>
          <cell r="E20">
            <v>0</v>
          </cell>
          <cell r="F20">
            <v>3926217</v>
          </cell>
          <cell r="G20">
            <v>0</v>
          </cell>
          <cell r="H20">
            <v>0</v>
          </cell>
          <cell r="I20">
            <v>3926217</v>
          </cell>
          <cell r="J20">
            <v>0</v>
          </cell>
          <cell r="K20">
            <v>0</v>
          </cell>
          <cell r="L20">
            <v>500000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46011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198625</v>
          </cell>
          <cell r="E21">
            <v>0</v>
          </cell>
          <cell r="F21">
            <v>13722374.33381452</v>
          </cell>
          <cell r="G21">
            <v>13273110.220728267</v>
          </cell>
          <cell r="H21">
            <v>34069.06612705579</v>
          </cell>
          <cell r="I21">
            <v>13756443.399941577</v>
          </cell>
          <cell r="J21">
            <v>0</v>
          </cell>
          <cell r="K21">
            <v>900000</v>
          </cell>
          <cell r="L21">
            <v>1026625</v>
          </cell>
          <cell r="M21">
            <v>12000</v>
          </cell>
          <cell r="N21">
            <v>12000</v>
          </cell>
          <cell r="O21">
            <v>48000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>
            <v>9000</v>
          </cell>
          <cell r="U21">
            <v>0</v>
          </cell>
          <cell r="V21">
            <v>300000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800000</v>
          </cell>
          <cell r="D22">
            <v>8501</v>
          </cell>
          <cell r="E22">
            <v>0</v>
          </cell>
          <cell r="F22">
            <v>11901155.119929681</v>
          </cell>
          <cell r="G22">
            <v>11442600.795213612</v>
          </cell>
          <cell r="H22">
            <v>68173.077041563185</v>
          </cell>
          <cell r="I22">
            <v>11969328.196971243</v>
          </cell>
          <cell r="J22">
            <v>0</v>
          </cell>
          <cell r="K22">
            <v>304900</v>
          </cell>
          <cell r="L22">
            <v>232900</v>
          </cell>
          <cell r="M22">
            <v>12000</v>
          </cell>
          <cell r="N22">
            <v>12000</v>
          </cell>
          <cell r="O22">
            <v>48000</v>
          </cell>
          <cell r="P22">
            <v>6000</v>
          </cell>
          <cell r="Q22">
            <v>0</v>
          </cell>
          <cell r="R22">
            <v>0</v>
          </cell>
          <cell r="S22">
            <v>4000000</v>
          </cell>
          <cell r="T22">
            <v>120000</v>
          </cell>
          <cell r="U22">
            <v>0</v>
          </cell>
          <cell r="V22">
            <v>4000000</v>
          </cell>
          <cell r="W22">
            <v>0</v>
          </cell>
          <cell r="X22">
            <v>45827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800000</v>
          </cell>
          <cell r="D23">
            <v>7819</v>
          </cell>
          <cell r="E23">
            <v>0</v>
          </cell>
          <cell r="F23">
            <v>11876082.178108374</v>
          </cell>
          <cell r="G23">
            <v>11430964.556963107</v>
          </cell>
          <cell r="H23">
            <v>68105.833695305773</v>
          </cell>
          <cell r="I23">
            <v>11944188.011803679</v>
          </cell>
          <cell r="J23">
            <v>0</v>
          </cell>
          <cell r="K23">
            <v>300000</v>
          </cell>
          <cell r="L23">
            <v>228000</v>
          </cell>
          <cell r="M23">
            <v>12000</v>
          </cell>
          <cell r="N23">
            <v>12000</v>
          </cell>
          <cell r="O23">
            <v>48000</v>
          </cell>
          <cell r="P23">
            <v>3000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100000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800000</v>
          </cell>
          <cell r="D24">
            <v>249258</v>
          </cell>
          <cell r="E24">
            <v>1200000</v>
          </cell>
          <cell r="F24">
            <v>12312654.222364482</v>
          </cell>
          <cell r="G24">
            <v>11868959.630012579</v>
          </cell>
          <cell r="H24">
            <v>80837.303523370079</v>
          </cell>
          <cell r="I24">
            <v>12393491.525887853</v>
          </cell>
          <cell r="J24">
            <v>0</v>
          </cell>
          <cell r="K24">
            <v>1192500</v>
          </cell>
          <cell r="L24">
            <v>686500</v>
          </cell>
          <cell r="M24">
            <v>12000</v>
          </cell>
          <cell r="N24">
            <v>12000</v>
          </cell>
          <cell r="O24">
            <v>48000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>
            <v>108000</v>
          </cell>
          <cell r="U24">
            <v>0</v>
          </cell>
          <cell r="V24">
            <v>900000</v>
          </cell>
          <cell r="W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800000</v>
          </cell>
          <cell r="D25">
            <v>256158</v>
          </cell>
          <cell r="E25">
            <v>0</v>
          </cell>
          <cell r="F25">
            <v>15854539.155338185</v>
          </cell>
          <cell r="G25">
            <v>15180251.922014583</v>
          </cell>
          <cell r="H25">
            <v>89546.251867716855</v>
          </cell>
          <cell r="I25">
            <v>15944085.407205902</v>
          </cell>
          <cell r="J25">
            <v>0</v>
          </cell>
          <cell r="K25">
            <v>420000</v>
          </cell>
          <cell r="L25">
            <v>348000</v>
          </cell>
          <cell r="M25">
            <v>12000</v>
          </cell>
          <cell r="N25">
            <v>12000</v>
          </cell>
          <cell r="O25">
            <v>48000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>
            <v>60000</v>
          </cell>
          <cell r="U25">
            <v>0</v>
          </cell>
          <cell r="V25">
            <v>1000000</v>
          </cell>
          <cell r="W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800000</v>
          </cell>
          <cell r="D26">
            <v>353356</v>
          </cell>
          <cell r="E26">
            <v>0</v>
          </cell>
          <cell r="F26">
            <v>17485181.547197714</v>
          </cell>
          <cell r="G26">
            <v>16708111.313416768</v>
          </cell>
          <cell r="H26">
            <v>98057.703130658949</v>
          </cell>
          <cell r="I26">
            <v>17583239.250328373</v>
          </cell>
          <cell r="J26">
            <v>0</v>
          </cell>
          <cell r="K26">
            <v>479000</v>
          </cell>
          <cell r="L26">
            <v>407000</v>
          </cell>
          <cell r="M26">
            <v>12000</v>
          </cell>
          <cell r="N26">
            <v>12000</v>
          </cell>
          <cell r="O26">
            <v>48000</v>
          </cell>
          <cell r="P26">
            <v>3000</v>
          </cell>
          <cell r="Q26">
            <v>0</v>
          </cell>
          <cell r="R26">
            <v>0</v>
          </cell>
          <cell r="S26">
            <v>2000000</v>
          </cell>
          <cell r="T26">
            <v>110000</v>
          </cell>
          <cell r="U26">
            <v>0</v>
          </cell>
          <cell r="V26">
            <v>1000000</v>
          </cell>
          <cell r="W26">
            <v>1000000</v>
          </cell>
          <cell r="X26">
            <v>46010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800000</v>
          </cell>
          <cell r="D27">
            <v>9175</v>
          </cell>
          <cell r="E27">
            <v>0</v>
          </cell>
          <cell r="F27">
            <v>11777217.295034882</v>
          </cell>
          <cell r="G27">
            <v>11365905.590272957</v>
          </cell>
          <cell r="H27">
            <v>68010.818954558388</v>
          </cell>
          <cell r="I27">
            <v>11845228.113989441</v>
          </cell>
          <cell r="J27">
            <v>0</v>
          </cell>
          <cell r="K27">
            <v>287000</v>
          </cell>
          <cell r="L27">
            <v>215000</v>
          </cell>
          <cell r="M27">
            <v>12000</v>
          </cell>
          <cell r="N27">
            <v>12000</v>
          </cell>
          <cell r="O27">
            <v>48000</v>
          </cell>
          <cell r="P27">
            <v>0</v>
          </cell>
          <cell r="Q27">
            <v>0</v>
          </cell>
          <cell r="R27">
            <v>0</v>
          </cell>
          <cell r="S27">
            <v>1050000</v>
          </cell>
          <cell r="T27">
            <v>120000</v>
          </cell>
          <cell r="U27">
            <v>0</v>
          </cell>
          <cell r="V27">
            <v>0</v>
          </cell>
          <cell r="W27">
            <v>1050000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100000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800000</v>
          </cell>
          <cell r="D28">
            <v>10531</v>
          </cell>
          <cell r="E28">
            <v>0</v>
          </cell>
          <cell r="F28">
            <v>11998350.283325614</v>
          </cell>
          <cell r="G28">
            <v>11553935.893347273</v>
          </cell>
          <cell r="H28">
            <v>68521.197389150781</v>
          </cell>
          <cell r="I28">
            <v>12066871.480714764</v>
          </cell>
          <cell r="J28">
            <v>0</v>
          </cell>
          <cell r="K28">
            <v>307000</v>
          </cell>
          <cell r="L28">
            <v>235000</v>
          </cell>
          <cell r="M28">
            <v>12000</v>
          </cell>
          <cell r="N28">
            <v>12000</v>
          </cell>
          <cell r="O28">
            <v>48000</v>
          </cell>
          <cell r="P28">
            <v>3000</v>
          </cell>
          <cell r="Q28">
            <v>0</v>
          </cell>
          <cell r="R28">
            <v>0</v>
          </cell>
          <cell r="S28">
            <v>4000000</v>
          </cell>
          <cell r="T28">
            <v>120000</v>
          </cell>
          <cell r="U28">
            <v>0</v>
          </cell>
          <cell r="V28">
            <v>4000000</v>
          </cell>
          <cell r="W28">
            <v>0</v>
          </cell>
          <cell r="X28">
            <v>46010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C29">
            <v>800000</v>
          </cell>
          <cell r="D29">
            <v>-17159</v>
          </cell>
          <cell r="E29">
            <v>0</v>
          </cell>
          <cell r="F29">
            <v>11555134.471217105</v>
          </cell>
          <cell r="G29">
            <v>11110737.649906244</v>
          </cell>
          <cell r="H29">
            <v>66071.086872458516</v>
          </cell>
          <cell r="I29">
            <v>11621205.558089564</v>
          </cell>
          <cell r="J29">
            <v>0</v>
          </cell>
          <cell r="K29">
            <v>300000</v>
          </cell>
          <cell r="L29">
            <v>228000</v>
          </cell>
          <cell r="M29">
            <v>12000</v>
          </cell>
          <cell r="N29">
            <v>12000</v>
          </cell>
          <cell r="O29">
            <v>48000</v>
          </cell>
          <cell r="P29">
            <v>0</v>
          </cell>
          <cell r="Q29">
            <v>0</v>
          </cell>
          <cell r="R29">
            <v>0</v>
          </cell>
          <cell r="S29">
            <v>400000</v>
          </cell>
          <cell r="T29">
            <v>16000</v>
          </cell>
          <cell r="U29">
            <v>0</v>
          </cell>
          <cell r="V29">
            <v>400000</v>
          </cell>
          <cell r="W29">
            <v>0</v>
          </cell>
          <cell r="X29">
            <v>45827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800000</v>
          </cell>
          <cell r="D30">
            <v>133342</v>
          </cell>
          <cell r="E30">
            <v>0</v>
          </cell>
          <cell r="F30">
            <v>13488954.266030256</v>
          </cell>
          <cell r="G30">
            <v>13040214.37898642</v>
          </cell>
          <cell r="H30">
            <v>78331.132976443492</v>
          </cell>
          <cell r="I30">
            <v>13567285.399006698</v>
          </cell>
          <cell r="J30">
            <v>0</v>
          </cell>
          <cell r="K30">
            <v>300000</v>
          </cell>
          <cell r="L30">
            <v>228000</v>
          </cell>
          <cell r="M30">
            <v>12000</v>
          </cell>
          <cell r="N30">
            <v>12000</v>
          </cell>
          <cell r="O30">
            <v>48000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800000</v>
          </cell>
          <cell r="D31">
            <v>-9977</v>
          </cell>
          <cell r="E31">
            <v>0</v>
          </cell>
          <cell r="F31">
            <v>11648417.537551202</v>
          </cell>
          <cell r="G31">
            <v>11203813.462480601</v>
          </cell>
          <cell r="H31">
            <v>66656.14378981333</v>
          </cell>
          <cell r="I31">
            <v>11715073.681341015</v>
          </cell>
          <cell r="J31">
            <v>0</v>
          </cell>
          <cell r="K31">
            <v>301000</v>
          </cell>
          <cell r="L31">
            <v>229000</v>
          </cell>
          <cell r="M31">
            <v>12000</v>
          </cell>
          <cell r="N31">
            <v>12000</v>
          </cell>
          <cell r="O31">
            <v>48000</v>
          </cell>
          <cell r="P31">
            <v>0</v>
          </cell>
          <cell r="Q31">
            <v>0</v>
          </cell>
          <cell r="R31">
            <v>0</v>
          </cell>
          <cell r="S31">
            <v>945000</v>
          </cell>
          <cell r="T31">
            <v>120000</v>
          </cell>
          <cell r="U31">
            <v>0</v>
          </cell>
          <cell r="V31">
            <v>1000000</v>
          </cell>
          <cell r="W31">
            <v>955000</v>
          </cell>
          <cell r="X31">
            <v>46010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800000</v>
          </cell>
          <cell r="D32">
            <v>79106</v>
          </cell>
          <cell r="E32">
            <v>0</v>
          </cell>
          <cell r="F32">
            <v>12792064.209542353</v>
          </cell>
          <cell r="G32">
            <v>12344889.431787452</v>
          </cell>
          <cell r="H32">
            <v>73912.983857861342</v>
          </cell>
          <cell r="I32">
            <v>12865977.193400213</v>
          </cell>
          <cell r="J32">
            <v>0</v>
          </cell>
          <cell r="K32">
            <v>300000</v>
          </cell>
          <cell r="L32">
            <v>228000</v>
          </cell>
          <cell r="M32">
            <v>12000</v>
          </cell>
          <cell r="N32">
            <v>12000</v>
          </cell>
          <cell r="O32">
            <v>48000</v>
          </cell>
          <cell r="P32">
            <v>6000</v>
          </cell>
          <cell r="Q32">
            <v>0</v>
          </cell>
          <cell r="R32">
            <v>0</v>
          </cell>
          <cell r="S32">
            <v>4000000</v>
          </cell>
          <cell r="T32">
            <v>120000</v>
          </cell>
          <cell r="U32">
            <v>0</v>
          </cell>
          <cell r="V32">
            <v>4000000</v>
          </cell>
          <cell r="W32">
            <v>0</v>
          </cell>
          <cell r="X32">
            <v>46010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100000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153468</v>
          </cell>
          <cell r="E33">
            <v>0</v>
          </cell>
          <cell r="F33">
            <v>1702500</v>
          </cell>
          <cell r="G33">
            <v>0</v>
          </cell>
          <cell r="H33">
            <v>0</v>
          </cell>
          <cell r="I33">
            <v>1702500</v>
          </cell>
          <cell r="J33">
            <v>0</v>
          </cell>
          <cell r="K33">
            <v>592500</v>
          </cell>
          <cell r="L33">
            <v>520500</v>
          </cell>
          <cell r="M33">
            <v>12000</v>
          </cell>
          <cell r="N33">
            <v>12000</v>
          </cell>
          <cell r="O33">
            <v>48000</v>
          </cell>
          <cell r="P33">
            <v>15000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300000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800000</v>
          </cell>
          <cell r="D34">
            <v>46691</v>
          </cell>
          <cell r="E34">
            <v>0</v>
          </cell>
          <cell r="F34">
            <v>12269375.547992162</v>
          </cell>
          <cell r="G34">
            <v>11917321.14383596</v>
          </cell>
          <cell r="H34">
            <v>71169.78950010569</v>
          </cell>
          <cell r="I34">
            <v>12340545.337492269</v>
          </cell>
          <cell r="J34">
            <v>0</v>
          </cell>
          <cell r="K34">
            <v>205000</v>
          </cell>
          <cell r="L34">
            <v>215000</v>
          </cell>
          <cell r="M34">
            <v>8000</v>
          </cell>
          <cell r="N34">
            <v>8000</v>
          </cell>
          <cell r="O34">
            <v>32000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120000</v>
          </cell>
          <cell r="U34">
            <v>0</v>
          </cell>
          <cell r="V34">
            <v>1000000</v>
          </cell>
          <cell r="W34">
            <v>0</v>
          </cell>
          <cell r="X34">
            <v>46010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C35">
            <v>800000</v>
          </cell>
          <cell r="D35">
            <v>6050</v>
          </cell>
          <cell r="E35">
            <v>0</v>
          </cell>
          <cell r="F35">
            <v>11853351.91573786</v>
          </cell>
          <cell r="G35">
            <v>11408285.343311749</v>
          </cell>
          <cell r="H35">
            <v>67961.72819728285</v>
          </cell>
          <cell r="I35">
            <v>11921313.643935142</v>
          </cell>
          <cell r="J35">
            <v>0</v>
          </cell>
          <cell r="K35">
            <v>300000</v>
          </cell>
          <cell r="L35">
            <v>228000</v>
          </cell>
          <cell r="M35">
            <v>12000</v>
          </cell>
          <cell r="N35">
            <v>12000</v>
          </cell>
          <cell r="O35">
            <v>48000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>
            <v>120000</v>
          </cell>
          <cell r="U35">
            <v>0</v>
          </cell>
          <cell r="V35">
            <v>1000000</v>
          </cell>
          <cell r="W35">
            <v>0</v>
          </cell>
          <cell r="X35">
            <v>46010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800000</v>
          </cell>
          <cell r="D36">
            <v>-3392</v>
          </cell>
          <cell r="E36">
            <v>0</v>
          </cell>
          <cell r="F36">
            <v>11732029.622180838</v>
          </cell>
          <cell r="G36">
            <v>11287235.521211065</v>
          </cell>
          <cell r="H36">
            <v>67192.568156393914</v>
          </cell>
          <cell r="I36">
            <v>11799222.190337231</v>
          </cell>
          <cell r="J36">
            <v>0</v>
          </cell>
          <cell r="K36">
            <v>300000</v>
          </cell>
          <cell r="L36">
            <v>228000</v>
          </cell>
          <cell r="M36">
            <v>12000</v>
          </cell>
          <cell r="N36">
            <v>12000</v>
          </cell>
          <cell r="O36">
            <v>48000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>
            <v>120000</v>
          </cell>
          <cell r="U36">
            <v>0</v>
          </cell>
          <cell r="V36">
            <v>1000000</v>
          </cell>
          <cell r="W36">
            <v>0</v>
          </cell>
          <cell r="X36">
            <v>46010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100000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487750</v>
          </cell>
          <cell r="E37">
            <v>0</v>
          </cell>
          <cell r="F37">
            <v>7743000</v>
          </cell>
          <cell r="G37">
            <v>1377000</v>
          </cell>
          <cell r="H37">
            <v>0</v>
          </cell>
          <cell r="I37">
            <v>7743000</v>
          </cell>
          <cell r="J37">
            <v>0</v>
          </cell>
          <cell r="K37">
            <v>514500</v>
          </cell>
          <cell r="L37">
            <v>442500</v>
          </cell>
          <cell r="M37">
            <v>12000</v>
          </cell>
          <cell r="N37">
            <v>12000</v>
          </cell>
          <cell r="O37">
            <v>48000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100000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0</v>
          </cell>
          <cell r="F38">
            <v>1662500</v>
          </cell>
          <cell r="G38">
            <v>0</v>
          </cell>
          <cell r="H38">
            <v>0</v>
          </cell>
          <cell r="I38">
            <v>1662500</v>
          </cell>
          <cell r="J38">
            <v>0</v>
          </cell>
          <cell r="K38">
            <v>579500</v>
          </cell>
          <cell r="L38">
            <v>507500</v>
          </cell>
          <cell r="M38">
            <v>12000</v>
          </cell>
          <cell r="N38">
            <v>12000</v>
          </cell>
          <cell r="O38">
            <v>48000</v>
          </cell>
          <cell r="P38">
            <v>21000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800000</v>
          </cell>
          <cell r="D39">
            <v>-32497</v>
          </cell>
          <cell r="E39">
            <v>0</v>
          </cell>
          <cell r="F39">
            <v>11428927.759506896</v>
          </cell>
          <cell r="G39">
            <v>10969805.718442941</v>
          </cell>
          <cell r="H39">
            <v>64954.757324037535</v>
          </cell>
          <cell r="I39">
            <v>11493882.516830934</v>
          </cell>
          <cell r="J39">
            <v>0</v>
          </cell>
          <cell r="K39">
            <v>310000</v>
          </cell>
          <cell r="L39">
            <v>238000</v>
          </cell>
          <cell r="M39">
            <v>12000</v>
          </cell>
          <cell r="N39">
            <v>12000</v>
          </cell>
          <cell r="O39">
            <v>48000</v>
          </cell>
          <cell r="P39">
            <v>0</v>
          </cell>
          <cell r="Q39">
            <v>0</v>
          </cell>
          <cell r="R39">
            <v>0</v>
          </cell>
          <cell r="S39">
            <v>500000</v>
          </cell>
          <cell r="T39">
            <v>120000</v>
          </cell>
          <cell r="U39">
            <v>0</v>
          </cell>
          <cell r="V39">
            <v>1000000</v>
          </cell>
          <cell r="W39">
            <v>0</v>
          </cell>
          <cell r="X39">
            <v>46010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C40">
            <v>800000</v>
          </cell>
          <cell r="D40">
            <v>739643</v>
          </cell>
          <cell r="E40">
            <v>0</v>
          </cell>
          <cell r="F40">
            <v>21218810.656398453</v>
          </cell>
          <cell r="G40">
            <v>20767737.689504005</v>
          </cell>
          <cell r="H40">
            <v>127622.78960574789</v>
          </cell>
          <cell r="I40">
            <v>21346433.446004201</v>
          </cell>
          <cell r="J40">
            <v>0</v>
          </cell>
          <cell r="K40">
            <v>291000</v>
          </cell>
          <cell r="L40">
            <v>219000</v>
          </cell>
          <cell r="M40">
            <v>12000</v>
          </cell>
          <cell r="N40">
            <v>12000</v>
          </cell>
          <cell r="O40">
            <v>48000</v>
          </cell>
          <cell r="P40">
            <v>9000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800000</v>
          </cell>
          <cell r="D41">
            <v>241</v>
          </cell>
          <cell r="E41">
            <v>0</v>
          </cell>
          <cell r="F41">
            <v>11778710.822402472</v>
          </cell>
          <cell r="G41">
            <v>11333811.882542536</v>
          </cell>
          <cell r="H41">
            <v>67488.51800055294</v>
          </cell>
          <cell r="I41">
            <v>11846199.340403024</v>
          </cell>
          <cell r="J41">
            <v>0</v>
          </cell>
          <cell r="K41">
            <v>300000</v>
          </cell>
          <cell r="L41">
            <v>228000</v>
          </cell>
          <cell r="M41">
            <v>12000</v>
          </cell>
          <cell r="N41">
            <v>12000</v>
          </cell>
          <cell r="O41">
            <v>48000</v>
          </cell>
          <cell r="P41">
            <v>18000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100000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800000</v>
          </cell>
          <cell r="D42">
            <v>1296586</v>
          </cell>
          <cell r="E42">
            <v>100000</v>
          </cell>
          <cell r="F42">
            <v>27317962.363029171</v>
          </cell>
          <cell r="G42">
            <v>26838387.568158165</v>
          </cell>
          <cell r="H42">
            <v>170658.37298084804</v>
          </cell>
          <cell r="I42">
            <v>27488620.736010019</v>
          </cell>
          <cell r="J42">
            <v>0</v>
          </cell>
          <cell r="K42">
            <v>300000</v>
          </cell>
          <cell r="L42">
            <v>228000</v>
          </cell>
          <cell r="M42">
            <v>12000</v>
          </cell>
          <cell r="N42">
            <v>12000</v>
          </cell>
          <cell r="O42">
            <v>48000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15000</v>
          </cell>
          <cell r="U42">
            <v>0</v>
          </cell>
          <cell r="V42">
            <v>500000</v>
          </cell>
          <cell r="W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4">
          <cell r="A44" t="str">
            <v>TOTAL</v>
          </cell>
          <cell r="C44">
            <v>24000000</v>
          </cell>
          <cell r="D44">
            <v>6596797</v>
          </cell>
          <cell r="E44">
            <v>1300000</v>
          </cell>
          <cell r="F44">
            <v>465821486</v>
          </cell>
          <cell r="G44">
            <v>428902869</v>
          </cell>
          <cell r="H44">
            <v>2493999.9999999995</v>
          </cell>
          <cell r="I44">
            <v>468315485.99999994</v>
          </cell>
          <cell r="J44">
            <v>5000</v>
          </cell>
          <cell r="K44">
            <v>15395275</v>
          </cell>
          <cell r="L44">
            <v>13327900</v>
          </cell>
          <cell r="M44">
            <v>416000</v>
          </cell>
          <cell r="N44">
            <v>416000</v>
          </cell>
          <cell r="O44">
            <v>1664000</v>
          </cell>
          <cell r="P44">
            <v>104000</v>
          </cell>
          <cell r="Q44">
            <v>25000</v>
          </cell>
          <cell r="R44">
            <v>120000</v>
          </cell>
          <cell r="S44">
            <v>35470000</v>
          </cell>
          <cell r="T44">
            <v>2494000</v>
          </cell>
          <cell r="U44">
            <v>0</v>
          </cell>
          <cell r="V44">
            <v>35081500</v>
          </cell>
          <cell r="W44">
            <v>3930000</v>
          </cell>
          <cell r="Y44">
            <v>0</v>
          </cell>
          <cell r="Z44">
            <v>150000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475000</v>
          </cell>
          <cell r="AF44">
            <v>266000</v>
          </cell>
          <cell r="AG44">
            <v>200000</v>
          </cell>
          <cell r="AH44">
            <v>1060000</v>
          </cell>
          <cell r="AI44">
            <v>1270000</v>
          </cell>
          <cell r="AJ44">
            <v>150000</v>
          </cell>
          <cell r="AK44">
            <v>0</v>
          </cell>
          <cell r="AL44">
            <v>801000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  <sheetName val="LISTADHERENT (3)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</sheetNames>
    <sheetDataSet>
      <sheetData sheetId="0">
        <row r="1">
          <cell r="A1" t="str">
            <v>MLE</v>
          </cell>
        </row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191000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227663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  <row r="51">
          <cell r="A51" t="str">
            <v>AS201647</v>
          </cell>
          <cell r="B51">
            <v>49</v>
          </cell>
          <cell r="C51" t="str">
            <v>YOUMBI EMMANUEL</v>
          </cell>
          <cell r="D51">
            <v>420000</v>
          </cell>
          <cell r="E51">
            <v>30000</v>
          </cell>
          <cell r="F51">
            <v>30000</v>
          </cell>
          <cell r="G51">
            <v>30000</v>
          </cell>
          <cell r="H51">
            <v>510000</v>
          </cell>
        </row>
      </sheetData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4"/>
      <sheetName val="ENTREE"/>
      <sheetName val="SORTIE"/>
      <sheetName val="SYNTHESECOMPTE"/>
      <sheetName val="DETAILFICHECASSATION"/>
      <sheetName val="DISPOFONDS"/>
      <sheetName val="DETAILFPNDSROULT"/>
      <sheetName val="DETAILFRAISEXCEPTIONNEL"/>
      <sheetName val="DETAILCOLLATION"/>
      <sheetName val="DETAILFONDSMUTUEL"/>
      <sheetName val="DETAILPENALITES"/>
      <sheetName val="DETAILFOYER"/>
      <sheetName val="DETAIL PRETENCIRCULATION"/>
      <sheetName val="DETAILLISTEROUGE"/>
      <sheetName val="DETAILINSCRIPTION"/>
      <sheetName val="DETAIL INTERETTONTINE"/>
      <sheetName val="DETAILAGIOS"/>
      <sheetName val="DETAILAUTREDEPENSE"/>
    </sheetNames>
    <sheetDataSet>
      <sheetData sheetId="0"/>
      <sheetData sheetId="1"/>
      <sheetData sheetId="2"/>
      <sheetData sheetId="3">
        <row r="18">
          <cell r="B18" t="str">
            <v>FOYER</v>
          </cell>
        </row>
        <row r="23">
          <cell r="B23" t="str">
            <v>INTERETS ET AUTRES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  <sheetName val="MVTJANV25"/>
      <sheetName val="MVTDEC24F"/>
    </sheetNames>
    <sheetDataSet>
      <sheetData sheetId="0"/>
      <sheetData sheetId="1"/>
      <sheetData sheetId="2"/>
      <sheetData sheetId="3"/>
      <sheetData sheetId="4"/>
      <sheetData sheetId="5">
        <row r="41">
          <cell r="S41">
            <v>15088500</v>
          </cell>
          <cell r="T41">
            <v>1168000</v>
          </cell>
        </row>
      </sheetData>
      <sheetData sheetId="6"/>
      <sheetData sheetId="7">
        <row r="41">
          <cell r="J41">
            <v>0</v>
          </cell>
          <cell r="L41">
            <v>720000</v>
          </cell>
          <cell r="M41">
            <v>32000</v>
          </cell>
          <cell r="N41">
            <v>32000</v>
          </cell>
          <cell r="O41">
            <v>128000</v>
          </cell>
          <cell r="P41">
            <v>9000</v>
          </cell>
          <cell r="Q41">
            <v>0</v>
          </cell>
          <cell r="R41">
            <v>0</v>
          </cell>
          <cell r="T41">
            <v>26000</v>
          </cell>
          <cell r="V41">
            <v>1000000</v>
          </cell>
          <cell r="AA41">
            <v>0</v>
          </cell>
          <cell r="AE41">
            <v>0</v>
          </cell>
          <cell r="AF41">
            <v>27000</v>
          </cell>
          <cell r="AG41">
            <v>0</v>
          </cell>
          <cell r="AH41">
            <v>100000</v>
          </cell>
          <cell r="AI41">
            <v>100000</v>
          </cell>
        </row>
      </sheetData>
      <sheetData sheetId="8">
        <row r="41">
          <cell r="J41">
            <v>0</v>
          </cell>
          <cell r="L41">
            <v>759000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92500</v>
          </cell>
          <cell r="V41">
            <v>750000</v>
          </cell>
          <cell r="AA41">
            <v>0</v>
          </cell>
          <cell r="AE41">
            <v>0</v>
          </cell>
          <cell r="AF41">
            <v>48000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9">
        <row r="41">
          <cell r="J41">
            <v>0</v>
          </cell>
          <cell r="L41">
            <v>778500</v>
          </cell>
          <cell r="M41">
            <v>32000</v>
          </cell>
          <cell r="N41">
            <v>32000</v>
          </cell>
          <cell r="O41">
            <v>128000</v>
          </cell>
          <cell r="P41">
            <v>12000</v>
          </cell>
          <cell r="Q41">
            <v>0</v>
          </cell>
          <cell r="R41">
            <v>0</v>
          </cell>
          <cell r="T41">
            <v>0</v>
          </cell>
          <cell r="V41">
            <v>0</v>
          </cell>
          <cell r="AA41">
            <v>0</v>
          </cell>
          <cell r="AE41">
            <v>0</v>
          </cell>
          <cell r="AF41">
            <v>21000</v>
          </cell>
          <cell r="AG41">
            <v>100000</v>
          </cell>
          <cell r="AH41">
            <v>0</v>
          </cell>
          <cell r="AI41">
            <v>100000</v>
          </cell>
        </row>
      </sheetData>
      <sheetData sheetId="10">
        <row r="41">
          <cell r="J41">
            <v>0</v>
          </cell>
          <cell r="L41">
            <v>725000</v>
          </cell>
          <cell r="M41">
            <v>32000</v>
          </cell>
          <cell r="N41">
            <v>32000</v>
          </cell>
          <cell r="O41">
            <v>128000</v>
          </cell>
          <cell r="P41">
            <v>9000</v>
          </cell>
          <cell r="Q41">
            <v>0</v>
          </cell>
          <cell r="R41">
            <v>0</v>
          </cell>
          <cell r="T41">
            <v>84000</v>
          </cell>
          <cell r="V41">
            <v>1500000</v>
          </cell>
          <cell r="AA41">
            <v>0</v>
          </cell>
          <cell r="AE41">
            <v>0</v>
          </cell>
          <cell r="AF41">
            <v>19000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1">
        <row r="41">
          <cell r="J41">
            <v>0</v>
          </cell>
          <cell r="L41">
            <v>724500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110000</v>
          </cell>
          <cell r="V41">
            <v>360000</v>
          </cell>
          <cell r="AA41">
            <v>0</v>
          </cell>
          <cell r="AE41">
            <v>0</v>
          </cell>
          <cell r="AF41">
            <v>12000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2">
        <row r="41">
          <cell r="J41">
            <v>0</v>
          </cell>
          <cell r="L41">
            <v>1698100</v>
          </cell>
          <cell r="M41">
            <v>32000</v>
          </cell>
          <cell r="N41">
            <v>32000</v>
          </cell>
          <cell r="O41">
            <v>128000</v>
          </cell>
          <cell r="P41">
            <v>12000</v>
          </cell>
          <cell r="Q41">
            <v>0</v>
          </cell>
          <cell r="R41">
            <v>0</v>
          </cell>
          <cell r="T41">
            <v>128400</v>
          </cell>
          <cell r="V41">
            <v>1738500</v>
          </cell>
          <cell r="AA41">
            <v>0</v>
          </cell>
          <cell r="AE41">
            <v>0</v>
          </cell>
          <cell r="AF41">
            <v>42000</v>
          </cell>
          <cell r="AG41">
            <v>288500</v>
          </cell>
          <cell r="AH41">
            <v>0</v>
          </cell>
          <cell r="AI41">
            <v>100000</v>
          </cell>
        </row>
      </sheetData>
      <sheetData sheetId="13">
        <row r="41">
          <cell r="J41">
            <v>0</v>
          </cell>
          <cell r="L41">
            <v>658500</v>
          </cell>
          <cell r="M41">
            <v>31000</v>
          </cell>
          <cell r="N41">
            <v>31000</v>
          </cell>
          <cell r="O41">
            <v>124000</v>
          </cell>
          <cell r="P41">
            <v>3000</v>
          </cell>
          <cell r="Q41">
            <v>0</v>
          </cell>
          <cell r="R41">
            <v>0</v>
          </cell>
          <cell r="T41">
            <v>20000</v>
          </cell>
          <cell r="V41">
            <v>0</v>
          </cell>
          <cell r="AA41">
            <v>0</v>
          </cell>
          <cell r="AE41">
            <v>0</v>
          </cell>
          <cell r="AF41">
            <v>6000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4">
        <row r="41">
          <cell r="J41">
            <v>0</v>
          </cell>
          <cell r="L41">
            <v>1585250</v>
          </cell>
          <cell r="M41">
            <v>33000</v>
          </cell>
          <cell r="N41">
            <v>33000</v>
          </cell>
          <cell r="O41">
            <v>132000</v>
          </cell>
          <cell r="P41">
            <v>18000</v>
          </cell>
          <cell r="Q41">
            <v>0</v>
          </cell>
          <cell r="R41">
            <v>120000</v>
          </cell>
          <cell r="T41">
            <v>20000</v>
          </cell>
          <cell r="V41">
            <v>0</v>
          </cell>
          <cell r="AA41">
            <v>0</v>
          </cell>
          <cell r="AE41">
            <v>380000</v>
          </cell>
          <cell r="AF41">
            <v>6000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5">
        <row r="41">
          <cell r="J41">
            <v>0</v>
          </cell>
          <cell r="L41">
            <v>734000</v>
          </cell>
          <cell r="M41">
            <v>32000</v>
          </cell>
          <cell r="N41">
            <v>32000</v>
          </cell>
          <cell r="O41">
            <v>128000</v>
          </cell>
          <cell r="P41">
            <v>6000</v>
          </cell>
          <cell r="Q41">
            <v>0</v>
          </cell>
          <cell r="R41">
            <v>0</v>
          </cell>
          <cell r="T41">
            <v>0</v>
          </cell>
          <cell r="V41">
            <v>100000</v>
          </cell>
          <cell r="AA41">
            <v>0</v>
          </cell>
          <cell r="AE41">
            <v>20000</v>
          </cell>
          <cell r="AF41">
            <v>6000</v>
          </cell>
          <cell r="AG41">
            <v>321500</v>
          </cell>
          <cell r="AH41">
            <v>0</v>
          </cell>
          <cell r="AI41">
            <v>100000</v>
          </cell>
        </row>
      </sheetData>
      <sheetData sheetId="16">
        <row r="41">
          <cell r="J41">
            <v>0</v>
          </cell>
          <cell r="L41">
            <v>678500</v>
          </cell>
          <cell r="M41">
            <v>32000</v>
          </cell>
          <cell r="N41">
            <v>32000</v>
          </cell>
          <cell r="O41">
            <v>128000</v>
          </cell>
          <cell r="P41">
            <v>15000</v>
          </cell>
          <cell r="Q41">
            <v>0</v>
          </cell>
          <cell r="R41">
            <v>0</v>
          </cell>
          <cell r="T41">
            <v>10000</v>
          </cell>
          <cell r="V41">
            <v>1190000</v>
          </cell>
          <cell r="AA41">
            <v>0</v>
          </cell>
          <cell r="AE41">
            <v>0</v>
          </cell>
          <cell r="AF41">
            <v>6000</v>
          </cell>
          <cell r="AG41">
            <v>50000</v>
          </cell>
          <cell r="AH41">
            <v>100000</v>
          </cell>
          <cell r="AI41">
            <v>106000</v>
          </cell>
        </row>
      </sheetData>
      <sheetData sheetId="17">
        <row r="7">
          <cell r="A7" t="str">
            <v>AS201601</v>
          </cell>
        </row>
        <row r="41">
          <cell r="J41">
            <v>0</v>
          </cell>
          <cell r="L41">
            <v>1337500</v>
          </cell>
          <cell r="M41">
            <v>32000</v>
          </cell>
          <cell r="N41">
            <v>32000</v>
          </cell>
          <cell r="O41">
            <v>128000</v>
          </cell>
          <cell r="P41">
            <v>0</v>
          </cell>
          <cell r="Q41">
            <v>0</v>
          </cell>
          <cell r="R41">
            <v>0</v>
          </cell>
          <cell r="T41">
            <v>147250</v>
          </cell>
          <cell r="V41">
            <v>11817500</v>
          </cell>
          <cell r="AA41">
            <v>0</v>
          </cell>
          <cell r="AE41">
            <v>371700</v>
          </cell>
          <cell r="AF41">
            <v>31000</v>
          </cell>
          <cell r="AG41">
            <v>0</v>
          </cell>
          <cell r="AH41">
            <v>0</v>
          </cell>
          <cell r="AI41">
            <v>100000</v>
          </cell>
        </row>
      </sheetData>
      <sheetData sheetId="18">
        <row r="7">
          <cell r="A7" t="str">
            <v>AS201648</v>
          </cell>
          <cell r="B7" t="str">
            <v>ASELBY</v>
          </cell>
          <cell r="C7">
            <v>0</v>
          </cell>
          <cell r="D7">
            <v>886523.25892224163</v>
          </cell>
          <cell r="E7">
            <v>0</v>
          </cell>
          <cell r="F7">
            <v>956757.45601743239</v>
          </cell>
          <cell r="G7">
            <v>956757.45601743239</v>
          </cell>
          <cell r="H7">
            <v>74148.368569555823</v>
          </cell>
          <cell r="I7">
            <v>1030905.8245869882</v>
          </cell>
          <cell r="J7">
            <v>0</v>
          </cell>
          <cell r="K7">
            <v>0</v>
          </cell>
          <cell r="L7">
            <v>62000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251000</v>
          </cell>
          <cell r="AG7">
            <v>960000</v>
          </cell>
          <cell r="AH7">
            <v>200000</v>
          </cell>
          <cell r="AI7">
            <v>300000</v>
          </cell>
          <cell r="AJ7">
            <v>0</v>
          </cell>
          <cell r="AK7">
            <v>0</v>
          </cell>
          <cell r="AM7">
            <v>0</v>
          </cell>
          <cell r="AN7">
            <v>9326618</v>
          </cell>
        </row>
        <row r="8">
          <cell r="A8" t="str">
            <v>AS201601</v>
          </cell>
          <cell r="B8" t="str">
            <v>BAKOP ACHILLE</v>
          </cell>
          <cell r="C8"/>
          <cell r="D8">
            <v>1356964</v>
          </cell>
          <cell r="E8">
            <v>0</v>
          </cell>
          <cell r="F8">
            <v>927954.0172185261</v>
          </cell>
          <cell r="G8">
            <v>927954.0172185261</v>
          </cell>
          <cell r="H8">
            <v>17268.351515034443</v>
          </cell>
          <cell r="I8">
            <v>945222.36873356055</v>
          </cell>
          <cell r="J8">
            <v>0</v>
          </cell>
          <cell r="K8">
            <v>308000</v>
          </cell>
          <cell r="L8">
            <v>236000</v>
          </cell>
          <cell r="M8">
            <v>12000</v>
          </cell>
          <cell r="N8">
            <v>12000</v>
          </cell>
          <cell r="O8">
            <v>48000</v>
          </cell>
          <cell r="P8">
            <v>15000</v>
          </cell>
          <cell r="Q8">
            <v>0</v>
          </cell>
          <cell r="R8">
            <v>0</v>
          </cell>
          <cell r="S8">
            <v>600000</v>
          </cell>
          <cell r="T8">
            <v>117000</v>
          </cell>
          <cell r="V8">
            <v>0</v>
          </cell>
          <cell r="W8">
            <v>600000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45474</v>
          </cell>
          <cell r="AM8">
            <v>117000</v>
          </cell>
          <cell r="AN8">
            <v>0</v>
          </cell>
        </row>
        <row r="9">
          <cell r="A9" t="str">
            <v>AS201602</v>
          </cell>
          <cell r="B9" t="str">
            <v>BOUTCHOUANG WILLIAM</v>
          </cell>
          <cell r="C9">
            <v>700000</v>
          </cell>
          <cell r="D9">
            <v>33.12626320522395</v>
          </cell>
          <cell r="E9">
            <v>0</v>
          </cell>
          <cell r="F9">
            <v>982346.23247952305</v>
          </cell>
          <cell r="G9">
            <v>982346.23247952305</v>
          </cell>
          <cell r="H9">
            <v>61331.963427137409</v>
          </cell>
          <cell r="I9">
            <v>1043678.1959066605</v>
          </cell>
          <cell r="J9">
            <v>0</v>
          </cell>
          <cell r="K9">
            <v>297000</v>
          </cell>
          <cell r="L9">
            <v>225000</v>
          </cell>
          <cell r="M9">
            <v>12000</v>
          </cell>
          <cell r="N9">
            <v>12000</v>
          </cell>
          <cell r="O9">
            <v>48000</v>
          </cell>
          <cell r="P9">
            <v>6000</v>
          </cell>
          <cell r="Q9">
            <v>0</v>
          </cell>
          <cell r="R9">
            <v>0</v>
          </cell>
          <cell r="S9">
            <v>1000000</v>
          </cell>
          <cell r="T9">
            <v>60000</v>
          </cell>
          <cell r="V9">
            <v>500000</v>
          </cell>
          <cell r="W9">
            <v>500000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7750</v>
          </cell>
          <cell r="AK9">
            <v>0</v>
          </cell>
          <cell r="AL9">
            <v>45352</v>
          </cell>
          <cell r="AM9">
            <v>60000</v>
          </cell>
          <cell r="AN9">
            <v>0</v>
          </cell>
        </row>
        <row r="10">
          <cell r="A10" t="str">
            <v>AS201604</v>
          </cell>
          <cell r="B10" t="str">
            <v xml:space="preserve">DJOMO JEAN PAUL </v>
          </cell>
          <cell r="C10">
            <v>700000</v>
          </cell>
          <cell r="D10">
            <v>53357.826243040035</v>
          </cell>
          <cell r="E10">
            <v>0</v>
          </cell>
          <cell r="F10">
            <v>1035404.4269359384</v>
          </cell>
          <cell r="G10">
            <v>1035404.4269359384</v>
          </cell>
          <cell r="H10">
            <v>65782.523231943604</v>
          </cell>
          <cell r="I10">
            <v>1101186.950167882</v>
          </cell>
          <cell r="J10">
            <v>0</v>
          </cell>
          <cell r="K10">
            <v>292500</v>
          </cell>
          <cell r="L10">
            <v>220500</v>
          </cell>
          <cell r="M10">
            <v>12000</v>
          </cell>
          <cell r="N10">
            <v>12000</v>
          </cell>
          <cell r="O10">
            <v>48000</v>
          </cell>
          <cell r="P10">
            <v>0</v>
          </cell>
          <cell r="Q10">
            <v>0</v>
          </cell>
          <cell r="R10">
            <v>0</v>
          </cell>
          <cell r="S10">
            <v>2000000</v>
          </cell>
          <cell r="T10">
            <v>120000</v>
          </cell>
          <cell r="V10">
            <v>1000000</v>
          </cell>
          <cell r="W10">
            <v>1000000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45627</v>
          </cell>
          <cell r="AM10">
            <v>120000</v>
          </cell>
          <cell r="AN10">
            <v>0</v>
          </cell>
        </row>
        <row r="11">
          <cell r="A11" t="str">
            <v>AS201654</v>
          </cell>
          <cell r="B11" t="str">
            <v>DJOMOU TCHAPDA</v>
          </cell>
          <cell r="C11">
            <v>700000</v>
          </cell>
          <cell r="D11">
            <v>294.67929590542917</v>
          </cell>
          <cell r="E11">
            <v>0</v>
          </cell>
          <cell r="F11">
            <v>979078.22072936664</v>
          </cell>
          <cell r="G11">
            <v>979078.22072936664</v>
          </cell>
          <cell r="H11">
            <v>61289.02894615112</v>
          </cell>
          <cell r="I11">
            <v>1040367.2496755178</v>
          </cell>
          <cell r="J11">
            <v>0</v>
          </cell>
          <cell r="K11">
            <v>293500</v>
          </cell>
          <cell r="L11">
            <v>221500</v>
          </cell>
          <cell r="M11">
            <v>12000</v>
          </cell>
          <cell r="N11">
            <v>12000</v>
          </cell>
          <cell r="O11">
            <v>48000</v>
          </cell>
          <cell r="P11">
            <v>9000</v>
          </cell>
          <cell r="Q11">
            <v>0</v>
          </cell>
          <cell r="R11">
            <v>0</v>
          </cell>
          <cell r="S11">
            <v>2000000</v>
          </cell>
          <cell r="T11">
            <v>120000</v>
          </cell>
          <cell r="V11">
            <v>1000000</v>
          </cell>
          <cell r="W11">
            <v>1000000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45627</v>
          </cell>
          <cell r="AM11">
            <v>120000</v>
          </cell>
          <cell r="AN11">
            <v>0</v>
          </cell>
        </row>
        <row r="12">
          <cell r="A12" t="str">
            <v>AS201605</v>
          </cell>
          <cell r="B12" t="str">
            <v>DJOUKWE NANGUEN GUY BLAISE</v>
          </cell>
          <cell r="C12">
            <v>700000</v>
          </cell>
          <cell r="D12">
            <v>2196.7678974067676</v>
          </cell>
          <cell r="E12">
            <v>0</v>
          </cell>
          <cell r="F12">
            <v>1010968.1442096249</v>
          </cell>
          <cell r="G12">
            <v>1010968.1442096249</v>
          </cell>
          <cell r="H12">
            <v>61907.328059099258</v>
          </cell>
          <cell r="I12">
            <v>1072875.4722687241</v>
          </cell>
          <cell r="J12">
            <v>0</v>
          </cell>
          <cell r="K12">
            <v>323000</v>
          </cell>
          <cell r="L12">
            <v>251000</v>
          </cell>
          <cell r="M12">
            <v>12000</v>
          </cell>
          <cell r="N12">
            <v>12000</v>
          </cell>
          <cell r="O12">
            <v>48000</v>
          </cell>
          <cell r="P12">
            <v>3000</v>
          </cell>
          <cell r="Q12">
            <v>0</v>
          </cell>
          <cell r="R12">
            <v>0</v>
          </cell>
          <cell r="S12">
            <v>2000000</v>
          </cell>
          <cell r="T12">
            <v>60000</v>
          </cell>
          <cell r="V12">
            <v>1000000</v>
          </cell>
          <cell r="W12">
            <v>1000000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155000</v>
          </cell>
          <cell r="AK12">
            <v>0</v>
          </cell>
          <cell r="AL12">
            <v>45474</v>
          </cell>
          <cell r="AM12">
            <v>60000</v>
          </cell>
          <cell r="AN12">
            <v>0</v>
          </cell>
        </row>
        <row r="13">
          <cell r="A13" t="str">
            <v>AS201608</v>
          </cell>
          <cell r="B13" t="str">
            <v>DJUOMBESSY ANTOINE</v>
          </cell>
          <cell r="C13">
            <v>700000</v>
          </cell>
          <cell r="D13">
            <v>14513.277451620379</v>
          </cell>
          <cell r="E13">
            <v>0</v>
          </cell>
          <cell r="F13">
            <v>1069172.7951158585</v>
          </cell>
          <cell r="G13">
            <v>1069172.7951158585</v>
          </cell>
          <cell r="H13">
            <v>63433.589305372217</v>
          </cell>
          <cell r="I13">
            <v>1132606.3844212308</v>
          </cell>
          <cell r="J13">
            <v>0</v>
          </cell>
          <cell r="K13">
            <v>367600</v>
          </cell>
          <cell r="L13">
            <v>295600</v>
          </cell>
          <cell r="M13">
            <v>12000</v>
          </cell>
          <cell r="N13">
            <v>12000</v>
          </cell>
          <cell r="O13">
            <v>48000</v>
          </cell>
          <cell r="P13">
            <v>0</v>
          </cell>
          <cell r="Q13">
            <v>0</v>
          </cell>
          <cell r="R13">
            <v>0</v>
          </cell>
          <cell r="S13">
            <v>2000000</v>
          </cell>
          <cell r="T13">
            <v>68400</v>
          </cell>
          <cell r="V13">
            <v>1000000</v>
          </cell>
          <cell r="W13">
            <v>1000000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45627</v>
          </cell>
          <cell r="AM13">
            <v>68400</v>
          </cell>
          <cell r="AN13">
            <v>0</v>
          </cell>
        </row>
        <row r="14">
          <cell r="A14" t="str">
            <v>AS201651</v>
          </cell>
          <cell r="B14" t="str">
            <v>DOMOU FABIEN</v>
          </cell>
          <cell r="C14">
            <v>700000</v>
          </cell>
          <cell r="D14">
            <v>41.235805909789633</v>
          </cell>
          <cell r="E14">
            <v>0</v>
          </cell>
          <cell r="F14">
            <v>985405.65692185995</v>
          </cell>
          <cell r="G14">
            <v>985405.65692185995</v>
          </cell>
          <cell r="H14">
            <v>61395.794677496764</v>
          </cell>
          <cell r="I14">
            <v>1046801.4515993567</v>
          </cell>
          <cell r="J14">
            <v>0</v>
          </cell>
          <cell r="K14">
            <v>300000</v>
          </cell>
          <cell r="L14">
            <v>228000</v>
          </cell>
          <cell r="M14">
            <v>12000</v>
          </cell>
          <cell r="N14">
            <v>12000</v>
          </cell>
          <cell r="O14">
            <v>48000</v>
          </cell>
          <cell r="P14">
            <v>0</v>
          </cell>
          <cell r="Q14">
            <v>0</v>
          </cell>
          <cell r="R14">
            <v>0</v>
          </cell>
          <cell r="S14">
            <v>1000000</v>
          </cell>
          <cell r="T14">
            <v>120000</v>
          </cell>
          <cell r="V14">
            <v>1000000</v>
          </cell>
          <cell r="W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45627</v>
          </cell>
          <cell r="AM14">
            <v>120000</v>
          </cell>
          <cell r="AN14">
            <v>0</v>
          </cell>
        </row>
        <row r="15">
          <cell r="A15" t="str">
            <v>AS201609</v>
          </cell>
          <cell r="B15" t="str">
            <v>DONHOU DAVID</v>
          </cell>
          <cell r="C15">
            <v>700000</v>
          </cell>
          <cell r="D15">
            <v>518031.2910165739</v>
          </cell>
          <cell r="E15">
            <v>0</v>
          </cell>
          <cell r="F15">
            <v>1544433.1189516559</v>
          </cell>
          <cell r="G15">
            <v>1544433.1189516559</v>
          </cell>
          <cell r="H15">
            <v>104720.22767186417</v>
          </cell>
          <cell r="I15">
            <v>1649153.3466235201</v>
          </cell>
          <cell r="J15">
            <v>0</v>
          </cell>
          <cell r="K15">
            <v>300000</v>
          </cell>
          <cell r="L15">
            <v>228000</v>
          </cell>
          <cell r="M15">
            <v>12000</v>
          </cell>
          <cell r="N15">
            <v>12000</v>
          </cell>
          <cell r="O15">
            <v>48000</v>
          </cell>
          <cell r="P15">
            <v>3000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M15">
            <v>0</v>
          </cell>
          <cell r="AN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700000</v>
          </cell>
          <cell r="D16">
            <v>57899.603500921949</v>
          </cell>
          <cell r="E16">
            <v>0</v>
          </cell>
          <cell r="F16">
            <v>1047847.8141107176</v>
          </cell>
          <cell r="G16">
            <v>1047847.8141107176</v>
          </cell>
          <cell r="H16">
            <v>66235.0400436005</v>
          </cell>
          <cell r="I16">
            <v>1114082.8541543181</v>
          </cell>
          <cell r="J16">
            <v>0</v>
          </cell>
          <cell r="K16">
            <v>300000</v>
          </cell>
          <cell r="L16">
            <v>228000</v>
          </cell>
          <cell r="M16">
            <v>12000</v>
          </cell>
          <cell r="N16">
            <v>12000</v>
          </cell>
          <cell r="O16">
            <v>48000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>
            <v>70000</v>
          </cell>
          <cell r="V16">
            <v>0</v>
          </cell>
          <cell r="W16">
            <v>1000000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45627</v>
          </cell>
          <cell r="AM16">
            <v>70000</v>
          </cell>
          <cell r="AN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700000</v>
          </cell>
          <cell r="D17">
            <v>29661.208104101592</v>
          </cell>
          <cell r="E17">
            <v>0</v>
          </cell>
          <cell r="F17">
            <v>1379742.1014354646</v>
          </cell>
          <cell r="G17">
            <v>1379742.1014354646</v>
          </cell>
          <cell r="H17">
            <v>68725.52890901413</v>
          </cell>
          <cell r="I17">
            <v>1448467.6303444786</v>
          </cell>
          <cell r="J17">
            <v>0</v>
          </cell>
          <cell r="K17">
            <v>659000</v>
          </cell>
          <cell r="L17">
            <v>587000</v>
          </cell>
          <cell r="M17">
            <v>12000</v>
          </cell>
          <cell r="N17">
            <v>12000</v>
          </cell>
          <cell r="O17">
            <v>48000</v>
          </cell>
          <cell r="P17">
            <v>0</v>
          </cell>
          <cell r="Q17">
            <v>0</v>
          </cell>
          <cell r="R17">
            <v>0</v>
          </cell>
          <cell r="S17">
            <v>1238500</v>
          </cell>
          <cell r="T17">
            <v>30000</v>
          </cell>
          <cell r="V17">
            <v>1238500</v>
          </cell>
          <cell r="W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45627</v>
          </cell>
          <cell r="AM17">
            <v>30000</v>
          </cell>
          <cell r="AN17">
            <v>0</v>
          </cell>
        </row>
        <row r="18">
          <cell r="A18" t="str">
            <v>AS201617</v>
          </cell>
          <cell r="B18" t="str">
            <v>KOUAMOU MOISE</v>
          </cell>
          <cell r="C18">
            <v>700000</v>
          </cell>
          <cell r="D18">
            <v>9267.5051528789336</v>
          </cell>
          <cell r="E18">
            <v>0</v>
          </cell>
          <cell r="F18">
            <v>991355.40833892452</v>
          </cell>
          <cell r="G18">
            <v>991355.40833892452</v>
          </cell>
          <cell r="H18">
            <v>62143.617657746596</v>
          </cell>
          <cell r="I18">
            <v>1053499.0259966711</v>
          </cell>
          <cell r="J18">
            <v>0</v>
          </cell>
          <cell r="K18">
            <v>296000</v>
          </cell>
          <cell r="L18">
            <v>224000</v>
          </cell>
          <cell r="M18">
            <v>12000</v>
          </cell>
          <cell r="N18">
            <v>12000</v>
          </cell>
          <cell r="O18">
            <v>48000</v>
          </cell>
          <cell r="P18">
            <v>6000</v>
          </cell>
          <cell r="Q18">
            <v>0</v>
          </cell>
          <cell r="R18">
            <v>0</v>
          </cell>
          <cell r="S18">
            <v>1000000</v>
          </cell>
          <cell r="T18">
            <v>110000</v>
          </cell>
          <cell r="V18">
            <v>670000</v>
          </cell>
          <cell r="W18">
            <v>330000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  <cell r="AL18">
            <v>45627</v>
          </cell>
          <cell r="AM18">
            <v>110000</v>
          </cell>
          <cell r="AN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700000</v>
          </cell>
          <cell r="D19">
            <v>24428.628065245139</v>
          </cell>
          <cell r="E19">
            <v>0</v>
          </cell>
          <cell r="F19">
            <v>1104474.8900474524</v>
          </cell>
          <cell r="G19">
            <v>1104474.8900474524</v>
          </cell>
          <cell r="H19">
            <v>64564.757324560269</v>
          </cell>
          <cell r="I19">
            <v>1169039.6473720127</v>
          </cell>
          <cell r="J19">
            <v>0</v>
          </cell>
          <cell r="K19">
            <v>392000</v>
          </cell>
          <cell r="L19">
            <v>320000</v>
          </cell>
          <cell r="M19">
            <v>12000</v>
          </cell>
          <cell r="N19">
            <v>12000</v>
          </cell>
          <cell r="O19">
            <v>48000</v>
          </cell>
          <cell r="P19">
            <v>6000</v>
          </cell>
          <cell r="Q19">
            <v>0</v>
          </cell>
          <cell r="R19">
            <v>0</v>
          </cell>
          <cell r="S19">
            <v>2350000</v>
          </cell>
          <cell r="T19">
            <v>64000</v>
          </cell>
          <cell r="V19">
            <v>1350000</v>
          </cell>
          <cell r="W19">
            <v>1000000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45627</v>
          </cell>
          <cell r="AM19">
            <v>64000</v>
          </cell>
          <cell r="AN19">
            <v>0</v>
          </cell>
        </row>
        <row r="20">
          <cell r="A20" t="str">
            <v>AS201620</v>
          </cell>
          <cell r="B20" t="str">
            <v>LOWE JEAN</v>
          </cell>
          <cell r="C20"/>
          <cell r="D20">
            <v>1352434</v>
          </cell>
          <cell r="E20"/>
          <cell r="F20">
            <v>676217</v>
          </cell>
          <cell r="G20">
            <v>0</v>
          </cell>
          <cell r="H20">
            <v>0</v>
          </cell>
          <cell r="I20">
            <v>676217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M20">
            <v>0</v>
          </cell>
          <cell r="AN20">
            <v>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0</v>
          </cell>
          <cell r="E21">
            <v>0</v>
          </cell>
          <cell r="F21">
            <v>525500</v>
          </cell>
          <cell r="G21">
            <v>0</v>
          </cell>
          <cell r="H21">
            <v>0</v>
          </cell>
          <cell r="I21">
            <v>525500</v>
          </cell>
          <cell r="J21">
            <v>0</v>
          </cell>
          <cell r="K21">
            <v>597500</v>
          </cell>
          <cell r="L21">
            <v>525500</v>
          </cell>
          <cell r="M21">
            <v>12000</v>
          </cell>
          <cell r="N21">
            <v>12000</v>
          </cell>
          <cell r="O21">
            <v>48000</v>
          </cell>
          <cell r="P21">
            <v>0</v>
          </cell>
          <cell r="Q21">
            <v>25000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190000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M21">
            <v>0</v>
          </cell>
          <cell r="AN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700000</v>
          </cell>
          <cell r="D22">
            <v>31709.397241182596</v>
          </cell>
          <cell r="E22">
            <v>0</v>
          </cell>
          <cell r="F22">
            <v>1018064.0502007741</v>
          </cell>
          <cell r="G22">
            <v>1018064.0502007741</v>
          </cell>
          <cell r="H22">
            <v>64019.634626899009</v>
          </cell>
          <cell r="I22">
            <v>1082083.684827673</v>
          </cell>
          <cell r="J22">
            <v>0</v>
          </cell>
          <cell r="K22">
            <v>298500</v>
          </cell>
          <cell r="L22">
            <v>226500</v>
          </cell>
          <cell r="M22">
            <v>12000</v>
          </cell>
          <cell r="N22">
            <v>12000</v>
          </cell>
          <cell r="O22">
            <v>48000</v>
          </cell>
          <cell r="P22">
            <v>0</v>
          </cell>
          <cell r="Q22">
            <v>0</v>
          </cell>
          <cell r="R22">
            <v>0</v>
          </cell>
          <cell r="S22">
            <v>2000000</v>
          </cell>
          <cell r="T22">
            <v>120000</v>
          </cell>
          <cell r="V22">
            <v>1000000</v>
          </cell>
          <cell r="W22">
            <v>1000000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66700</v>
          </cell>
          <cell r="AF22">
            <v>0</v>
          </cell>
          <cell r="AG22">
            <v>0</v>
          </cell>
          <cell r="AH22">
            <v>0</v>
          </cell>
          <cell r="AI22">
            <v>6000</v>
          </cell>
          <cell r="AJ22">
            <v>0</v>
          </cell>
          <cell r="AK22">
            <v>0</v>
          </cell>
          <cell r="AL22">
            <v>45627</v>
          </cell>
          <cell r="AM22">
            <v>120000</v>
          </cell>
          <cell r="AN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700000</v>
          </cell>
          <cell r="D23">
            <v>1150.3620808817795</v>
          </cell>
          <cell r="E23">
            <v>0</v>
          </cell>
          <cell r="F23">
            <v>986602.65296518349</v>
          </cell>
          <cell r="G23">
            <v>986602.65296518349</v>
          </cell>
          <cell r="H23">
            <v>61488.56145264802</v>
          </cell>
          <cell r="I23">
            <v>1048091.2144178315</v>
          </cell>
          <cell r="J23">
            <v>0</v>
          </cell>
          <cell r="K23">
            <v>300000</v>
          </cell>
          <cell r="L23">
            <v>228000</v>
          </cell>
          <cell r="M23">
            <v>12000</v>
          </cell>
          <cell r="N23">
            <v>12000</v>
          </cell>
          <cell r="O23">
            <v>48000</v>
          </cell>
          <cell r="P23">
            <v>0</v>
          </cell>
          <cell r="Q23">
            <v>0</v>
          </cell>
          <cell r="R23">
            <v>0</v>
          </cell>
          <cell r="S23">
            <v>300000</v>
          </cell>
          <cell r="T23">
            <v>64500</v>
          </cell>
          <cell r="V23">
            <v>300000</v>
          </cell>
          <cell r="W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46500</v>
          </cell>
          <cell r="AK23">
            <v>0</v>
          </cell>
          <cell r="AL23">
            <v>45474</v>
          </cell>
          <cell r="AM23">
            <v>64500</v>
          </cell>
          <cell r="AN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700000</v>
          </cell>
          <cell r="D24">
            <v>100402.23439018801</v>
          </cell>
          <cell r="E24">
            <v>0</v>
          </cell>
          <cell r="F24">
            <v>1093717.6867783549</v>
          </cell>
          <cell r="G24">
            <v>1093717.6867783549</v>
          </cell>
          <cell r="H24">
            <v>69789.939149332262</v>
          </cell>
          <cell r="I24">
            <v>1163507.6259276872</v>
          </cell>
          <cell r="J24">
            <v>0</v>
          </cell>
          <cell r="K24">
            <v>300000</v>
          </cell>
          <cell r="L24">
            <v>228000</v>
          </cell>
          <cell r="M24">
            <v>12000</v>
          </cell>
          <cell r="N24">
            <v>12000</v>
          </cell>
          <cell r="O24">
            <v>48000</v>
          </cell>
          <cell r="P24">
            <v>3000</v>
          </cell>
          <cell r="Q24">
            <v>0</v>
          </cell>
          <cell r="R24">
            <v>0</v>
          </cell>
          <cell r="S24">
            <v>1900000</v>
          </cell>
          <cell r="T24">
            <v>120000</v>
          </cell>
          <cell r="V24">
            <v>1000000</v>
          </cell>
          <cell r="W24">
            <v>900000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45627</v>
          </cell>
          <cell r="AM24">
            <v>120000</v>
          </cell>
          <cell r="AN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700000</v>
          </cell>
          <cell r="D25">
            <v>224970.61781197961</v>
          </cell>
          <cell r="E25">
            <v>0</v>
          </cell>
          <cell r="F25">
            <v>1369338.144939593</v>
          </cell>
          <cell r="G25">
            <v>1369338.144939593</v>
          </cell>
          <cell r="H25">
            <v>81969.599284953001</v>
          </cell>
          <cell r="I25">
            <v>1451307.744224546</v>
          </cell>
          <cell r="J25">
            <v>0</v>
          </cell>
          <cell r="K25">
            <v>440000</v>
          </cell>
          <cell r="L25">
            <v>368000</v>
          </cell>
          <cell r="M25">
            <v>12000</v>
          </cell>
          <cell r="N25">
            <v>12000</v>
          </cell>
          <cell r="O25">
            <v>48000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>
            <v>60000</v>
          </cell>
          <cell r="V25">
            <v>500000</v>
          </cell>
          <cell r="W25">
            <v>500000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45627</v>
          </cell>
          <cell r="AM25">
            <v>60000</v>
          </cell>
          <cell r="AN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700000</v>
          </cell>
          <cell r="D26">
            <v>57632.732271146844</v>
          </cell>
          <cell r="E26">
            <v>0</v>
          </cell>
          <cell r="F26">
            <v>1213902.9603721222</v>
          </cell>
          <cell r="G26">
            <v>1213902.9603721222</v>
          </cell>
          <cell r="H26">
            <v>68236.402453996707</v>
          </cell>
          <cell r="I26">
            <v>1282139.3628261189</v>
          </cell>
          <cell r="J26">
            <v>0</v>
          </cell>
          <cell r="K26">
            <v>465000</v>
          </cell>
          <cell r="L26">
            <v>393000</v>
          </cell>
          <cell r="M26">
            <v>12000</v>
          </cell>
          <cell r="N26">
            <v>12000</v>
          </cell>
          <cell r="O26">
            <v>48000</v>
          </cell>
          <cell r="P26">
            <v>12000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V26">
            <v>1000000</v>
          </cell>
          <cell r="W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100000</v>
          </cell>
          <cell r="AJ26">
            <v>0</v>
          </cell>
          <cell r="AK26">
            <v>0</v>
          </cell>
          <cell r="AL26">
            <v>45627</v>
          </cell>
          <cell r="AM26">
            <v>120000</v>
          </cell>
          <cell r="AN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700000</v>
          </cell>
          <cell r="D27">
            <v>20382.784231808502</v>
          </cell>
          <cell r="E27">
            <v>0</v>
          </cell>
          <cell r="F27">
            <v>999872.42433941911</v>
          </cell>
          <cell r="G27">
            <v>999872.42433941911</v>
          </cell>
          <cell r="H27">
            <v>63080.198374743843</v>
          </cell>
          <cell r="I27">
            <v>1062952.622714163</v>
          </cell>
          <cell r="J27">
            <v>0</v>
          </cell>
          <cell r="K27">
            <v>292500</v>
          </cell>
          <cell r="L27">
            <v>220500</v>
          </cell>
          <cell r="M27">
            <v>12000</v>
          </cell>
          <cell r="N27">
            <v>12000</v>
          </cell>
          <cell r="O27">
            <v>48000</v>
          </cell>
          <cell r="P27">
            <v>3000</v>
          </cell>
          <cell r="Q27">
            <v>0</v>
          </cell>
          <cell r="R27">
            <v>0</v>
          </cell>
          <cell r="S27">
            <v>2000000</v>
          </cell>
          <cell r="T27">
            <v>120000</v>
          </cell>
          <cell r="V27">
            <v>1000000</v>
          </cell>
          <cell r="W27">
            <v>1000000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45627</v>
          </cell>
          <cell r="AM27">
            <v>120000</v>
          </cell>
          <cell r="AN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700000</v>
          </cell>
          <cell r="D28">
            <v>19031.484583758342</v>
          </cell>
          <cell r="E28">
            <v>0</v>
          </cell>
          <cell r="F28">
            <v>1007405.9978122362</v>
          </cell>
          <cell r="G28">
            <v>1007405.9978122362</v>
          </cell>
          <cell r="H28">
            <v>62995.891948801094</v>
          </cell>
          <cell r="I28">
            <v>1070401.8897610372</v>
          </cell>
          <cell r="J28">
            <v>0</v>
          </cell>
          <cell r="K28">
            <v>301500</v>
          </cell>
          <cell r="L28">
            <v>229500</v>
          </cell>
          <cell r="M28">
            <v>12000</v>
          </cell>
          <cell r="N28">
            <v>12000</v>
          </cell>
          <cell r="O28">
            <v>48000</v>
          </cell>
          <cell r="P28">
            <v>0</v>
          </cell>
          <cell r="Q28">
            <v>0</v>
          </cell>
          <cell r="R28">
            <v>0</v>
          </cell>
          <cell r="S28">
            <v>2000000</v>
          </cell>
          <cell r="T28">
            <v>90000</v>
          </cell>
          <cell r="V28">
            <v>1000000</v>
          </cell>
          <cell r="W28">
            <v>1000000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45566</v>
          </cell>
          <cell r="AM28">
            <v>90000</v>
          </cell>
          <cell r="AN28">
            <v>0</v>
          </cell>
        </row>
        <row r="29">
          <cell r="A29" t="str">
            <v>AS201656</v>
          </cell>
          <cell r="B29" t="str">
            <v>NOUBE ETIENNE</v>
          </cell>
          <cell r="C29"/>
          <cell r="D29">
            <v>1332038</v>
          </cell>
          <cell r="E29">
            <v>0</v>
          </cell>
          <cell r="F29">
            <v>907028.42220575782</v>
          </cell>
          <cell r="G29">
            <v>907028.42220575782</v>
          </cell>
          <cell r="H29">
            <v>16720.148215058223</v>
          </cell>
          <cell r="I29">
            <v>923748.57042081608</v>
          </cell>
          <cell r="J29">
            <v>0</v>
          </cell>
          <cell r="K29">
            <v>300000</v>
          </cell>
          <cell r="L29">
            <v>228000</v>
          </cell>
          <cell r="M29">
            <v>12000</v>
          </cell>
          <cell r="N29">
            <v>12000</v>
          </cell>
          <cell r="O29">
            <v>48000</v>
          </cell>
          <cell r="P29">
            <v>0</v>
          </cell>
          <cell r="Q29">
            <v>0</v>
          </cell>
          <cell r="R29">
            <v>0</v>
          </cell>
          <cell r="S29">
            <v>50000</v>
          </cell>
          <cell r="T29">
            <v>9250</v>
          </cell>
          <cell r="V29">
            <v>50000</v>
          </cell>
          <cell r="W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20000</v>
          </cell>
          <cell r="AF29">
            <v>0</v>
          </cell>
          <cell r="AG29">
            <v>0</v>
          </cell>
          <cell r="AH29">
            <v>0</v>
          </cell>
          <cell r="AI29">
            <v>100000</v>
          </cell>
          <cell r="AJ29">
            <v>0</v>
          </cell>
          <cell r="AK29">
            <v>0</v>
          </cell>
          <cell r="AL29">
            <v>45444</v>
          </cell>
          <cell r="AM29">
            <v>9250</v>
          </cell>
          <cell r="AN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700000</v>
          </cell>
          <cell r="D30">
            <v>43697.666300758487</v>
          </cell>
          <cell r="E30">
            <v>0</v>
          </cell>
          <cell r="F30">
            <v>1059520.7381774064</v>
          </cell>
          <cell r="G30">
            <v>1059520.7381774064</v>
          </cell>
          <cell r="H30">
            <v>65157.656178854231</v>
          </cell>
          <cell r="I30">
            <v>1124678.3943562605</v>
          </cell>
          <cell r="J30">
            <v>0</v>
          </cell>
          <cell r="K30">
            <v>327000</v>
          </cell>
          <cell r="L30">
            <v>255000</v>
          </cell>
          <cell r="M30">
            <v>12000</v>
          </cell>
          <cell r="N30">
            <v>12000</v>
          </cell>
          <cell r="O30">
            <v>48000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M30">
            <v>0</v>
          </cell>
          <cell r="AN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245500</v>
          </cell>
          <cell r="E31">
            <v>0</v>
          </cell>
          <cell r="F31">
            <v>944509.15650175198</v>
          </cell>
          <cell r="G31">
            <v>944509.15650175198</v>
          </cell>
          <cell r="H31">
            <v>17373.219200614534</v>
          </cell>
          <cell r="I31">
            <v>961882.37570236647</v>
          </cell>
          <cell r="J31">
            <v>0</v>
          </cell>
          <cell r="K31">
            <v>757500</v>
          </cell>
          <cell r="L31">
            <v>685500</v>
          </cell>
          <cell r="M31">
            <v>12000</v>
          </cell>
          <cell r="N31">
            <v>12000</v>
          </cell>
          <cell r="O31">
            <v>48000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>
            <v>0</v>
          </cell>
          <cell r="V31">
            <v>0</v>
          </cell>
          <cell r="W31">
            <v>1000000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115000</v>
          </cell>
          <cell r="AF31">
            <v>0</v>
          </cell>
          <cell r="AG31">
            <v>0</v>
          </cell>
          <cell r="AH31">
            <v>0</v>
          </cell>
          <cell r="AI31">
            <v>200000</v>
          </cell>
          <cell r="AJ31">
            <v>0</v>
          </cell>
          <cell r="AK31">
            <v>0</v>
          </cell>
          <cell r="AM31">
            <v>0</v>
          </cell>
          <cell r="AN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700000</v>
          </cell>
          <cell r="D32">
            <v>104364.15055016428</v>
          </cell>
          <cell r="E32">
            <v>0</v>
          </cell>
          <cell r="F32">
            <v>1101010.4861848836</v>
          </cell>
          <cell r="G32">
            <v>1101010.4861848836</v>
          </cell>
          <cell r="H32">
            <v>70150.657823061978</v>
          </cell>
          <cell r="I32">
            <v>1171161.1440079457</v>
          </cell>
          <cell r="J32">
            <v>0</v>
          </cell>
          <cell r="K32">
            <v>303000</v>
          </cell>
          <cell r="L32">
            <v>231000</v>
          </cell>
          <cell r="M32">
            <v>12000</v>
          </cell>
          <cell r="N32">
            <v>12000</v>
          </cell>
          <cell r="O32">
            <v>48000</v>
          </cell>
          <cell r="P32">
            <v>0</v>
          </cell>
          <cell r="Q32">
            <v>0</v>
          </cell>
          <cell r="R32">
            <v>0</v>
          </cell>
          <cell r="S32">
            <v>2000000</v>
          </cell>
          <cell r="T32">
            <v>90000</v>
          </cell>
          <cell r="V32">
            <v>1000000</v>
          </cell>
          <cell r="W32">
            <v>1000000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M32">
            <v>90000</v>
          </cell>
          <cell r="AN32">
            <v>0</v>
          </cell>
        </row>
        <row r="33">
          <cell r="A33" t="str">
            <v>AS201638</v>
          </cell>
          <cell r="B33" t="str">
            <v>SIMO PIERRE</v>
          </cell>
          <cell r="C33">
            <v>700000</v>
          </cell>
          <cell r="D33">
            <v>686.61218299972825</v>
          </cell>
          <cell r="E33">
            <v>0</v>
          </cell>
          <cell r="F33">
            <v>986102.16279974184</v>
          </cell>
          <cell r="G33">
            <v>986102.16279974184</v>
          </cell>
          <cell r="H33">
            <v>61449.773639687468</v>
          </cell>
          <cell r="I33">
            <v>1047551.9364394293</v>
          </cell>
          <cell r="J33">
            <v>0</v>
          </cell>
          <cell r="K33">
            <v>300000</v>
          </cell>
          <cell r="L33">
            <v>228000</v>
          </cell>
          <cell r="M33">
            <v>12000</v>
          </cell>
          <cell r="N33">
            <v>12000</v>
          </cell>
          <cell r="O33">
            <v>48000</v>
          </cell>
          <cell r="P33">
            <v>0</v>
          </cell>
          <cell r="Q33">
            <v>0</v>
          </cell>
          <cell r="R33">
            <v>0</v>
          </cell>
          <cell r="S33">
            <v>2250000</v>
          </cell>
          <cell r="T33">
            <v>105000</v>
          </cell>
          <cell r="V33">
            <v>1250000</v>
          </cell>
          <cell r="W33">
            <v>1000000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100000</v>
          </cell>
          <cell r="AJ33">
            <v>0</v>
          </cell>
          <cell r="AK33">
            <v>0</v>
          </cell>
          <cell r="AL33">
            <v>45627</v>
          </cell>
          <cell r="AM33">
            <v>105000</v>
          </cell>
          <cell r="AN33">
            <v>0</v>
          </cell>
        </row>
        <row r="34">
          <cell r="A34" t="str">
            <v>AS201641</v>
          </cell>
          <cell r="B34" t="str">
            <v>TCHOUAMOU MATHIEU</v>
          </cell>
          <cell r="C34">
            <v>700000</v>
          </cell>
          <cell r="D34">
            <v>975.80620651689242</v>
          </cell>
          <cell r="E34">
            <v>0</v>
          </cell>
          <cell r="F34">
            <v>1992081.9868132719</v>
          </cell>
          <cell r="G34">
            <v>1992081.9868132719</v>
          </cell>
          <cell r="H34">
            <v>71255.947758649185</v>
          </cell>
          <cell r="I34">
            <v>2063337.9345719211</v>
          </cell>
          <cell r="J34">
            <v>0</v>
          </cell>
          <cell r="K34">
            <v>1300000</v>
          </cell>
          <cell r="L34">
            <v>1228000</v>
          </cell>
          <cell r="M34">
            <v>12000</v>
          </cell>
          <cell r="N34">
            <v>12000</v>
          </cell>
          <cell r="O34">
            <v>48000</v>
          </cell>
          <cell r="P34">
            <v>0</v>
          </cell>
          <cell r="Q34">
            <v>0</v>
          </cell>
          <cell r="R34">
            <v>0</v>
          </cell>
          <cell r="S34">
            <v>2000000</v>
          </cell>
          <cell r="T34">
            <v>60000</v>
          </cell>
          <cell r="V34">
            <v>1000000</v>
          </cell>
          <cell r="W34">
            <v>1000000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M34">
            <v>60000</v>
          </cell>
          <cell r="AN34">
            <v>0</v>
          </cell>
        </row>
        <row r="35">
          <cell r="A35" t="str">
            <v>AS201660</v>
          </cell>
          <cell r="B35" t="str">
            <v>TCHOUATEU AUGUSTIN</v>
          </cell>
          <cell r="C35">
            <v>0</v>
          </cell>
          <cell r="D35">
            <v>0</v>
          </cell>
          <cell r="E35">
            <v>0</v>
          </cell>
          <cell r="F35">
            <v>972739.10692510835</v>
          </cell>
          <cell r="G35">
            <v>972739.10692510835</v>
          </cell>
          <cell r="H35">
            <v>4718.6606148953824</v>
          </cell>
          <cell r="I35">
            <v>977457.76754000376</v>
          </cell>
          <cell r="J35">
            <v>0</v>
          </cell>
          <cell r="K35">
            <v>1044000</v>
          </cell>
          <cell r="L35">
            <v>972000</v>
          </cell>
          <cell r="M35">
            <v>12000</v>
          </cell>
          <cell r="N35">
            <v>12000</v>
          </cell>
          <cell r="O35">
            <v>48000</v>
          </cell>
          <cell r="P35">
            <v>0</v>
          </cell>
          <cell r="Q35">
            <v>25000</v>
          </cell>
          <cell r="R35">
            <v>120000</v>
          </cell>
          <cell r="S35">
            <v>1000000</v>
          </cell>
          <cell r="T35">
            <v>0</v>
          </cell>
          <cell r="V35">
            <v>0</v>
          </cell>
          <cell r="W35">
            <v>1000000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140000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</row>
        <row r="36">
          <cell r="A36" t="str">
            <v>AS201643</v>
          </cell>
          <cell r="B36" t="str">
            <v>TCHOUTOU NANA CLAUDE</v>
          </cell>
          <cell r="C36">
            <v>0</v>
          </cell>
          <cell r="D36">
            <v>103000</v>
          </cell>
          <cell r="E36">
            <v>0</v>
          </cell>
          <cell r="F36">
            <v>631750</v>
          </cell>
          <cell r="G36">
            <v>0</v>
          </cell>
          <cell r="H36">
            <v>0</v>
          </cell>
          <cell r="I36">
            <v>631750</v>
          </cell>
          <cell r="J36">
            <v>0</v>
          </cell>
          <cell r="K36">
            <v>600750</v>
          </cell>
          <cell r="L36">
            <v>528750</v>
          </cell>
          <cell r="M36">
            <v>12000</v>
          </cell>
          <cell r="N36">
            <v>12000</v>
          </cell>
          <cell r="O36">
            <v>48000</v>
          </cell>
          <cell r="P36">
            <v>3000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3750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M36">
            <v>0</v>
          </cell>
          <cell r="AN36">
            <v>0</v>
          </cell>
        </row>
        <row r="37">
          <cell r="A37" t="str">
            <v>AS201658</v>
          </cell>
          <cell r="B37" t="str">
            <v>YANTCHOU GERVAIS</v>
          </cell>
          <cell r="C37"/>
          <cell r="D37">
            <v>1396048</v>
          </cell>
          <cell r="E37">
            <v>0</v>
          </cell>
          <cell r="F37">
            <v>1094230.7829868733</v>
          </cell>
          <cell r="G37">
            <v>1094230.7829868733</v>
          </cell>
          <cell r="H37">
            <v>62683.368865772507</v>
          </cell>
          <cell r="I37">
            <v>1156914.1518526459</v>
          </cell>
          <cell r="J37">
            <v>0</v>
          </cell>
          <cell r="K37">
            <v>410000</v>
          </cell>
          <cell r="L37">
            <v>338000</v>
          </cell>
          <cell r="M37">
            <v>12000</v>
          </cell>
          <cell r="N37">
            <v>12000</v>
          </cell>
          <cell r="O37">
            <v>48000</v>
          </cell>
          <cell r="P37">
            <v>0</v>
          </cell>
          <cell r="Q37">
            <v>0</v>
          </cell>
          <cell r="R37">
            <v>0</v>
          </cell>
          <cell r="S37">
            <v>1700000</v>
          </cell>
          <cell r="T37">
            <v>84000</v>
          </cell>
          <cell r="V37">
            <v>597500</v>
          </cell>
          <cell r="W37">
            <v>1102500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100000</v>
          </cell>
          <cell r="AJ37">
            <v>0</v>
          </cell>
          <cell r="AK37">
            <v>0</v>
          </cell>
          <cell r="AM37">
            <v>84000</v>
          </cell>
          <cell r="AN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700000</v>
          </cell>
          <cell r="D38">
            <v>1003326.8477058813</v>
          </cell>
          <cell r="E38">
            <v>0</v>
          </cell>
          <cell r="F38">
            <v>2068175.8832408788</v>
          </cell>
          <cell r="G38">
            <v>2068175.8832408788</v>
          </cell>
          <cell r="H38">
            <v>145310.10891910025</v>
          </cell>
          <cell r="I38">
            <v>2213485.992159979</v>
          </cell>
          <cell r="J38">
            <v>0</v>
          </cell>
          <cell r="K38">
            <v>300000</v>
          </cell>
          <cell r="L38">
            <v>228000</v>
          </cell>
          <cell r="M38">
            <v>12000</v>
          </cell>
          <cell r="N38">
            <v>12000</v>
          </cell>
          <cell r="O38">
            <v>48000</v>
          </cell>
          <cell r="P38">
            <v>6000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100000</v>
          </cell>
          <cell r="AJ38">
            <v>0</v>
          </cell>
          <cell r="AK38">
            <v>0</v>
          </cell>
          <cell r="AM38">
            <v>0</v>
          </cell>
          <cell r="AN38">
            <v>0</v>
          </cell>
        </row>
        <row r="39">
          <cell r="A39" t="str">
            <v>AS201659</v>
          </cell>
          <cell r="B39" t="str">
            <v>YIALA ALAIN OSCAR</v>
          </cell>
          <cell r="C39">
            <v>0</v>
          </cell>
          <cell r="D39">
            <v>0</v>
          </cell>
          <cell r="E39">
            <v>0</v>
          </cell>
          <cell r="F39">
            <v>928771.34199085762</v>
          </cell>
          <cell r="G39">
            <v>928771.34199085762</v>
          </cell>
          <cell r="H39">
            <v>4571.020028550347</v>
          </cell>
          <cell r="I39">
            <v>933342.36201940791</v>
          </cell>
          <cell r="J39">
            <v>0</v>
          </cell>
          <cell r="K39">
            <v>1000000</v>
          </cell>
          <cell r="L39">
            <v>928000</v>
          </cell>
          <cell r="M39">
            <v>12000</v>
          </cell>
          <cell r="N39">
            <v>12000</v>
          </cell>
          <cell r="O39">
            <v>48000</v>
          </cell>
          <cell r="P39">
            <v>18000</v>
          </cell>
          <cell r="Q39">
            <v>25000</v>
          </cell>
          <cell r="R39">
            <v>120000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240000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M39">
            <v>0</v>
          </cell>
          <cell r="AN39">
            <v>0</v>
          </cell>
        </row>
        <row r="40">
          <cell r="A40" t="str">
            <v>AS201647</v>
          </cell>
          <cell r="B40" t="str">
            <v>YOUMBI EMMANUEL</v>
          </cell>
          <cell r="C40">
            <v>700000</v>
          </cell>
          <cell r="D40">
            <v>1157834.9698456018</v>
          </cell>
          <cell r="E40">
            <v>0</v>
          </cell>
          <cell r="F40">
            <v>2234924.8053753586</v>
          </cell>
          <cell r="G40">
            <v>2234924.8053753586</v>
          </cell>
          <cell r="H40">
            <v>158233.09212580579</v>
          </cell>
          <cell r="I40">
            <v>2393157.8975011641</v>
          </cell>
          <cell r="J40">
            <v>0</v>
          </cell>
          <cell r="K40">
            <v>300000</v>
          </cell>
          <cell r="L40">
            <v>228000</v>
          </cell>
          <cell r="M40">
            <v>12000</v>
          </cell>
          <cell r="N40">
            <v>12000</v>
          </cell>
          <cell r="O40">
            <v>48000</v>
          </cell>
          <cell r="P40">
            <v>0</v>
          </cell>
          <cell r="Q40">
            <v>0</v>
          </cell>
          <cell r="R40">
            <v>0</v>
          </cell>
          <cell r="S40">
            <v>500000</v>
          </cell>
          <cell r="T40">
            <v>0</v>
          </cell>
          <cell r="V40">
            <v>0</v>
          </cell>
          <cell r="W40">
            <v>500000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100000</v>
          </cell>
          <cell r="AJ40">
            <v>0</v>
          </cell>
          <cell r="AK40">
            <v>0</v>
          </cell>
          <cell r="AM40">
            <v>0</v>
          </cell>
          <cell r="AN40">
            <v>0</v>
          </cell>
        </row>
        <row r="41">
          <cell r="A41"/>
          <cell r="B41"/>
          <cell r="C41">
            <v>0</v>
          </cell>
          <cell r="D41">
            <v>0</v>
          </cell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Q41"/>
          <cell r="W41">
            <v>0</v>
          </cell>
          <cell r="AN4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6">
            <v>763899.37129714503</v>
          </cell>
        </row>
        <row r="20">
          <cell r="D20">
            <v>335000</v>
          </cell>
        </row>
      </sheetData>
      <sheetData sheetId="27">
        <row r="6">
          <cell r="B6">
            <v>2518500</v>
          </cell>
        </row>
        <row r="31">
          <cell r="C31">
            <v>2518500</v>
          </cell>
        </row>
      </sheetData>
      <sheetData sheetId="28"/>
      <sheetData sheetId="29">
        <row r="6">
          <cell r="B6">
            <v>319855</v>
          </cell>
        </row>
        <row r="11">
          <cell r="C11">
            <v>76050</v>
          </cell>
        </row>
      </sheetData>
      <sheetData sheetId="30">
        <row r="6">
          <cell r="B6">
            <v>996118</v>
          </cell>
        </row>
        <row r="11">
          <cell r="C11">
            <v>500000</v>
          </cell>
        </row>
      </sheetData>
      <sheetData sheetId="31">
        <row r="6">
          <cell r="B6">
            <v>51453.696796924203</v>
          </cell>
        </row>
        <row r="12">
          <cell r="C12">
            <v>127454</v>
          </cell>
        </row>
      </sheetData>
      <sheetData sheetId="32"/>
      <sheetData sheetId="33">
        <row r="6">
          <cell r="B6">
            <v>1667000</v>
          </cell>
        </row>
        <row r="28">
          <cell r="C28">
            <v>1137217</v>
          </cell>
        </row>
      </sheetData>
      <sheetData sheetId="34">
        <row r="6">
          <cell r="B6">
            <v>1553000</v>
          </cell>
        </row>
        <row r="14">
          <cell r="C14">
            <v>1706468</v>
          </cell>
        </row>
      </sheetData>
      <sheetData sheetId="35">
        <row r="6">
          <cell r="B6">
            <v>1132500</v>
          </cell>
        </row>
        <row r="8">
          <cell r="C8">
            <v>540421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>
        <row r="7">
          <cell r="A7" t="str">
            <v>AS201604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44678.571428571428</v>
          </cell>
        </row>
      </sheetData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/>
      <sheetData sheetId="5">
        <row r="8">
          <cell r="BQ8">
            <v>66000</v>
          </cell>
        </row>
        <row r="13">
          <cell r="BQ13">
            <v>6000</v>
          </cell>
        </row>
        <row r="21">
          <cell r="BQ21">
            <v>371000</v>
          </cell>
        </row>
        <row r="22">
          <cell r="BQ22">
            <v>30000</v>
          </cell>
        </row>
        <row r="30">
          <cell r="BQ30">
            <v>200000</v>
          </cell>
        </row>
      </sheetData>
      <sheetData sheetId="6">
        <row r="8">
          <cell r="BQ8">
            <v>30000</v>
          </cell>
        </row>
        <row r="13">
          <cell r="BQ13">
            <v>6000</v>
          </cell>
        </row>
      </sheetData>
      <sheetData sheetId="7">
        <row r="11">
          <cell r="BQ11">
            <v>40000</v>
          </cell>
        </row>
        <row r="13">
          <cell r="BQ13">
            <v>12000</v>
          </cell>
        </row>
        <row r="32">
          <cell r="BQ32">
            <v>100000</v>
          </cell>
        </row>
        <row r="33">
          <cell r="BQ33">
            <v>100000</v>
          </cell>
        </row>
        <row r="34">
          <cell r="BQ34">
            <v>100000</v>
          </cell>
        </row>
      </sheetData>
      <sheetData sheetId="8">
        <row r="13">
          <cell r="BQ13">
            <v>6000</v>
          </cell>
        </row>
        <row r="19">
          <cell r="BQ19">
            <v>50000</v>
          </cell>
        </row>
        <row r="21">
          <cell r="BQ21">
            <v>350000</v>
          </cell>
        </row>
      </sheetData>
      <sheetData sheetId="9">
        <row r="13">
          <cell r="BQ13">
            <v>6000</v>
          </cell>
        </row>
      </sheetData>
      <sheetData sheetId="10">
        <row r="13">
          <cell r="BQ13">
            <v>6000</v>
          </cell>
        </row>
      </sheetData>
      <sheetData sheetId="11">
        <row r="13">
          <cell r="BQ13">
            <v>6000</v>
          </cell>
        </row>
      </sheetData>
      <sheetData sheetId="12">
        <row r="13">
          <cell r="BQ13">
            <v>6000</v>
          </cell>
        </row>
        <row r="32">
          <cell r="BQ32">
            <v>100000</v>
          </cell>
        </row>
        <row r="33">
          <cell r="BQ33">
            <v>560000</v>
          </cell>
        </row>
      </sheetData>
      <sheetData sheetId="13">
        <row r="13">
          <cell r="BQ13">
            <v>12000</v>
          </cell>
        </row>
      </sheetData>
      <sheetData sheetId="14">
        <row r="13">
          <cell r="BQ13">
            <v>6000</v>
          </cell>
        </row>
      </sheetData>
      <sheetData sheetId="15">
        <row r="13">
          <cell r="BQ13">
            <v>6000</v>
          </cell>
        </row>
        <row r="36">
          <cell r="BQ36">
            <v>100000</v>
          </cell>
        </row>
      </sheetData>
      <sheetData sheetId="16">
        <row r="8">
          <cell r="BQ8">
            <v>46000</v>
          </cell>
        </row>
        <row r="13">
          <cell r="BQ13">
            <v>6000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</row>
      </sheetData>
      <sheetData sheetId="3">
        <row r="6">
          <cell r="A6" t="str">
            <v>AS201601</v>
          </cell>
        </row>
      </sheetData>
      <sheetData sheetId="4">
        <row r="6">
          <cell r="A6" t="str">
            <v>AS201601</v>
          </cell>
        </row>
      </sheetData>
      <sheetData sheetId="5">
        <row r="6">
          <cell r="A6" t="str">
            <v>AS201601</v>
          </cell>
        </row>
      </sheetData>
      <sheetData sheetId="6">
        <row r="6">
          <cell r="A6" t="str">
            <v>AS201601</v>
          </cell>
        </row>
      </sheetData>
      <sheetData sheetId="7">
        <row r="6">
          <cell r="A6" t="str">
            <v>AS201601</v>
          </cell>
        </row>
      </sheetData>
      <sheetData sheetId="8">
        <row r="6">
          <cell r="A6" t="str">
            <v>AS201601</v>
          </cell>
        </row>
      </sheetData>
      <sheetData sheetId="9">
        <row r="6">
          <cell r="A6" t="str">
            <v>AS201601</v>
          </cell>
        </row>
      </sheetData>
      <sheetData sheetId="10">
        <row r="6">
          <cell r="A6" t="str">
            <v>AS201601</v>
          </cell>
        </row>
      </sheetData>
      <sheetData sheetId="11">
        <row r="6">
          <cell r="A6" t="str">
            <v>AS201601</v>
          </cell>
        </row>
      </sheetData>
      <sheetData sheetId="12">
        <row r="6">
          <cell r="A6" t="str">
            <v>AS201601</v>
          </cell>
        </row>
      </sheetData>
      <sheetData sheetId="13">
        <row r="42">
          <cell r="W42">
            <v>26499.999999999942</v>
          </cell>
        </row>
        <row r="47">
          <cell r="R47">
            <v>376500</v>
          </cell>
        </row>
        <row r="49">
          <cell r="R49">
            <v>10757.142857142857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4">
          <cell r="Q24">
            <v>223500</v>
          </cell>
        </row>
        <row r="26">
          <cell r="Q26">
            <v>17192.307692307691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9">
          <cell r="Q29">
            <v>1244000</v>
          </cell>
        </row>
        <row r="31">
          <cell r="Q31">
            <v>51833.333333333336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</sheetNames>
    <sheetDataSet>
      <sheetData sheetId="0">
        <row r="6">
          <cell r="E6">
            <v>4770</v>
          </cell>
        </row>
      </sheetData>
      <sheetData sheetId="1">
        <row r="6">
          <cell r="E6">
            <v>1191</v>
          </cell>
        </row>
      </sheetData>
      <sheetData sheetId="2">
        <row r="6">
          <cell r="E6">
            <v>2395</v>
          </cell>
        </row>
      </sheetData>
      <sheetData sheetId="3">
        <row r="6">
          <cell r="E6">
            <v>2385</v>
          </cell>
        </row>
      </sheetData>
      <sheetData sheetId="4">
        <row r="6">
          <cell r="E6">
            <v>2385</v>
          </cell>
        </row>
      </sheetData>
      <sheetData sheetId="5">
        <row r="6">
          <cell r="E6">
            <v>2385</v>
          </cell>
        </row>
      </sheetData>
      <sheetData sheetId="6">
        <row r="6">
          <cell r="E6">
            <v>4770</v>
          </cell>
          <cell r="F6">
            <v>17444</v>
          </cell>
        </row>
      </sheetData>
      <sheetData sheetId="7">
        <row r="6">
          <cell r="E6">
            <v>2385</v>
          </cell>
        </row>
      </sheetData>
      <sheetData sheetId="8">
        <row r="6">
          <cell r="E6">
            <v>1193</v>
          </cell>
        </row>
      </sheetData>
      <sheetData sheetId="9">
        <row r="6">
          <cell r="E6">
            <v>3578</v>
          </cell>
        </row>
      </sheetData>
      <sheetData sheetId="10">
        <row r="6">
          <cell r="E6">
            <v>2385</v>
          </cell>
        </row>
      </sheetData>
      <sheetData sheetId="11">
        <row r="6">
          <cell r="E6">
            <v>2385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8"/>
  <sheetViews>
    <sheetView topLeftCell="A22" workbookViewId="0">
      <selection activeCell="A29" sqref="A29:XFD29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8" ht="21" x14ac:dyDescent="0.5">
      <c r="A2" s="20" t="s">
        <v>25</v>
      </c>
    </row>
    <row r="4" spans="1:8" ht="15" thickBot="1" x14ac:dyDescent="0.4"/>
    <row r="5" spans="1:8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8" x14ac:dyDescent="0.35">
      <c r="A6" s="19"/>
      <c r="B6" s="14"/>
      <c r="C6" s="14"/>
      <c r="D6" s="14"/>
      <c r="E6" s="15"/>
    </row>
    <row r="7" spans="1:8" x14ac:dyDescent="0.35">
      <c r="A7" s="13" t="s">
        <v>31</v>
      </c>
      <c r="B7" s="25">
        <v>29756024</v>
      </c>
      <c r="C7" s="25">
        <f>[9]TRAVAUXINVENTAIRE!R54+C20+1050000+2230668</f>
        <v>7101809</v>
      </c>
      <c r="D7" s="25"/>
      <c r="E7" s="26">
        <f>B7+C7-D7</f>
        <v>36857833</v>
      </c>
      <c r="F7" s="27"/>
      <c r="G7" s="27"/>
    </row>
    <row r="8" spans="1:8" x14ac:dyDescent="0.35">
      <c r="A8" s="13" t="s">
        <v>32</v>
      </c>
      <c r="B8" s="25"/>
      <c r="C8" s="25">
        <v>28382451</v>
      </c>
      <c r="D8" s="25">
        <v>39386431</v>
      </c>
      <c r="E8" s="26">
        <f>B8+C8-D8</f>
        <v>-11003980</v>
      </c>
      <c r="F8" s="27"/>
      <c r="H8" s="27"/>
    </row>
    <row r="9" spans="1:8" x14ac:dyDescent="0.35">
      <c r="A9" s="13" t="s">
        <v>2</v>
      </c>
      <c r="B9" s="25">
        <v>3031178</v>
      </c>
      <c r="C9" s="25">
        <f>[9]TRAVAUXINVENTAIRE!S54</f>
        <v>250500</v>
      </c>
      <c r="D9" s="25">
        <f>'[10]BILAN 2016'!$D$9</f>
        <v>224500</v>
      </c>
      <c r="E9" s="26">
        <f t="shared" ref="E9:E19" si="0">B9+C9-D9</f>
        <v>3057178</v>
      </c>
      <c r="F9" s="27"/>
      <c r="G9" s="27"/>
    </row>
    <row r="10" spans="1:8" x14ac:dyDescent="0.35">
      <c r="A10" s="13" t="s">
        <v>33</v>
      </c>
      <c r="B10" s="25">
        <v>1267460</v>
      </c>
      <c r="C10" s="25">
        <f>[9]TRAVAUXINVENTAIRE!T54</f>
        <v>501000</v>
      </c>
      <c r="D10" s="25">
        <f>[9]TRAVAUXINVENTAIREDEC!B6</f>
        <v>1100000</v>
      </c>
      <c r="E10" s="26">
        <f t="shared" si="0"/>
        <v>668460</v>
      </c>
      <c r="F10" s="27"/>
    </row>
    <row r="11" spans="1:8" x14ac:dyDescent="0.35">
      <c r="A11" s="13" t="s">
        <v>4</v>
      </c>
      <c r="B11" s="25">
        <v>940125</v>
      </c>
      <c r="C11" s="25">
        <f>[9]TRAVAUXINVENTAIRE!U54</f>
        <v>1252500</v>
      </c>
      <c r="D11" s="25">
        <f>[9]TRAVAUXINVENTAIREDEC!B7</f>
        <v>1260000</v>
      </c>
      <c r="E11" s="26">
        <f t="shared" si="0"/>
        <v>932625</v>
      </c>
      <c r="F11" s="27"/>
    </row>
    <row r="12" spans="1:8" x14ac:dyDescent="0.35">
      <c r="A12" s="13" t="s">
        <v>34</v>
      </c>
      <c r="B12" s="25">
        <f>-101500</f>
        <v>-101500</v>
      </c>
      <c r="C12" s="25">
        <f>[9]TRAVAUXINVENTAIRE!V54+[9]TRAVAUXINVENTAIRE!O54</f>
        <v>1954860</v>
      </c>
      <c r="D12" s="25">
        <f>[9]TRAVAUXINVENTAIREDEC!B8</f>
        <v>2595000</v>
      </c>
      <c r="E12" s="26">
        <f t="shared" si="0"/>
        <v>-741640</v>
      </c>
      <c r="F12" s="27"/>
    </row>
    <row r="13" spans="1:8" x14ac:dyDescent="0.35">
      <c r="A13" s="13" t="s">
        <v>6</v>
      </c>
      <c r="B13" s="25">
        <v>530000</v>
      </c>
      <c r="C13" s="25"/>
      <c r="D13" s="25"/>
      <c r="E13" s="26">
        <f t="shared" si="0"/>
        <v>530000</v>
      </c>
      <c r="F13" s="27"/>
    </row>
    <row r="14" spans="1:8" x14ac:dyDescent="0.35">
      <c r="A14" s="13" t="s">
        <v>58</v>
      </c>
      <c r="B14" s="25">
        <v>54508</v>
      </c>
      <c r="C14" s="25"/>
      <c r="D14" s="25"/>
      <c r="E14" s="26">
        <f t="shared" si="0"/>
        <v>54508</v>
      </c>
      <c r="F14" s="27"/>
    </row>
    <row r="15" spans="1:8" x14ac:dyDescent="0.35">
      <c r="A15" s="13" t="s">
        <v>59</v>
      </c>
      <c r="B15" s="25">
        <v>-164500</v>
      </c>
      <c r="C15" s="25"/>
      <c r="D15" s="25"/>
      <c r="E15" s="26">
        <f t="shared" si="0"/>
        <v>-164500</v>
      </c>
      <c r="F15" s="27"/>
    </row>
    <row r="16" spans="1:8" x14ac:dyDescent="0.35">
      <c r="A16" s="13" t="s">
        <v>60</v>
      </c>
      <c r="B16" s="25">
        <v>-75000</v>
      </c>
      <c r="C16" s="25"/>
      <c r="D16" s="25"/>
      <c r="E16" s="26">
        <f t="shared" si="0"/>
        <v>-75000</v>
      </c>
      <c r="F16" s="27"/>
    </row>
    <row r="17" spans="1:6" x14ac:dyDescent="0.35">
      <c r="A17" s="13" t="s">
        <v>35</v>
      </c>
      <c r="B17" s="25"/>
      <c r="C17" s="25"/>
      <c r="D17" s="25"/>
      <c r="E17" s="26">
        <f t="shared" si="0"/>
        <v>0</v>
      </c>
      <c r="F17" s="27"/>
    </row>
    <row r="18" spans="1:6" x14ac:dyDescent="0.35">
      <c r="A18" s="13" t="s">
        <v>36</v>
      </c>
      <c r="B18" s="28"/>
      <c r="C18" s="25">
        <f>320750+16500</f>
        <v>337250</v>
      </c>
      <c r="D18" s="28"/>
      <c r="E18" s="26">
        <f t="shared" si="0"/>
        <v>337250</v>
      </c>
      <c r="F18" s="30">
        <v>1711250</v>
      </c>
    </row>
    <row r="19" spans="1:6" x14ac:dyDescent="0.35">
      <c r="A19" s="13" t="s">
        <v>37</v>
      </c>
      <c r="B19" s="28"/>
      <c r="C19" s="28"/>
      <c r="D19" s="28"/>
      <c r="E19" s="26">
        <f t="shared" si="0"/>
        <v>0</v>
      </c>
      <c r="F19" s="27"/>
    </row>
    <row r="20" spans="1:6" x14ac:dyDescent="0.35">
      <c r="A20" s="13" t="s">
        <v>38</v>
      </c>
      <c r="B20" s="28"/>
      <c r="C20" s="25"/>
      <c r="D20" s="28"/>
      <c r="E20" s="26">
        <f t="shared" ref="E20" si="1">B20+C20-D20</f>
        <v>0</v>
      </c>
      <c r="F20" s="27"/>
    </row>
    <row r="21" spans="1:6" x14ac:dyDescent="0.35">
      <c r="A21" s="13"/>
      <c r="B21" s="28"/>
      <c r="C21" s="25"/>
      <c r="D21" s="28"/>
      <c r="E21" s="26"/>
      <c r="F21" s="27"/>
    </row>
    <row r="22" spans="1:6" x14ac:dyDescent="0.35">
      <c r="A22" s="13" t="s">
        <v>39</v>
      </c>
      <c r="B22" s="28"/>
      <c r="C22" s="14"/>
      <c r="D22" s="25"/>
      <c r="E22" s="26"/>
      <c r="F22" s="27"/>
    </row>
    <row r="23" spans="1:6" x14ac:dyDescent="0.35">
      <c r="A23" s="13"/>
      <c r="B23" s="28"/>
      <c r="C23" s="25"/>
      <c r="D23" s="28"/>
      <c r="E23" s="26"/>
      <c r="F23" s="27"/>
    </row>
    <row r="24" spans="1:6" x14ac:dyDescent="0.35">
      <c r="A24" s="13" t="s">
        <v>40</v>
      </c>
      <c r="B24" s="28"/>
      <c r="C24" s="25"/>
      <c r="D24" s="28"/>
      <c r="E24" s="26"/>
      <c r="F24" s="27"/>
    </row>
    <row r="25" spans="1:6" x14ac:dyDescent="0.35">
      <c r="A25" s="13"/>
      <c r="B25" s="28"/>
      <c r="C25" s="25"/>
      <c r="D25" s="28"/>
      <c r="E25" s="29"/>
      <c r="F25" s="27"/>
    </row>
    <row r="26" spans="1:6" x14ac:dyDescent="0.35">
      <c r="A26" s="13"/>
      <c r="B26" s="28"/>
      <c r="C26" s="25"/>
      <c r="D26" s="28"/>
      <c r="E26" s="29"/>
      <c r="F26" s="27"/>
    </row>
    <row r="27" spans="1:6" x14ac:dyDescent="0.35">
      <c r="A27" s="13" t="s">
        <v>41</v>
      </c>
      <c r="B27" s="28"/>
      <c r="C27" s="25"/>
      <c r="D27" s="25"/>
      <c r="E27" s="26"/>
      <c r="F27" s="27"/>
    </row>
    <row r="28" spans="1:6" x14ac:dyDescent="0.35">
      <c r="A28" s="13" t="s">
        <v>42</v>
      </c>
      <c r="B28" s="28"/>
      <c r="C28" s="14"/>
      <c r="D28" s="14"/>
      <c r="E28" s="26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2">B29+C29-D29</f>
        <v>1779594</v>
      </c>
      <c r="F29" s="27"/>
    </row>
    <row r="30" spans="1:6" x14ac:dyDescent="0.35">
      <c r="A30" s="13" t="s">
        <v>43</v>
      </c>
      <c r="B30" s="28"/>
      <c r="C30" s="25"/>
      <c r="D30" s="28"/>
      <c r="E30" s="26"/>
      <c r="F30" s="27"/>
    </row>
    <row r="31" spans="1:6" x14ac:dyDescent="0.35">
      <c r="A31" s="13" t="s">
        <v>44</v>
      </c>
      <c r="B31" s="28"/>
      <c r="C31" s="25"/>
      <c r="D31" s="28"/>
      <c r="E31" s="26"/>
      <c r="F31" s="27"/>
    </row>
    <row r="32" spans="1:6" x14ac:dyDescent="0.35">
      <c r="A32" s="13"/>
      <c r="B32" s="28"/>
      <c r="C32" s="25"/>
      <c r="D32" s="28"/>
      <c r="E32" s="26"/>
      <c r="F32" s="27"/>
    </row>
    <row r="33" spans="1:6" x14ac:dyDescent="0.35">
      <c r="A33" s="13" t="s">
        <v>45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46</v>
      </c>
      <c r="B35" s="14"/>
      <c r="C35" s="14"/>
      <c r="D35" s="14"/>
      <c r="E35" s="26"/>
    </row>
    <row r="36" spans="1:6" x14ac:dyDescent="0.35">
      <c r="A36" s="19"/>
      <c r="B36" s="14"/>
      <c r="C36" s="14"/>
      <c r="D36" s="14"/>
      <c r="E36" s="15"/>
    </row>
    <row r="37" spans="1:6" ht="15" thickBot="1" x14ac:dyDescent="0.4">
      <c r="A37" s="31" t="s">
        <v>47</v>
      </c>
      <c r="B37" s="38">
        <f>SUM(B7:B36)</f>
        <v>37017889</v>
      </c>
      <c r="C37" s="38">
        <f t="shared" ref="C37:D37" si="3">SUM(C7:C36)</f>
        <v>39780370</v>
      </c>
      <c r="D37" s="38">
        <f t="shared" si="3"/>
        <v>44565931</v>
      </c>
      <c r="E37" s="32">
        <f>B37+C37-D37</f>
        <v>32232328</v>
      </c>
    </row>
    <row r="38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0"/>
  <sheetViews>
    <sheetView topLeftCell="A25" workbookViewId="0">
      <selection activeCell="D7" sqref="D7"/>
    </sheetView>
  </sheetViews>
  <sheetFormatPr baseColWidth="10" defaultRowHeight="14.5" x14ac:dyDescent="0.35"/>
  <cols>
    <col min="1" max="1" width="40.7265625" customWidth="1"/>
    <col min="2" max="2" width="15.7265625" customWidth="1"/>
    <col min="3" max="3" width="14.81640625" customWidth="1"/>
    <col min="4" max="4" width="13.1796875" customWidth="1"/>
    <col min="5" max="5" width="16.1796875" customWidth="1"/>
  </cols>
  <sheetData>
    <row r="2" spans="1:7" ht="21" x14ac:dyDescent="0.5">
      <c r="A2" s="20" t="s">
        <v>48</v>
      </c>
    </row>
    <row r="4" spans="1:7" ht="15" thickBot="1" x14ac:dyDescent="0.4"/>
    <row r="5" spans="1:7" ht="37.5" thickTop="1" x14ac:dyDescent="0.45">
      <c r="A5" s="21" t="s">
        <v>26</v>
      </c>
      <c r="B5" s="22" t="s">
        <v>27</v>
      </c>
      <c r="C5" s="23" t="s">
        <v>28</v>
      </c>
      <c r="D5" s="23" t="s">
        <v>29</v>
      </c>
      <c r="E5" s="24" t="s">
        <v>30</v>
      </c>
    </row>
    <row r="6" spans="1:7" x14ac:dyDescent="0.35">
      <c r="A6" s="19"/>
      <c r="B6" s="14"/>
      <c r="C6" s="14"/>
      <c r="D6" s="14"/>
      <c r="E6" s="15"/>
    </row>
    <row r="7" spans="1:7" x14ac:dyDescent="0.35">
      <c r="A7" s="13" t="s">
        <v>49</v>
      </c>
      <c r="B7" s="25">
        <f>'BILAN 2016'!E7</f>
        <v>36857833</v>
      </c>
      <c r="C7" s="25">
        <f>[11]BILANFINAOUT2017!E56</f>
        <v>3963693</v>
      </c>
      <c r="D7" s="25">
        <v>13500000</v>
      </c>
      <c r="E7" s="26">
        <f t="shared" ref="E7:E13" si="0">B7+C7-D7</f>
        <v>27321526</v>
      </c>
      <c r="F7" s="27"/>
    </row>
    <row r="8" spans="1:7" x14ac:dyDescent="0.35">
      <c r="A8" s="13" t="s">
        <v>32</v>
      </c>
      <c r="B8" s="25">
        <f>'BILAN 2016'!E8</f>
        <v>-11003980</v>
      </c>
      <c r="C8" s="25">
        <f>[11]BILANFINAOUT2017!C56</f>
        <v>16310819</v>
      </c>
      <c r="D8" s="25"/>
      <c r="E8" s="26">
        <f t="shared" si="0"/>
        <v>5306839</v>
      </c>
      <c r="F8" s="27"/>
    </row>
    <row r="9" spans="1:7" x14ac:dyDescent="0.35">
      <c r="A9" s="13" t="s">
        <v>2</v>
      </c>
      <c r="B9" s="25">
        <f>'BILAN 2016'!E9</f>
        <v>3057178</v>
      </c>
      <c r="C9" s="25">
        <f>[11]BILANFINAOUT2017!F56</f>
        <v>182000</v>
      </c>
      <c r="D9" s="25">
        <f>89000+84000+12000+10000+6000+48000+13000+5000</f>
        <v>267000</v>
      </c>
      <c r="E9" s="26">
        <f t="shared" si="0"/>
        <v>2972178</v>
      </c>
      <c r="F9" s="27"/>
    </row>
    <row r="10" spans="1:7" x14ac:dyDescent="0.35">
      <c r="A10" s="13" t="s">
        <v>33</v>
      </c>
      <c r="B10" s="25">
        <f>'BILAN 2016'!E10</f>
        <v>668460</v>
      </c>
      <c r="C10" s="25">
        <f>[11]BILANFINAOUT2017!G56</f>
        <v>364000</v>
      </c>
      <c r="D10" s="25">
        <f>200000+345000</f>
        <v>545000</v>
      </c>
      <c r="E10" s="26">
        <f t="shared" si="0"/>
        <v>487460</v>
      </c>
      <c r="F10" s="27"/>
    </row>
    <row r="11" spans="1:7" x14ac:dyDescent="0.35">
      <c r="A11" s="13" t="s">
        <v>4</v>
      </c>
      <c r="B11" s="25">
        <f>'BILAN 2016'!E11</f>
        <v>932625</v>
      </c>
      <c r="C11" s="25">
        <f>[11]BILANFINAOUT2017!H56</f>
        <v>910000</v>
      </c>
      <c r="D11" s="25">
        <f>100000+110000+100000+100000+100000+100000+100000+100000+100000</f>
        <v>910000</v>
      </c>
      <c r="E11" s="26">
        <f t="shared" si="0"/>
        <v>932625</v>
      </c>
      <c r="F11" s="27"/>
    </row>
    <row r="12" spans="1:7" x14ac:dyDescent="0.35">
      <c r="A12" s="13" t="s">
        <v>34</v>
      </c>
      <c r="B12" s="25">
        <f>'BILAN 2016'!E12</f>
        <v>-741640</v>
      </c>
      <c r="C12" s="25">
        <f>[11]BILANFINAOUT2017!I56</f>
        <v>2009927</v>
      </c>
      <c r="D12" s="25">
        <f>200000+100000+640000</f>
        <v>940000</v>
      </c>
      <c r="E12" s="26">
        <f t="shared" si="0"/>
        <v>328287</v>
      </c>
      <c r="F12" s="27"/>
    </row>
    <row r="13" spans="1:7" x14ac:dyDescent="0.35">
      <c r="A13" s="13" t="s">
        <v>50</v>
      </c>
      <c r="B13" s="25"/>
      <c r="C13" s="25">
        <f>[11]BILANFINAOUT2017!R56</f>
        <v>125000</v>
      </c>
      <c r="D13" s="25"/>
      <c r="E13" s="26">
        <f t="shared" si="0"/>
        <v>125000</v>
      </c>
      <c r="F13" s="27"/>
    </row>
    <row r="14" spans="1:7" x14ac:dyDescent="0.35">
      <c r="A14" s="13" t="s">
        <v>51</v>
      </c>
      <c r="B14" s="25"/>
      <c r="C14" s="25">
        <f>+[11]BILANFINAOUT2017!J56</f>
        <v>0</v>
      </c>
      <c r="D14" s="25"/>
      <c r="E14" s="26"/>
      <c r="F14" s="27"/>
      <c r="G14" s="27"/>
    </row>
    <row r="15" spans="1:7" x14ac:dyDescent="0.35">
      <c r="A15" s="13" t="s">
        <v>6</v>
      </c>
      <c r="B15" s="25">
        <f>'BILAN 2016'!E13</f>
        <v>530000</v>
      </c>
      <c r="C15" s="25"/>
      <c r="D15" s="25"/>
      <c r="E15" s="26">
        <f t="shared" ref="E15:E21" si="1">B15+C15-D15</f>
        <v>530000</v>
      </c>
      <c r="F15" s="27"/>
    </row>
    <row r="16" spans="1:7" x14ac:dyDescent="0.35">
      <c r="A16" s="13" t="s">
        <v>58</v>
      </c>
      <c r="B16" s="25">
        <f>'BILAN 2016'!E14</f>
        <v>54508</v>
      </c>
      <c r="C16" s="25"/>
      <c r="D16" s="25"/>
      <c r="E16" s="26">
        <f t="shared" si="1"/>
        <v>54508</v>
      </c>
      <c r="F16" s="27"/>
    </row>
    <row r="17" spans="1:6" x14ac:dyDescent="0.35">
      <c r="A17" s="13" t="s">
        <v>59</v>
      </c>
      <c r="B17" s="25">
        <f>'BILAN 2016'!E15</f>
        <v>-164500</v>
      </c>
      <c r="C17" s="25"/>
      <c r="D17" s="25"/>
      <c r="E17" s="26">
        <f t="shared" si="1"/>
        <v>-164500</v>
      </c>
      <c r="F17" s="27"/>
    </row>
    <row r="18" spans="1:6" x14ac:dyDescent="0.35">
      <c r="A18" s="13" t="s">
        <v>60</v>
      </c>
      <c r="B18" s="25">
        <f>'BILAN 2016'!E16</f>
        <v>-75000</v>
      </c>
      <c r="C18" s="25"/>
      <c r="D18" s="25"/>
      <c r="E18" s="26">
        <f t="shared" si="1"/>
        <v>-75000</v>
      </c>
      <c r="F18" s="27"/>
    </row>
    <row r="19" spans="1:6" x14ac:dyDescent="0.35">
      <c r="A19" s="13"/>
      <c r="B19" s="25"/>
      <c r="C19" s="25"/>
      <c r="D19" s="25"/>
      <c r="E19" s="26">
        <f t="shared" si="1"/>
        <v>0</v>
      </c>
      <c r="F19" s="27"/>
    </row>
    <row r="20" spans="1:6" x14ac:dyDescent="0.35">
      <c r="A20" s="13" t="s">
        <v>35</v>
      </c>
      <c r="B20" s="25"/>
      <c r="C20" s="25"/>
      <c r="D20" s="25"/>
      <c r="E20" s="26">
        <f t="shared" si="1"/>
        <v>0</v>
      </c>
      <c r="F20" s="27"/>
    </row>
    <row r="21" spans="1:6" x14ac:dyDescent="0.35">
      <c r="A21" s="13" t="s">
        <v>36</v>
      </c>
      <c r="B21" s="25">
        <f>'BILAN 2016'!E18</f>
        <v>337250</v>
      </c>
      <c r="C21" s="25"/>
      <c r="D21" s="28"/>
      <c r="E21" s="26">
        <f t="shared" si="1"/>
        <v>337250</v>
      </c>
      <c r="F21" s="30"/>
    </row>
    <row r="22" spans="1:6" x14ac:dyDescent="0.35">
      <c r="A22" s="13" t="s">
        <v>37</v>
      </c>
      <c r="B22" s="28"/>
      <c r="C22" s="28"/>
      <c r="D22" s="28"/>
      <c r="E22" s="29"/>
      <c r="F22" s="27"/>
    </row>
    <row r="23" spans="1:6" x14ac:dyDescent="0.35">
      <c r="A23" s="13" t="s">
        <v>38</v>
      </c>
      <c r="B23" s="28"/>
      <c r="C23" s="25"/>
      <c r="D23" s="28"/>
      <c r="E23" s="26"/>
      <c r="F23" s="27"/>
    </row>
    <row r="24" spans="1:6" x14ac:dyDescent="0.35">
      <c r="A24" s="13"/>
      <c r="B24" s="28"/>
      <c r="C24" s="25"/>
      <c r="D24" s="28"/>
      <c r="E24" s="26"/>
      <c r="F24" s="27"/>
    </row>
    <row r="25" spans="1:6" x14ac:dyDescent="0.35">
      <c r="A25" s="13" t="s">
        <v>39</v>
      </c>
      <c r="B25" s="28"/>
      <c r="C25" s="14"/>
      <c r="D25" s="25"/>
      <c r="E25" s="26">
        <f t="shared" ref="E25" si="2">B25+C25-D25</f>
        <v>0</v>
      </c>
      <c r="F25" s="27"/>
    </row>
    <row r="26" spans="1:6" x14ac:dyDescent="0.35">
      <c r="A26" s="13"/>
      <c r="B26" s="28"/>
      <c r="C26" s="25"/>
      <c r="D26" s="28"/>
      <c r="E26" s="26"/>
      <c r="F26" s="27"/>
    </row>
    <row r="27" spans="1:6" x14ac:dyDescent="0.35">
      <c r="A27" s="13" t="s">
        <v>40</v>
      </c>
      <c r="B27" s="28"/>
      <c r="C27" s="25"/>
      <c r="D27" s="28"/>
      <c r="E27" s="26"/>
      <c r="F27" s="27"/>
    </row>
    <row r="28" spans="1:6" x14ac:dyDescent="0.35">
      <c r="A28" s="13"/>
      <c r="B28" s="28"/>
      <c r="C28" s="25"/>
      <c r="D28" s="28"/>
      <c r="E28" s="29"/>
      <c r="F28" s="27"/>
    </row>
    <row r="29" spans="1:6" x14ac:dyDescent="0.35">
      <c r="A29" s="13" t="s">
        <v>61</v>
      </c>
      <c r="B29" s="25">
        <v>1779594</v>
      </c>
      <c r="C29" s="14"/>
      <c r="D29" s="14"/>
      <c r="E29" s="26">
        <f t="shared" ref="E29" si="3">B29+C29-D29</f>
        <v>1779594</v>
      </c>
      <c r="F29" s="27"/>
    </row>
    <row r="30" spans="1:6" x14ac:dyDescent="0.35">
      <c r="A30" s="13" t="s">
        <v>41</v>
      </c>
      <c r="B30" s="28"/>
      <c r="C30" s="25"/>
      <c r="D30" s="25"/>
      <c r="E30" s="26"/>
      <c r="F30" s="27"/>
    </row>
    <row r="31" spans="1:6" x14ac:dyDescent="0.35">
      <c r="A31" s="13" t="s">
        <v>42</v>
      </c>
      <c r="B31" s="28"/>
      <c r="C31" s="14"/>
      <c r="D31" s="14"/>
      <c r="E31" s="26"/>
      <c r="F31" s="27"/>
    </row>
    <row r="32" spans="1:6" x14ac:dyDescent="0.35">
      <c r="A32" s="13" t="s">
        <v>43</v>
      </c>
      <c r="B32" s="28"/>
      <c r="C32" s="25"/>
      <c r="D32" s="28"/>
      <c r="E32" s="26"/>
      <c r="F32" s="27"/>
    </row>
    <row r="33" spans="1:6" x14ac:dyDescent="0.35">
      <c r="A33" s="13" t="s">
        <v>44</v>
      </c>
      <c r="B33" s="28"/>
      <c r="C33" s="25"/>
      <c r="D33" s="28"/>
      <c r="E33" s="26"/>
      <c r="F33" s="27"/>
    </row>
    <row r="34" spans="1:6" x14ac:dyDescent="0.35">
      <c r="A34" s="13"/>
      <c r="B34" s="28"/>
      <c r="C34" s="25"/>
      <c r="D34" s="28"/>
      <c r="E34" s="26"/>
      <c r="F34" s="27"/>
    </row>
    <row r="35" spans="1:6" x14ac:dyDescent="0.35">
      <c r="A35" s="13" t="s">
        <v>45</v>
      </c>
      <c r="B35" s="28"/>
      <c r="C35" s="25"/>
      <c r="D35" s="25"/>
      <c r="E35" s="26"/>
      <c r="F35" s="27"/>
    </row>
    <row r="36" spans="1:6" x14ac:dyDescent="0.35">
      <c r="A36" s="13"/>
      <c r="B36" s="28"/>
      <c r="C36" s="25"/>
      <c r="D36" s="28"/>
      <c r="E36" s="26"/>
      <c r="F36" s="27"/>
    </row>
    <row r="37" spans="1:6" x14ac:dyDescent="0.35">
      <c r="A37" s="19"/>
      <c r="B37" s="14"/>
      <c r="C37" s="14"/>
      <c r="D37" s="14"/>
      <c r="E37" s="26"/>
    </row>
    <row r="38" spans="1:6" x14ac:dyDescent="0.35">
      <c r="A38" s="19"/>
      <c r="B38" s="14"/>
      <c r="C38" s="14"/>
      <c r="D38" s="14"/>
      <c r="E38" s="15"/>
    </row>
    <row r="39" spans="1:6" ht="15" thickBot="1" x14ac:dyDescent="0.4">
      <c r="A39" s="31" t="s">
        <v>47</v>
      </c>
      <c r="B39" s="38">
        <f>SUM(B7:B38)</f>
        <v>32232328</v>
      </c>
      <c r="C39" s="38">
        <f t="shared" ref="C39:D39" si="4">SUM(C7:C38)</f>
        <v>23865439</v>
      </c>
      <c r="D39" s="38">
        <f t="shared" si="4"/>
        <v>16162000</v>
      </c>
      <c r="E39" s="32">
        <f>B39+C39-D39</f>
        <v>39935767</v>
      </c>
    </row>
    <row r="40" spans="1:6" ht="15" thickTop="1" x14ac:dyDescent="0.3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topLeftCell="A10" workbookViewId="0">
      <selection activeCell="F17" sqref="F17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13" t="s">
        <v>10</v>
      </c>
      <c r="C2" s="13">
        <v>2022</v>
      </c>
    </row>
    <row r="3" spans="1:7" ht="21" x14ac:dyDescent="0.5">
      <c r="B3" s="156" t="s">
        <v>107</v>
      </c>
      <c r="C3" s="157"/>
      <c r="D3" s="157"/>
      <c r="E3" s="157"/>
      <c r="F3" s="157"/>
    </row>
    <row r="5" spans="1:7" ht="15" thickBot="1" x14ac:dyDescent="0.4"/>
    <row r="6" spans="1:7" ht="37.5" thickTop="1" x14ac:dyDescent="0.45">
      <c r="A6" s="21" t="s">
        <v>108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19">
        <v>1</v>
      </c>
      <c r="B8" s="13" t="s">
        <v>109</v>
      </c>
      <c r="C8" s="61">
        <v>21791466</v>
      </c>
      <c r="D8" s="61"/>
      <c r="E8" s="40">
        <v>500000</v>
      </c>
      <c r="F8" s="26">
        <v>21291466</v>
      </c>
      <c r="G8" s="27"/>
    </row>
    <row r="9" spans="1:7" x14ac:dyDescent="0.35">
      <c r="A9" s="19">
        <v>2</v>
      </c>
      <c r="B9" s="14" t="s">
        <v>2</v>
      </c>
      <c r="C9" s="61">
        <v>2074728</v>
      </c>
      <c r="D9" s="61">
        <v>156000</v>
      </c>
      <c r="E9" s="40">
        <v>234500</v>
      </c>
      <c r="F9" s="26">
        <v>1996228</v>
      </c>
      <c r="G9" s="27"/>
    </row>
    <row r="10" spans="1:7" x14ac:dyDescent="0.35">
      <c r="A10" s="19">
        <v>3</v>
      </c>
      <c r="B10" s="14" t="s">
        <v>33</v>
      </c>
      <c r="C10" s="61">
        <v>1191460</v>
      </c>
      <c r="D10" s="61">
        <v>312000</v>
      </c>
      <c r="E10" s="40">
        <v>0</v>
      </c>
      <c r="F10" s="26">
        <v>1503460</v>
      </c>
      <c r="G10" s="27"/>
    </row>
    <row r="11" spans="1:7" x14ac:dyDescent="0.35">
      <c r="A11" s="19">
        <v>4</v>
      </c>
      <c r="B11" s="14" t="s">
        <v>34</v>
      </c>
      <c r="C11" s="61">
        <v>94762</v>
      </c>
      <c r="D11" s="61">
        <v>520000</v>
      </c>
      <c r="E11" s="40">
        <v>0</v>
      </c>
      <c r="F11" s="26">
        <f>C11+D11</f>
        <v>614762</v>
      </c>
      <c r="G11" s="27"/>
    </row>
    <row r="12" spans="1:7" x14ac:dyDescent="0.35">
      <c r="A12" s="19">
        <v>5</v>
      </c>
      <c r="B12" s="14" t="s">
        <v>6</v>
      </c>
      <c r="C12" s="61">
        <v>680000</v>
      </c>
      <c r="D12" s="61">
        <v>0</v>
      </c>
      <c r="E12" s="40">
        <v>0</v>
      </c>
      <c r="F12" s="26">
        <v>680000</v>
      </c>
      <c r="G12" s="27"/>
    </row>
    <row r="13" spans="1:7" x14ac:dyDescent="0.35">
      <c r="A13" s="19">
        <v>6</v>
      </c>
      <c r="B13" s="14" t="s">
        <v>110</v>
      </c>
      <c r="C13" s="61">
        <v>1122025</v>
      </c>
      <c r="D13" s="61">
        <v>96000</v>
      </c>
      <c r="E13" s="40">
        <v>450000</v>
      </c>
      <c r="F13" s="26">
        <v>768025</v>
      </c>
      <c r="G13" s="27"/>
    </row>
    <row r="14" spans="1:7" x14ac:dyDescent="0.35">
      <c r="A14" s="19">
        <v>7</v>
      </c>
      <c r="B14" s="14" t="s">
        <v>4</v>
      </c>
      <c r="C14" s="61">
        <v>1310525</v>
      </c>
      <c r="D14" s="61">
        <v>780000</v>
      </c>
      <c r="E14" s="40">
        <v>770000</v>
      </c>
      <c r="F14" s="26">
        <v>1320525</v>
      </c>
      <c r="G14" s="27"/>
    </row>
    <row r="15" spans="1:7" x14ac:dyDescent="0.35">
      <c r="A15" s="19">
        <v>8</v>
      </c>
      <c r="B15" s="14" t="s">
        <v>111</v>
      </c>
      <c r="C15" s="61">
        <v>94000</v>
      </c>
      <c r="D15" s="61"/>
      <c r="E15" s="40"/>
      <c r="F15" s="26">
        <v>94000</v>
      </c>
      <c r="G15" s="27"/>
    </row>
    <row r="16" spans="1:7" x14ac:dyDescent="0.35">
      <c r="A16" s="19">
        <v>9</v>
      </c>
      <c r="B16" s="14" t="s">
        <v>112</v>
      </c>
      <c r="C16" s="61"/>
      <c r="D16" s="61"/>
      <c r="E16" s="40"/>
      <c r="F16" s="26">
        <v>0</v>
      </c>
      <c r="G16" s="27"/>
    </row>
    <row r="17" spans="1:8" x14ac:dyDescent="0.35">
      <c r="A17" s="19">
        <v>10</v>
      </c>
      <c r="B17" s="14" t="s">
        <v>35</v>
      </c>
      <c r="C17" s="61">
        <v>527000</v>
      </c>
      <c r="D17" s="61">
        <v>1836000</v>
      </c>
      <c r="E17" s="40">
        <v>1820000</v>
      </c>
      <c r="F17" s="26">
        <v>543000</v>
      </c>
      <c r="G17" s="27"/>
    </row>
    <row r="18" spans="1:8" x14ac:dyDescent="0.35">
      <c r="A18" s="19">
        <v>11</v>
      </c>
      <c r="B18" s="14" t="s">
        <v>113</v>
      </c>
      <c r="C18" s="61">
        <v>164500</v>
      </c>
      <c r="D18" s="61"/>
      <c r="E18" s="40">
        <v>164500</v>
      </c>
      <c r="F18" s="26">
        <v>0</v>
      </c>
      <c r="G18" s="27"/>
    </row>
    <row r="19" spans="1:8" x14ac:dyDescent="0.35">
      <c r="A19" s="19">
        <v>12</v>
      </c>
      <c r="B19" s="14" t="s">
        <v>114</v>
      </c>
      <c r="C19" s="61">
        <v>619900</v>
      </c>
      <c r="D19" s="61"/>
      <c r="E19" s="40">
        <v>619900</v>
      </c>
      <c r="F19" s="26">
        <v>0</v>
      </c>
      <c r="G19" s="27"/>
    </row>
    <row r="20" spans="1:8" x14ac:dyDescent="0.35">
      <c r="A20" s="19">
        <v>13</v>
      </c>
      <c r="B20" s="14" t="s">
        <v>115</v>
      </c>
      <c r="C20" s="61">
        <v>75000</v>
      </c>
      <c r="D20" s="61"/>
      <c r="E20" s="40">
        <v>75000</v>
      </c>
      <c r="F20" s="26">
        <v>0</v>
      </c>
      <c r="G20" s="27"/>
    </row>
    <row r="21" spans="1:8" x14ac:dyDescent="0.35">
      <c r="A21" s="19">
        <v>14</v>
      </c>
      <c r="B21" s="14" t="s">
        <v>116</v>
      </c>
      <c r="C21" s="61">
        <v>54508</v>
      </c>
      <c r="D21" s="61"/>
      <c r="E21" s="40">
        <v>54508</v>
      </c>
      <c r="F21" s="26">
        <v>0</v>
      </c>
      <c r="G21" s="27"/>
    </row>
    <row r="22" spans="1:8" x14ac:dyDescent="0.35">
      <c r="A22" s="19">
        <v>15</v>
      </c>
      <c r="B22" s="14" t="s">
        <v>117</v>
      </c>
      <c r="C22" s="61">
        <v>2858226</v>
      </c>
      <c r="D22" s="61">
        <v>3748107.9999999995</v>
      </c>
      <c r="E22" s="40"/>
      <c r="F22" s="26">
        <v>6606334</v>
      </c>
      <c r="G22" s="27"/>
    </row>
    <row r="23" spans="1:8" x14ac:dyDescent="0.35">
      <c r="A23" s="19"/>
      <c r="B23" s="14" t="s">
        <v>118</v>
      </c>
      <c r="C23" s="25"/>
      <c r="D23" s="61">
        <v>28000</v>
      </c>
      <c r="E23" s="40"/>
      <c r="F23" s="26">
        <v>28000</v>
      </c>
      <c r="G23" s="27"/>
    </row>
    <row r="24" spans="1:8" x14ac:dyDescent="0.35">
      <c r="A24" s="62"/>
      <c r="B24" s="63"/>
      <c r="C24" s="64"/>
      <c r="D24" s="64"/>
      <c r="E24" s="65"/>
      <c r="F24" s="66"/>
      <c r="G24" s="27"/>
    </row>
    <row r="25" spans="1:8" ht="20.5" thickBot="1" x14ac:dyDescent="0.45">
      <c r="A25" s="67"/>
      <c r="B25" s="68" t="s">
        <v>23</v>
      </c>
      <c r="C25" s="69">
        <v>32658100</v>
      </c>
      <c r="D25" s="69">
        <f>SUM(D9:D23)</f>
        <v>7476108</v>
      </c>
      <c r="E25" s="69">
        <v>4688408</v>
      </c>
      <c r="F25" s="69">
        <f>SUM(F8:F23)</f>
        <v>35445800</v>
      </c>
      <c r="G25" s="27"/>
      <c r="H25" s="27">
        <v>479000</v>
      </c>
    </row>
    <row r="26" spans="1:8" ht="15" thickTop="1" x14ac:dyDescent="0.35">
      <c r="A26" s="70"/>
      <c r="B26" s="71"/>
      <c r="C26" s="72"/>
      <c r="D26" s="72"/>
      <c r="E26" s="72"/>
      <c r="F26" s="72"/>
      <c r="G26" s="27"/>
    </row>
    <row r="27" spans="1:8" ht="23.5" x14ac:dyDescent="0.55000000000000004">
      <c r="B27" s="158" t="s">
        <v>119</v>
      </c>
      <c r="C27" s="159"/>
      <c r="D27" s="159"/>
      <c r="E27" s="159"/>
      <c r="F27" s="159"/>
      <c r="G27" s="70"/>
    </row>
    <row r="28" spans="1:8" x14ac:dyDescent="0.35">
      <c r="A28" s="70"/>
      <c r="B28" s="71"/>
      <c r="C28" s="72"/>
      <c r="D28" s="72"/>
      <c r="E28" s="73"/>
      <c r="F28" s="72"/>
      <c r="G28" s="27"/>
    </row>
    <row r="29" spans="1:8" x14ac:dyDescent="0.35">
      <c r="A29" s="70"/>
      <c r="B29" s="71"/>
      <c r="C29" s="72"/>
      <c r="D29" s="72"/>
      <c r="E29" s="73"/>
      <c r="F29" s="72"/>
      <c r="G29" s="27"/>
    </row>
    <row r="30" spans="1:8" ht="15" thickBot="1" x14ac:dyDescent="0.4">
      <c r="A30" s="70"/>
      <c r="B30" s="71"/>
      <c r="C30" s="72">
        <v>2021</v>
      </c>
      <c r="D30" s="72">
        <v>2022</v>
      </c>
      <c r="E30" s="73"/>
      <c r="F30" s="72"/>
      <c r="G30" s="27"/>
    </row>
    <row r="31" spans="1:8" ht="15" thickTop="1" x14ac:dyDescent="0.35">
      <c r="A31" s="74">
        <v>1</v>
      </c>
      <c r="B31" s="75" t="s">
        <v>120</v>
      </c>
      <c r="C31" s="76">
        <v>7304779</v>
      </c>
      <c r="D31" s="77">
        <v>4337431</v>
      </c>
      <c r="E31" s="73"/>
      <c r="F31" s="72"/>
      <c r="G31" s="27"/>
    </row>
    <row r="32" spans="1:8" x14ac:dyDescent="0.35">
      <c r="A32" s="19">
        <v>2</v>
      </c>
      <c r="B32" s="14" t="s">
        <v>121</v>
      </c>
      <c r="C32" s="61">
        <v>630005</v>
      </c>
      <c r="D32" s="78">
        <v>630005</v>
      </c>
      <c r="E32" s="73"/>
      <c r="F32" s="72"/>
      <c r="G32" s="27"/>
      <c r="H32" s="27"/>
    </row>
    <row r="33" spans="1:7" x14ac:dyDescent="0.35">
      <c r="A33" s="19">
        <v>3</v>
      </c>
      <c r="B33" s="14" t="s">
        <v>42</v>
      </c>
      <c r="C33" s="61">
        <v>1423702</v>
      </c>
      <c r="D33" s="78">
        <v>1423702</v>
      </c>
      <c r="E33" s="73"/>
      <c r="F33" s="72"/>
      <c r="G33" s="27"/>
    </row>
    <row r="34" spans="1:7" x14ac:dyDescent="0.35">
      <c r="A34" s="19">
        <v>4</v>
      </c>
      <c r="B34" s="14" t="s">
        <v>122</v>
      </c>
      <c r="C34" s="61">
        <v>744700</v>
      </c>
      <c r="D34" s="78">
        <v>744700</v>
      </c>
      <c r="E34" s="73"/>
      <c r="F34" s="72"/>
      <c r="G34" s="27"/>
    </row>
    <row r="35" spans="1:7" x14ac:dyDescent="0.35">
      <c r="A35" s="19">
        <v>5</v>
      </c>
      <c r="B35" s="14" t="s">
        <v>123</v>
      </c>
      <c r="C35" s="61">
        <v>275000</v>
      </c>
      <c r="D35" s="78">
        <v>0</v>
      </c>
      <c r="E35" s="72"/>
      <c r="F35" s="72"/>
      <c r="G35" s="27"/>
    </row>
    <row r="36" spans="1:7" x14ac:dyDescent="0.35">
      <c r="A36" s="19">
        <v>6</v>
      </c>
      <c r="B36" s="14" t="s">
        <v>124</v>
      </c>
      <c r="C36" s="61">
        <v>154000</v>
      </c>
      <c r="D36" s="78">
        <v>154000</v>
      </c>
      <c r="E36" s="72"/>
      <c r="F36" s="72"/>
      <c r="G36" s="27"/>
    </row>
    <row r="37" spans="1:7" x14ac:dyDescent="0.35">
      <c r="A37" s="19">
        <v>7</v>
      </c>
      <c r="B37" s="14" t="s">
        <v>125</v>
      </c>
      <c r="C37" s="61">
        <v>20515659</v>
      </c>
      <c r="D37" s="78">
        <v>18658500</v>
      </c>
      <c r="E37" s="72"/>
      <c r="F37" s="72"/>
      <c r="G37" s="27"/>
    </row>
    <row r="38" spans="1:7" x14ac:dyDescent="0.35">
      <c r="A38" s="19">
        <v>8</v>
      </c>
      <c r="B38" s="14" t="s">
        <v>126</v>
      </c>
      <c r="C38" s="61">
        <v>1233618</v>
      </c>
      <c r="D38" s="78">
        <v>656618</v>
      </c>
      <c r="E38" s="73"/>
      <c r="F38" s="72"/>
      <c r="G38" s="27"/>
    </row>
    <row r="39" spans="1:7" x14ac:dyDescent="0.35">
      <c r="A39" s="19"/>
      <c r="B39" s="14"/>
      <c r="C39" s="25"/>
      <c r="D39" s="26"/>
      <c r="E39" s="73"/>
      <c r="F39" s="72"/>
      <c r="G39" s="27"/>
    </row>
    <row r="40" spans="1:7" ht="15" thickBot="1" x14ac:dyDescent="0.4">
      <c r="A40" s="67"/>
      <c r="B40" s="57" t="s">
        <v>23</v>
      </c>
      <c r="C40" s="38">
        <v>32281463</v>
      </c>
      <c r="D40" s="32">
        <v>26604956</v>
      </c>
      <c r="E40" s="79"/>
      <c r="F40" s="72"/>
      <c r="G40" s="30"/>
    </row>
    <row r="41" spans="1:7" ht="15" thickTop="1" x14ac:dyDescent="0.35">
      <c r="A41" s="70"/>
      <c r="B41" s="70"/>
      <c r="C41" s="80"/>
      <c r="D41" s="80"/>
      <c r="E41" s="79"/>
      <c r="F41" s="72"/>
      <c r="G41" s="27"/>
    </row>
    <row r="42" spans="1:7" x14ac:dyDescent="0.35">
      <c r="A42" s="70"/>
      <c r="B42" s="70"/>
      <c r="C42" s="72"/>
      <c r="D42" s="72"/>
      <c r="E42" s="73"/>
      <c r="F42" s="72"/>
      <c r="G42" s="27"/>
    </row>
    <row r="43" spans="1:7" x14ac:dyDescent="0.35">
      <c r="A43" s="70"/>
      <c r="B43" s="71"/>
      <c r="C43" s="80"/>
      <c r="D43" s="72"/>
      <c r="E43" s="73"/>
      <c r="F43" s="72"/>
      <c r="G43" s="27"/>
    </row>
    <row r="44" spans="1:7" x14ac:dyDescent="0.35">
      <c r="A44" s="70"/>
      <c r="B44" s="71"/>
      <c r="C44" s="80"/>
      <c r="D44" s="70"/>
      <c r="E44" s="73"/>
      <c r="F44" s="72"/>
      <c r="G44" s="27"/>
    </row>
    <row r="45" spans="1:7" x14ac:dyDescent="0.35">
      <c r="A45" s="70"/>
      <c r="B45" s="71"/>
      <c r="C45" s="80"/>
      <c r="D45" s="72"/>
      <c r="E45" s="79"/>
      <c r="F45" s="72"/>
      <c r="G45" s="27"/>
    </row>
    <row r="46" spans="1:7" x14ac:dyDescent="0.35">
      <c r="A46" s="70"/>
      <c r="B46" s="71"/>
      <c r="C46" s="80"/>
      <c r="D46" s="72"/>
      <c r="E46" s="79"/>
      <c r="F46" s="72"/>
      <c r="G46" s="27"/>
    </row>
    <row r="47" spans="1:7" x14ac:dyDescent="0.35">
      <c r="A47" s="70"/>
      <c r="B47" s="71"/>
      <c r="C47" s="80"/>
      <c r="D47" s="72"/>
      <c r="E47" s="79"/>
      <c r="F47" s="72"/>
      <c r="G47" s="27"/>
    </row>
    <row r="48" spans="1:7" x14ac:dyDescent="0.35">
      <c r="A48" s="70"/>
      <c r="B48" s="71"/>
      <c r="C48" s="80"/>
      <c r="D48" s="72"/>
      <c r="E48" s="79"/>
      <c r="F48" s="72"/>
      <c r="G48" s="27"/>
    </row>
    <row r="49" spans="1:7" x14ac:dyDescent="0.35">
      <c r="A49" s="70"/>
      <c r="B49" s="71"/>
      <c r="C49" s="70"/>
      <c r="D49" s="72"/>
      <c r="E49" s="73"/>
      <c r="F49" s="72"/>
      <c r="G49" s="27"/>
    </row>
    <row r="50" spans="1:7" x14ac:dyDescent="0.35">
      <c r="A50" s="70"/>
      <c r="B50" s="71"/>
      <c r="C50" s="70"/>
      <c r="D50" s="72"/>
      <c r="E50" s="81"/>
      <c r="F50" s="72"/>
      <c r="G50" s="27"/>
    </row>
    <row r="51" spans="1:7" x14ac:dyDescent="0.35">
      <c r="A51" s="70"/>
      <c r="B51" s="71"/>
      <c r="C51" s="72"/>
      <c r="D51" s="72"/>
      <c r="E51" s="81"/>
      <c r="F51" s="72"/>
      <c r="G51" s="27"/>
    </row>
    <row r="52" spans="1:7" x14ac:dyDescent="0.35">
      <c r="A52" s="70"/>
      <c r="B52" s="71"/>
      <c r="C52" s="70"/>
      <c r="D52" s="72"/>
      <c r="E52" s="79"/>
      <c r="F52" s="72"/>
      <c r="G52" s="27"/>
    </row>
    <row r="53" spans="1:7" x14ac:dyDescent="0.35">
      <c r="A53" s="70"/>
      <c r="B53" s="71"/>
      <c r="C53" s="80"/>
      <c r="D53" s="72"/>
      <c r="E53" s="79"/>
      <c r="F53" s="72"/>
      <c r="G53" s="27"/>
    </row>
    <row r="54" spans="1:7" x14ac:dyDescent="0.35">
      <c r="A54" s="70"/>
      <c r="B54" s="71"/>
      <c r="C54" s="80"/>
      <c r="D54" s="72"/>
      <c r="E54" s="73"/>
      <c r="F54" s="72"/>
      <c r="G54" s="27"/>
    </row>
    <row r="55" spans="1:7" x14ac:dyDescent="0.35">
      <c r="A55" s="70"/>
      <c r="B55" s="71"/>
      <c r="C55" s="80"/>
      <c r="D55" s="72"/>
      <c r="E55" s="79"/>
      <c r="F55" s="72"/>
      <c r="G55" s="27"/>
    </row>
    <row r="56" spans="1:7" x14ac:dyDescent="0.35">
      <c r="A56" s="70"/>
      <c r="B56" s="70"/>
      <c r="C56" s="70"/>
      <c r="D56" s="70"/>
      <c r="E56" s="81"/>
      <c r="F56" s="72"/>
    </row>
    <row r="57" spans="1:7" x14ac:dyDescent="0.35">
      <c r="A57" s="70"/>
      <c r="B57" s="70"/>
      <c r="C57" s="70"/>
      <c r="D57" s="70"/>
      <c r="E57" s="81"/>
      <c r="F57" s="70"/>
    </row>
    <row r="58" spans="1:7" ht="17.5" x14ac:dyDescent="0.35">
      <c r="A58" s="70"/>
      <c r="B58" s="71"/>
      <c r="C58" s="82"/>
      <c r="D58" s="82"/>
      <c r="E58" s="82"/>
      <c r="F58" s="82"/>
    </row>
    <row r="59" spans="1:7" x14ac:dyDescent="0.35">
      <c r="A59" s="70"/>
      <c r="B59" s="70"/>
      <c r="C59" s="70"/>
      <c r="D59" s="70"/>
      <c r="E59" s="70"/>
      <c r="F59" s="70"/>
    </row>
    <row r="60" spans="1:7" x14ac:dyDescent="0.35">
      <c r="A60" s="70"/>
      <c r="B60" s="70"/>
      <c r="C60" s="70"/>
      <c r="D60" s="70"/>
      <c r="E60" s="70"/>
      <c r="F60" s="70"/>
    </row>
    <row r="61" spans="1:7" x14ac:dyDescent="0.35">
      <c r="A61" s="70"/>
      <c r="B61" s="70"/>
      <c r="C61" s="70"/>
      <c r="D61" s="70"/>
      <c r="E61" s="70"/>
      <c r="F61" s="70"/>
    </row>
    <row r="62" spans="1:7" x14ac:dyDescent="0.35">
      <c r="A62" s="70"/>
      <c r="B62" s="70"/>
      <c r="C62" s="70"/>
      <c r="D62" s="70"/>
      <c r="E62" s="70"/>
      <c r="F62" s="70"/>
    </row>
    <row r="63" spans="1:7" x14ac:dyDescent="0.35">
      <c r="A63" s="70"/>
      <c r="B63" s="70"/>
      <c r="C63" s="70"/>
      <c r="D63" s="70"/>
      <c r="E63" s="70"/>
      <c r="F63" s="70"/>
    </row>
    <row r="64" spans="1:7" x14ac:dyDescent="0.35">
      <c r="A64" s="70"/>
      <c r="B64" s="70"/>
      <c r="C64" s="70"/>
      <c r="D64" s="70"/>
      <c r="E64" s="70"/>
      <c r="F64" s="70"/>
    </row>
    <row r="65" spans="1:6" x14ac:dyDescent="0.35">
      <c r="A65" s="70"/>
      <c r="B65" s="70"/>
      <c r="C65" s="70"/>
      <c r="D65" s="70"/>
      <c r="E65" s="70"/>
      <c r="F65" s="70"/>
    </row>
    <row r="66" spans="1:6" x14ac:dyDescent="0.35">
      <c r="A66" s="70"/>
      <c r="B66" s="70"/>
      <c r="C66" s="70"/>
      <c r="D66" s="70"/>
      <c r="E66" s="70"/>
      <c r="F66" s="70"/>
    </row>
    <row r="67" spans="1:6" x14ac:dyDescent="0.35">
      <c r="A67" s="70"/>
      <c r="B67" s="70"/>
      <c r="C67" s="70"/>
      <c r="D67" s="70"/>
      <c r="E67" s="70"/>
      <c r="F67" s="70"/>
    </row>
    <row r="68" spans="1:6" x14ac:dyDescent="0.35">
      <c r="A68" s="70"/>
      <c r="B68" s="70"/>
      <c r="C68" s="70"/>
      <c r="D68" s="70"/>
      <c r="E68" s="70"/>
      <c r="F68" s="70"/>
    </row>
    <row r="69" spans="1:6" x14ac:dyDescent="0.35">
      <c r="A69" s="70"/>
      <c r="B69" s="70"/>
      <c r="C69" s="70"/>
      <c r="D69" s="70"/>
      <c r="E69" s="70"/>
      <c r="F69" s="70"/>
    </row>
    <row r="70" spans="1:6" x14ac:dyDescent="0.35">
      <c r="A70" s="70"/>
      <c r="B70" s="70"/>
      <c r="C70" s="70"/>
      <c r="D70" s="70"/>
      <c r="E70" s="70"/>
      <c r="F70" s="70"/>
    </row>
    <row r="71" spans="1:6" x14ac:dyDescent="0.35">
      <c r="A71" s="70"/>
      <c r="B71" s="70"/>
      <c r="C71" s="70"/>
      <c r="D71" s="70"/>
      <c r="E71" s="70"/>
      <c r="F71" s="70"/>
    </row>
    <row r="72" spans="1:6" x14ac:dyDescent="0.35">
      <c r="A72" s="70"/>
      <c r="B72" s="70"/>
      <c r="C72" s="70"/>
      <c r="D72" s="70"/>
      <c r="E72" s="70"/>
      <c r="F72" s="70"/>
    </row>
    <row r="73" spans="1:6" x14ac:dyDescent="0.35">
      <c r="A73" s="70"/>
      <c r="B73" s="70"/>
      <c r="C73" s="70"/>
      <c r="D73" s="70"/>
      <c r="E73" s="70"/>
      <c r="F73" s="70"/>
    </row>
    <row r="74" spans="1:6" x14ac:dyDescent="0.35">
      <c r="A74" s="70"/>
      <c r="B74" s="70"/>
      <c r="C74" s="70"/>
      <c r="D74" s="70"/>
      <c r="E74" s="70"/>
      <c r="F74" s="70"/>
    </row>
    <row r="75" spans="1:6" x14ac:dyDescent="0.35">
      <c r="A75" s="70"/>
      <c r="B75" s="70"/>
      <c r="C75" s="70"/>
      <c r="D75" s="70"/>
      <c r="E75" s="70"/>
      <c r="F75" s="70"/>
    </row>
    <row r="76" spans="1:6" x14ac:dyDescent="0.35">
      <c r="A76" s="70"/>
      <c r="B76" s="70"/>
      <c r="C76" s="70"/>
      <c r="D76" s="70"/>
      <c r="E76" s="70"/>
      <c r="F76" s="70"/>
    </row>
    <row r="77" spans="1:6" x14ac:dyDescent="0.35">
      <c r="A77" s="70"/>
      <c r="B77" s="70"/>
      <c r="C77" s="70"/>
      <c r="D77" s="70"/>
      <c r="E77" s="70"/>
      <c r="F77" s="70"/>
    </row>
    <row r="78" spans="1:6" x14ac:dyDescent="0.35">
      <c r="A78" s="70"/>
      <c r="B78" s="70"/>
      <c r="C78" s="70"/>
      <c r="D78" s="70"/>
      <c r="E78" s="70"/>
      <c r="F78" s="70"/>
    </row>
    <row r="79" spans="1:6" x14ac:dyDescent="0.35">
      <c r="A79" s="70"/>
      <c r="B79" s="70"/>
      <c r="C79" s="70"/>
      <c r="D79" s="70"/>
      <c r="E79" s="70"/>
      <c r="F79" s="70"/>
    </row>
    <row r="80" spans="1:6" x14ac:dyDescent="0.35">
      <c r="A80" s="70"/>
      <c r="B80" s="70"/>
      <c r="C80" s="70"/>
      <c r="D80" s="70"/>
      <c r="E80" s="70"/>
      <c r="F80" s="70"/>
    </row>
    <row r="81" spans="1:6" x14ac:dyDescent="0.35">
      <c r="A81" s="70"/>
      <c r="B81" s="70"/>
      <c r="C81" s="70"/>
      <c r="D81" s="70"/>
      <c r="E81" s="70"/>
      <c r="F81" s="70"/>
    </row>
    <row r="82" spans="1:6" x14ac:dyDescent="0.35">
      <c r="A82" s="70"/>
      <c r="B82" s="70"/>
      <c r="C82" s="70"/>
      <c r="D82" s="70"/>
      <c r="E82" s="70"/>
      <c r="F82" s="70"/>
    </row>
    <row r="83" spans="1:6" x14ac:dyDescent="0.35">
      <c r="A83" s="70"/>
      <c r="B83" s="70"/>
      <c r="C83" s="70"/>
      <c r="D83" s="70"/>
      <c r="E83" s="70"/>
      <c r="F83" s="70"/>
    </row>
    <row r="84" spans="1:6" x14ac:dyDescent="0.35">
      <c r="A84" s="70"/>
      <c r="B84" s="70"/>
      <c r="C84" s="70"/>
      <c r="D84" s="70"/>
      <c r="E84" s="70"/>
      <c r="F84" s="70"/>
    </row>
    <row r="85" spans="1:6" x14ac:dyDescent="0.35">
      <c r="A85" s="70"/>
      <c r="B85" s="70"/>
      <c r="C85" s="70"/>
      <c r="D85" s="70"/>
      <c r="E85" s="70"/>
      <c r="F85" s="70"/>
    </row>
    <row r="86" spans="1:6" x14ac:dyDescent="0.35">
      <c r="A86" s="70"/>
      <c r="B86" s="70"/>
      <c r="C86" s="70"/>
      <c r="D86" s="70"/>
      <c r="E86" s="70"/>
      <c r="F86" s="70"/>
    </row>
    <row r="87" spans="1:6" x14ac:dyDescent="0.35">
      <c r="A87" s="70"/>
      <c r="B87" s="70"/>
      <c r="C87" s="70"/>
      <c r="D87" s="70"/>
      <c r="E87" s="70"/>
      <c r="F87" s="70"/>
    </row>
    <row r="88" spans="1:6" x14ac:dyDescent="0.35">
      <c r="A88" s="70"/>
      <c r="B88" s="70"/>
      <c r="C88" s="70"/>
      <c r="D88" s="70"/>
      <c r="E88" s="70"/>
      <c r="F88" s="70"/>
    </row>
    <row r="89" spans="1:6" x14ac:dyDescent="0.35">
      <c r="A89" s="70"/>
      <c r="B89" s="70"/>
      <c r="C89" s="70"/>
      <c r="D89" s="70"/>
      <c r="E89" s="70"/>
      <c r="F89" s="70"/>
    </row>
    <row r="90" spans="1:6" x14ac:dyDescent="0.35">
      <c r="A90" s="70"/>
      <c r="B90" s="70"/>
      <c r="C90" s="70"/>
      <c r="D90" s="70"/>
      <c r="E90" s="70"/>
      <c r="F90" s="70"/>
    </row>
    <row r="91" spans="1:6" x14ac:dyDescent="0.35">
      <c r="A91" s="70"/>
      <c r="B91" s="70"/>
      <c r="C91" s="70"/>
      <c r="D91" s="70"/>
      <c r="E91" s="70"/>
      <c r="F91" s="70"/>
    </row>
    <row r="92" spans="1:6" x14ac:dyDescent="0.35">
      <c r="A92" s="70"/>
      <c r="B92" s="70"/>
      <c r="C92" s="70"/>
      <c r="D92" s="70"/>
      <c r="E92" s="70"/>
      <c r="F92" s="70"/>
    </row>
    <row r="93" spans="1:6" x14ac:dyDescent="0.35">
      <c r="A93" s="70"/>
      <c r="B93" s="70"/>
      <c r="C93" s="70"/>
      <c r="D93" s="70"/>
      <c r="E93" s="70"/>
      <c r="F93" s="70"/>
    </row>
    <row r="94" spans="1:6" x14ac:dyDescent="0.35">
      <c r="A94" s="70"/>
      <c r="B94" s="70"/>
      <c r="C94" s="70"/>
      <c r="D94" s="70"/>
      <c r="E94" s="70"/>
      <c r="F94" s="70"/>
    </row>
    <row r="95" spans="1:6" x14ac:dyDescent="0.35">
      <c r="A95" s="70"/>
      <c r="B95" s="70"/>
      <c r="C95" s="70"/>
      <c r="D95" s="70"/>
      <c r="E95" s="70"/>
      <c r="F95" s="70"/>
    </row>
    <row r="96" spans="1:6" x14ac:dyDescent="0.35">
      <c r="A96" s="70"/>
      <c r="B96" s="70"/>
      <c r="C96" s="70"/>
      <c r="D96" s="70"/>
      <c r="E96" s="70"/>
      <c r="F96" s="70"/>
    </row>
    <row r="97" spans="1:6" x14ac:dyDescent="0.35">
      <c r="A97" s="70"/>
      <c r="B97" s="70"/>
      <c r="C97" s="70"/>
      <c r="D97" s="70"/>
      <c r="E97" s="70"/>
      <c r="F97" s="70"/>
    </row>
    <row r="98" spans="1:6" x14ac:dyDescent="0.35">
      <c r="A98" s="70"/>
      <c r="B98" s="70"/>
      <c r="C98" s="70"/>
      <c r="D98" s="70"/>
      <c r="E98" s="70"/>
      <c r="F98" s="70"/>
    </row>
    <row r="99" spans="1:6" x14ac:dyDescent="0.35">
      <c r="A99" s="70"/>
      <c r="B99" s="70"/>
      <c r="C99" s="70"/>
      <c r="D99" s="70"/>
      <c r="E99" s="70"/>
      <c r="F99" s="70"/>
    </row>
    <row r="100" spans="1:6" x14ac:dyDescent="0.35">
      <c r="A100" s="70"/>
      <c r="B100" s="70"/>
      <c r="C100" s="70"/>
      <c r="D100" s="70"/>
      <c r="E100" s="70"/>
      <c r="F100" s="70"/>
    </row>
    <row r="101" spans="1:6" x14ac:dyDescent="0.35">
      <c r="A101" s="70"/>
      <c r="B101" s="70"/>
      <c r="C101" s="70"/>
      <c r="D101" s="70"/>
      <c r="E101" s="70"/>
      <c r="F101" s="70"/>
    </row>
    <row r="102" spans="1:6" x14ac:dyDescent="0.35">
      <c r="A102" s="70"/>
      <c r="B102" s="70"/>
      <c r="C102" s="70"/>
      <c r="D102" s="70"/>
      <c r="E102" s="70"/>
      <c r="F102" s="70"/>
    </row>
    <row r="103" spans="1:6" x14ac:dyDescent="0.35">
      <c r="A103" s="70"/>
      <c r="B103" s="70"/>
      <c r="C103" s="70"/>
      <c r="D103" s="70"/>
      <c r="E103" s="70"/>
      <c r="F103" s="70"/>
    </row>
    <row r="104" spans="1:6" x14ac:dyDescent="0.35">
      <c r="A104" s="70"/>
      <c r="B104" s="70"/>
      <c r="C104" s="70"/>
      <c r="D104" s="70"/>
      <c r="E104" s="70"/>
      <c r="F104" s="70"/>
    </row>
    <row r="105" spans="1:6" x14ac:dyDescent="0.35">
      <c r="A105" s="70"/>
      <c r="B105" s="70"/>
      <c r="C105" s="70"/>
      <c r="D105" s="70"/>
      <c r="E105" s="70"/>
      <c r="F105" s="70"/>
    </row>
    <row r="106" spans="1:6" x14ac:dyDescent="0.35">
      <c r="A106" s="70"/>
      <c r="B106" s="70"/>
      <c r="C106" s="70"/>
      <c r="D106" s="70"/>
      <c r="E106" s="70"/>
      <c r="F106" s="70"/>
    </row>
    <row r="107" spans="1:6" x14ac:dyDescent="0.35">
      <c r="A107" s="70"/>
      <c r="B107" s="70"/>
      <c r="C107" s="70"/>
      <c r="D107" s="70"/>
      <c r="E107" s="70"/>
      <c r="F107" s="70"/>
    </row>
    <row r="108" spans="1:6" x14ac:dyDescent="0.35">
      <c r="A108" s="70"/>
      <c r="B108" s="70"/>
      <c r="C108" s="70"/>
      <c r="D108" s="70"/>
      <c r="E108" s="70"/>
      <c r="F108" s="70"/>
    </row>
    <row r="109" spans="1:6" x14ac:dyDescent="0.35">
      <c r="A109" s="70"/>
      <c r="B109" s="70"/>
      <c r="C109" s="70"/>
      <c r="D109" s="70"/>
      <c r="E109" s="70"/>
      <c r="F109" s="70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50E7-9367-49EF-9379-E58124697634}">
  <dimension ref="A1:V73"/>
  <sheetViews>
    <sheetView zoomScale="104" zoomScaleNormal="104" workbookViewId="0">
      <pane xSplit="2" ySplit="5" topLeftCell="C33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5" sqref="D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4" width="16.81640625" customWidth="1"/>
    <col min="15" max="15" width="20.7265625" customWidth="1"/>
    <col min="16" max="16" width="15" bestFit="1" customWidth="1"/>
    <col min="17" max="17" width="17.54296875" style="154" bestFit="1" customWidth="1"/>
    <col min="18" max="18" width="16.54296875" customWidth="1"/>
    <col min="19" max="19" width="13.54296875" customWidth="1"/>
    <col min="20" max="20" width="14.08984375" customWidth="1"/>
    <col min="22" max="22" width="14.08984375" customWidth="1"/>
  </cols>
  <sheetData>
    <row r="1" spans="1:22" x14ac:dyDescent="0.35">
      <c r="A1" s="1" t="s">
        <v>94</v>
      </c>
      <c r="B1" s="1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</row>
    <row r="2" spans="1:22" x14ac:dyDescent="0.35">
      <c r="A2" s="1" t="s">
        <v>10</v>
      </c>
      <c r="B2" s="1">
        <v>2025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</row>
    <row r="3" spans="1:22" x14ac:dyDescent="0.35">
      <c r="A3" s="1"/>
      <c r="B3" s="42"/>
      <c r="C3" s="42"/>
      <c r="D3" s="4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42"/>
    </row>
    <row r="4" spans="1:22" ht="26.5" thickBot="1" x14ac:dyDescent="0.65">
      <c r="B4" s="47"/>
      <c r="C4" s="47"/>
      <c r="D4" s="47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48"/>
      <c r="R4" s="47"/>
    </row>
    <row r="5" spans="1:22" ht="57" thickTop="1" x14ac:dyDescent="0.35">
      <c r="A5" s="49" t="s">
        <v>96</v>
      </c>
      <c r="B5" s="50" t="s">
        <v>52</v>
      </c>
      <c r="C5" s="50" t="s">
        <v>32</v>
      </c>
      <c r="D5" s="50" t="s">
        <v>152</v>
      </c>
      <c r="E5" s="51" t="s">
        <v>97</v>
      </c>
      <c r="F5" s="50" t="s">
        <v>1</v>
      </c>
      <c r="G5" s="51" t="s">
        <v>98</v>
      </c>
      <c r="H5" s="51" t="s">
        <v>99</v>
      </c>
      <c r="I5" s="51" t="s">
        <v>201</v>
      </c>
      <c r="J5" s="50" t="s">
        <v>51</v>
      </c>
      <c r="K5" s="51" t="s">
        <v>56</v>
      </c>
      <c r="L5" s="51" t="s">
        <v>55</v>
      </c>
      <c r="M5" s="51" t="s">
        <v>176</v>
      </c>
      <c r="N5" s="51" t="s">
        <v>100</v>
      </c>
      <c r="O5" s="51" t="s">
        <v>101</v>
      </c>
      <c r="P5" s="51" t="s">
        <v>102</v>
      </c>
      <c r="Q5" s="51" t="s">
        <v>184</v>
      </c>
      <c r="R5" s="51" t="s">
        <v>54</v>
      </c>
      <c r="S5" s="52" t="s">
        <v>200</v>
      </c>
      <c r="T5" s="51" t="s">
        <v>202</v>
      </c>
      <c r="U5" s="51" t="s">
        <v>203</v>
      </c>
      <c r="V5" s="155" t="s">
        <v>92</v>
      </c>
    </row>
    <row r="6" spans="1:22" x14ac:dyDescent="0.35">
      <c r="A6" s="13" t="s">
        <v>90</v>
      </c>
      <c r="B6" s="33" t="str">
        <f>VLOOKUP($A$6,[12]LISTADHERENT!$A$5:$K$43,3,0)</f>
        <v>ASELBY</v>
      </c>
      <c r="C6" s="25">
        <f>VLOOKUP($A6,[13]MVTRESUME25!$A$6:$AL$45,3,0)</f>
        <v>0</v>
      </c>
      <c r="D6" s="25">
        <f>VLOOKUP($A6,[13]MVTRESUME25!$A$6:$AL$45,4,0)</f>
        <v>1023134</v>
      </c>
      <c r="E6" s="25">
        <f>VLOOKUP($A6,[13]MVTRESUME25!$A$6:$AL$45,8,0)</f>
        <v>83346.090793779207</v>
      </c>
      <c r="F6" s="25">
        <f>VLOOKUP($A6,[13]MVTRESUME25!$A$6:$AL$45,12,0)</f>
        <v>80000</v>
      </c>
      <c r="G6" s="25"/>
      <c r="H6" s="25"/>
      <c r="I6" s="25">
        <f>+D6+E6+F6+G6+H6</f>
        <v>1186480.0907937791</v>
      </c>
      <c r="J6" s="25">
        <f>VLOOKUP($A6,[13]MVTRESUME25!$A$6:$AL$45,10,0)</f>
        <v>0</v>
      </c>
      <c r="K6" s="25"/>
      <c r="L6" s="25"/>
      <c r="M6" s="25">
        <f>VLOOKUP($A6,[13]MVTRESUME25!$A$6:$AL$45,23,0)</f>
        <v>0</v>
      </c>
      <c r="N6" s="25">
        <f>J6+K6+L6+M6</f>
        <v>0</v>
      </c>
      <c r="O6" s="25">
        <f>I6-N6-S6</f>
        <v>1186480.0907937791</v>
      </c>
      <c r="P6" s="25"/>
      <c r="Q6" s="25">
        <f>O6-P6-S6</f>
        <v>1186480.0907937791</v>
      </c>
      <c r="R6" s="25"/>
      <c r="S6" s="29"/>
      <c r="T6" s="25"/>
      <c r="U6" s="25"/>
      <c r="V6" s="25">
        <v>82902</v>
      </c>
    </row>
    <row r="7" spans="1:22" x14ac:dyDescent="0.35">
      <c r="A7" s="13" t="s">
        <v>62</v>
      </c>
      <c r="B7" s="33" t="str">
        <f>VLOOKUP(A7,[12]LISTADHERENT!$A$5:$K$43,3,0)</f>
        <v>BAKOP ACHILLE</v>
      </c>
      <c r="C7" s="25">
        <f>VLOOKUP($A7,[13]MVTRESUME25!$A$6:$AL$45,3,0)</f>
        <v>800000</v>
      </c>
      <c r="D7" s="25">
        <f>VLOOKUP($A7,[13]MVTRESUME25!$A$6:$AL$45,4,0)</f>
        <v>18598</v>
      </c>
      <c r="E7" s="25">
        <f>VLOOKUP($A7,[13]MVTRESUME25!$A$6:$AL$45,8,0)</f>
        <v>68937.110692788454</v>
      </c>
      <c r="F7" s="25">
        <f>VLOOKUP($A7,[13]MVTRESUME25!$A$6:$AL$45,12,0)</f>
        <v>223000</v>
      </c>
      <c r="G7" s="25"/>
      <c r="H7" s="25"/>
      <c r="I7" s="25">
        <f t="shared" ref="I7:I42" si="0">+D7+E7+F7+G7+H7</f>
        <v>310535.11069278844</v>
      </c>
      <c r="J7" s="25">
        <f>VLOOKUP($A7,[13]MVTRESUME25!$A$6:$AL$45,10,0)</f>
        <v>0</v>
      </c>
      <c r="K7" s="25">
        <v>30000</v>
      </c>
      <c r="L7" s="25">
        <v>100000</v>
      </c>
      <c r="M7" s="25">
        <f>VLOOKUP($A7,[13]MVTRESUME25!$A$6:$AL$45,23,0)</f>
        <v>0</v>
      </c>
      <c r="N7" s="25">
        <f>J7+K7+L7+M7</f>
        <v>130000</v>
      </c>
      <c r="O7" s="25">
        <f>I7-N7</f>
        <v>180535.11069278844</v>
      </c>
      <c r="P7" s="25">
        <f>T7</f>
        <v>80000</v>
      </c>
      <c r="Q7" s="25">
        <f t="shared" ref="Q7:Q42" si="1">O7-P7-S7</f>
        <v>535.11069278843934</v>
      </c>
      <c r="R7" s="25">
        <f>C7+L7</f>
        <v>900000</v>
      </c>
      <c r="S7" s="144">
        <v>100000</v>
      </c>
      <c r="T7" s="25">
        <v>80000</v>
      </c>
      <c r="U7" s="25"/>
      <c r="V7" s="25">
        <v>68535</v>
      </c>
    </row>
    <row r="8" spans="1:22" x14ac:dyDescent="0.35">
      <c r="A8" s="13" t="s">
        <v>63</v>
      </c>
      <c r="B8" s="33" t="str">
        <f>VLOOKUP(A8,[12]LISTADHERENT!$A$5:$K$43,3,0)</f>
        <v>BOUTCHOUANG WILLIAM</v>
      </c>
      <c r="C8" s="25">
        <f>VLOOKUP($A8,[13]MVTRESUME25!$A$6:$AL$45,3,0)</f>
        <v>800000</v>
      </c>
      <c r="D8" s="25">
        <f>VLOOKUP($A8,[13]MVTRESUME25!$A$6:$AL$45,4,0)</f>
        <v>132669</v>
      </c>
      <c r="E8" s="25">
        <f>VLOOKUP($A8,[13]MVTRESUME25!$A$6:$AL$45,8,0)</f>
        <v>78276.309347178671</v>
      </c>
      <c r="F8" s="25">
        <f>VLOOKUP($A8,[13]MVTRESUME25!$A$6:$AL$45,12,0)</f>
        <v>228000</v>
      </c>
      <c r="G8" s="25"/>
      <c r="H8" s="25"/>
      <c r="I8" s="25">
        <f t="shared" si="0"/>
        <v>438945.30934717867</v>
      </c>
      <c r="J8" s="25">
        <f>VLOOKUP($A8,[13]MVTRESUME25!$A$6:$AL$45,10,0)</f>
        <v>0</v>
      </c>
      <c r="K8" s="25">
        <v>30000</v>
      </c>
      <c r="L8" s="25">
        <v>100000</v>
      </c>
      <c r="M8" s="25">
        <f>VLOOKUP($A8,[13]MVTRESUME25!$A$6:$AL$45,23,0)</f>
        <v>0</v>
      </c>
      <c r="N8" s="25">
        <f t="shared" ref="N8:N42" si="2">J8+K8+L8+M8</f>
        <v>130000</v>
      </c>
      <c r="O8" s="25">
        <f t="shared" ref="O8:O42" si="3">I8-N8</f>
        <v>308945.30934717867</v>
      </c>
      <c r="P8" s="25">
        <f t="shared" ref="P8:P11" si="4">T8</f>
        <v>250000</v>
      </c>
      <c r="Q8" s="25">
        <f t="shared" si="1"/>
        <v>58945.309347178671</v>
      </c>
      <c r="R8" s="25">
        <f t="shared" ref="R8:R42" si="5">C8+L8</f>
        <v>900000</v>
      </c>
      <c r="S8" s="29"/>
      <c r="T8" s="25">
        <v>250000</v>
      </c>
      <c r="U8" s="25"/>
      <c r="V8" s="25">
        <v>77823</v>
      </c>
    </row>
    <row r="9" spans="1:22" x14ac:dyDescent="0.35">
      <c r="A9" s="13" t="s">
        <v>64</v>
      </c>
      <c r="B9" s="33" t="str">
        <f>VLOOKUP(A9,[12]LISTADHERENT!$A$5:$K$43,3,0)</f>
        <v xml:space="preserve">DJOMO JEAN PAUL </v>
      </c>
      <c r="C9" s="25">
        <f>VLOOKUP($A9,[13]MVTRESUME25!$A$6:$AL$45,3,0)</f>
        <v>800000</v>
      </c>
      <c r="D9" s="25">
        <f>VLOOKUP($A9,[13]MVTRESUME25!$A$6:$AL$45,4,0)</f>
        <v>6643</v>
      </c>
      <c r="E9" s="25">
        <f>VLOOKUP($A9,[13]MVTRESUME25!$A$6:$AL$45,8,0)</f>
        <v>68010.034901820793</v>
      </c>
      <c r="F9" s="25">
        <f>VLOOKUP($A9,[13]MVTRESUME25!$A$6:$AL$45,12,0)</f>
        <v>228000</v>
      </c>
      <c r="G9" s="25"/>
      <c r="H9" s="25"/>
      <c r="I9" s="25">
        <f t="shared" si="0"/>
        <v>302653.03490182082</v>
      </c>
      <c r="J9" s="25">
        <f>VLOOKUP($A9,[13]MVTRESUME25!$A$6:$AL$45,10,0)</f>
        <v>5000</v>
      </c>
      <c r="K9" s="25">
        <v>30000</v>
      </c>
      <c r="L9" s="25">
        <v>100000</v>
      </c>
      <c r="M9" s="25">
        <f>VLOOKUP($A9,[13]MVTRESUME25!$A$6:$AL$45,23,0)</f>
        <v>0</v>
      </c>
      <c r="N9" s="25">
        <f>J9+K9+L9+M9+101000</f>
        <v>236000</v>
      </c>
      <c r="O9" s="25">
        <f t="shared" si="3"/>
        <v>66653.034901820822</v>
      </c>
      <c r="P9" s="25">
        <f t="shared" si="4"/>
        <v>0</v>
      </c>
      <c r="Q9" s="25">
        <f t="shared" si="1"/>
        <v>66653.034901820822</v>
      </c>
      <c r="R9" s="25">
        <f t="shared" si="5"/>
        <v>900000</v>
      </c>
      <c r="S9" s="29"/>
      <c r="T9" s="25"/>
      <c r="U9" s="25"/>
      <c r="V9" s="25">
        <v>67612</v>
      </c>
    </row>
    <row r="10" spans="1:22" x14ac:dyDescent="0.35">
      <c r="A10" s="13" t="s">
        <v>103</v>
      </c>
      <c r="B10" s="33" t="str">
        <f>VLOOKUP(A10,[12]LISTADHERENT!$A$5:$K$43,3,0)</f>
        <v>DJOMOU TCHAPDA</v>
      </c>
      <c r="C10" s="25">
        <f>VLOOKUP($A10,[13]MVTRESUME25!$A$6:$AL$45,3,0)</f>
        <v>800000</v>
      </c>
      <c r="D10" s="25">
        <f>VLOOKUP($A10,[13]MVTRESUME25!$A$6:$AL$45,4,0)</f>
        <v>7246</v>
      </c>
      <c r="E10" s="25">
        <f>VLOOKUP($A10,[13]MVTRESUME25!$A$6:$AL$45,8,0)</f>
        <v>68278.202945778467</v>
      </c>
      <c r="F10" s="25">
        <f>VLOOKUP($A10,[13]MVTRESUME25!$A$6:$AL$45,12,0)</f>
        <v>235500</v>
      </c>
      <c r="G10" s="25"/>
      <c r="H10" s="25"/>
      <c r="I10" s="25">
        <f t="shared" si="0"/>
        <v>311024.2029457785</v>
      </c>
      <c r="J10" s="25">
        <f>VLOOKUP($A10,[13]MVTRESUME25!$A$6:$AL$45,10,0)</f>
        <v>0</v>
      </c>
      <c r="K10" s="25">
        <v>30000</v>
      </c>
      <c r="L10" s="25">
        <v>100000</v>
      </c>
      <c r="M10" s="25">
        <f>VLOOKUP($A10,[13]MVTRESUME25!$A$6:$AL$45,23,0)</f>
        <v>0</v>
      </c>
      <c r="N10" s="25">
        <f t="shared" si="2"/>
        <v>130000</v>
      </c>
      <c r="O10" s="25">
        <f t="shared" si="3"/>
        <v>181024.2029457785</v>
      </c>
      <c r="P10" s="25">
        <f t="shared" si="4"/>
        <v>70000</v>
      </c>
      <c r="Q10" s="25">
        <f t="shared" si="1"/>
        <v>11024.202945778496</v>
      </c>
      <c r="R10" s="25">
        <f t="shared" si="5"/>
        <v>900000</v>
      </c>
      <c r="S10" s="144">
        <v>100000</v>
      </c>
      <c r="T10" s="25">
        <v>70000</v>
      </c>
      <c r="U10" s="25"/>
      <c r="V10" s="25">
        <v>67876</v>
      </c>
    </row>
    <row r="11" spans="1:22" x14ac:dyDescent="0.35">
      <c r="A11" s="13" t="s">
        <v>65</v>
      </c>
      <c r="B11" s="33" t="str">
        <f>VLOOKUP(A11,[12]LISTADHERENT!$A$5:$K$43,3,0)</f>
        <v>DJOUKWE NANGUEN GUY BLAISE</v>
      </c>
      <c r="C11" s="25">
        <f>VLOOKUP($A11,[13]MVTRESUME25!$A$6:$AL$45,3,0)</f>
        <v>800000</v>
      </c>
      <c r="D11" s="25">
        <f>VLOOKUP($A11,[13]MVTRESUME25!$A$6:$AL$45,4,0)</f>
        <v>6032</v>
      </c>
      <c r="E11" s="25">
        <f>VLOOKUP($A11,[13]MVTRESUME25!$A$6:$AL$45,8,0)</f>
        <v>68968.183232068608</v>
      </c>
      <c r="F11" s="25">
        <f>VLOOKUP($A11,[13]MVTRESUME25!$A$6:$AL$45,12,0)</f>
        <v>478375</v>
      </c>
      <c r="G11" s="25"/>
      <c r="H11" s="25"/>
      <c r="I11" s="25">
        <f t="shared" si="0"/>
        <v>553375.18323206855</v>
      </c>
      <c r="J11" s="25">
        <f>VLOOKUP($A11,[13]MVTRESUME25!$A$6:$AL$45,10,0)</f>
        <v>0</v>
      </c>
      <c r="K11" s="25">
        <v>30000</v>
      </c>
      <c r="L11" s="25">
        <v>100000</v>
      </c>
      <c r="M11" s="25">
        <f>VLOOKUP($A11,[13]MVTRESUME25!$A$6:$AL$45,23,0)</f>
        <v>0</v>
      </c>
      <c r="N11" s="25">
        <f t="shared" si="2"/>
        <v>130000</v>
      </c>
      <c r="O11" s="25">
        <f t="shared" si="3"/>
        <v>423375.18323206855</v>
      </c>
      <c r="P11" s="25">
        <f t="shared" si="4"/>
        <v>400000</v>
      </c>
      <c r="Q11" s="25">
        <f t="shared" si="1"/>
        <v>-17624.81676793145</v>
      </c>
      <c r="R11" s="25">
        <f t="shared" si="5"/>
        <v>900000</v>
      </c>
      <c r="S11" s="144">
        <v>41000</v>
      </c>
      <c r="T11" s="25">
        <v>400000</v>
      </c>
      <c r="U11" s="25"/>
      <c r="V11" s="25">
        <v>68550</v>
      </c>
    </row>
    <row r="12" spans="1:22" x14ac:dyDescent="0.35">
      <c r="A12" s="13" t="s">
        <v>66</v>
      </c>
      <c r="B12" s="33" t="str">
        <f>VLOOKUP(A12,[12]LISTADHERENT!$A$5:$K$43,3,0)</f>
        <v>DJUOMBESSY ANTOINE</v>
      </c>
      <c r="C12" s="25">
        <f>VLOOKUP($A12,[13]MVTRESUME25!$A$6:$AL$45,3,0)</f>
        <v>800000</v>
      </c>
      <c r="D12" s="25">
        <f>VLOOKUP($A12,[13]MVTRESUME25!$A$6:$AL$45,4,0)</f>
        <v>14486</v>
      </c>
      <c r="E12" s="25">
        <f>VLOOKUP($A12,[13]MVTRESUME25!$A$6:$AL$45,8,0)</f>
        <v>85780.246422867262</v>
      </c>
      <c r="F12" s="25">
        <f>VLOOKUP($A12,[13]MVTRESUME25!$A$6:$AL$45,12,0)</f>
        <v>1208500</v>
      </c>
      <c r="G12" s="25"/>
      <c r="H12" s="25"/>
      <c r="I12" s="25">
        <f t="shared" si="0"/>
        <v>1308766.2464228673</v>
      </c>
      <c r="J12" s="25">
        <f>VLOOKUP($A12,[13]MVTRESUME25!$A$6:$AL$45,10,0)</f>
        <v>0</v>
      </c>
      <c r="K12" s="25">
        <v>30000</v>
      </c>
      <c r="L12" s="25">
        <v>100000</v>
      </c>
      <c r="M12" s="25">
        <f>VLOOKUP($A12,[13]MVTRESUME25!$A$6:$AL$45,23,0)</f>
        <v>0</v>
      </c>
      <c r="N12" s="25">
        <f t="shared" si="2"/>
        <v>130000</v>
      </c>
      <c r="O12" s="25">
        <f t="shared" si="3"/>
        <v>1178766.2464228673</v>
      </c>
      <c r="P12" s="25">
        <v>400000</v>
      </c>
      <c r="Q12" s="25">
        <f t="shared" si="1"/>
        <v>678766.24642286729</v>
      </c>
      <c r="R12" s="25">
        <f t="shared" si="5"/>
        <v>900000</v>
      </c>
      <c r="S12" s="144">
        <v>100000</v>
      </c>
      <c r="T12" s="25"/>
      <c r="U12" s="25">
        <v>400000</v>
      </c>
      <c r="V12" s="25">
        <v>85054</v>
      </c>
    </row>
    <row r="13" spans="1:22" x14ac:dyDescent="0.35">
      <c r="A13" s="13" t="s">
        <v>87</v>
      </c>
      <c r="B13" s="33" t="str">
        <f>VLOOKUP(A13,[12]LISTADHERENT!$A$5:$K$43,3,0)</f>
        <v>DOMOU FABIEN</v>
      </c>
      <c r="C13" s="25">
        <f>VLOOKUP($A13,[13]MVTRESUME25!$A$6:$AL$45,3,0)</f>
        <v>800000</v>
      </c>
      <c r="D13" s="25">
        <f>VLOOKUP($A13,[13]MVTRESUME25!$A$6:$AL$45,4,0)</f>
        <v>6365</v>
      </c>
      <c r="E13" s="25">
        <f>VLOOKUP($A13,[13]MVTRESUME25!$A$6:$AL$45,8,0)</f>
        <v>67987.388588394897</v>
      </c>
      <c r="F13" s="25">
        <f>VLOOKUP($A13,[13]MVTRESUME25!$A$6:$AL$45,12,0)</f>
        <v>228000</v>
      </c>
      <c r="G13" s="25"/>
      <c r="H13" s="25"/>
      <c r="I13" s="25">
        <f t="shared" si="0"/>
        <v>302352.38858839491</v>
      </c>
      <c r="J13" s="25">
        <f>VLOOKUP($A13,[13]MVTRESUME25!$A$6:$AL$45,10,0)</f>
        <v>0</v>
      </c>
      <c r="K13" s="25">
        <v>30000</v>
      </c>
      <c r="L13" s="25">
        <v>100000</v>
      </c>
      <c r="M13" s="25">
        <f>VLOOKUP($A13,[13]MVTRESUME25!$A$6:$AL$45,23,0)</f>
        <v>0</v>
      </c>
      <c r="N13" s="25">
        <f t="shared" si="2"/>
        <v>130000</v>
      </c>
      <c r="O13" s="25">
        <f t="shared" si="3"/>
        <v>172352.38858839491</v>
      </c>
      <c r="P13" s="25">
        <f>+T13</f>
        <v>170000</v>
      </c>
      <c r="Q13" s="25">
        <f t="shared" si="1"/>
        <v>2352.3885883949115</v>
      </c>
      <c r="R13" s="25">
        <f t="shared" si="5"/>
        <v>900000</v>
      </c>
      <c r="S13" s="29"/>
      <c r="T13" s="25">
        <v>170000</v>
      </c>
      <c r="U13" s="25"/>
      <c r="V13" s="25">
        <v>67590</v>
      </c>
    </row>
    <row r="14" spans="1:22" x14ac:dyDescent="0.35">
      <c r="A14" s="13" t="s">
        <v>67</v>
      </c>
      <c r="B14" s="33" t="str">
        <f>VLOOKUP(A14,[12]LISTADHERENT!$A$5:$K$43,3,0)</f>
        <v>DONHOU DAVID</v>
      </c>
      <c r="C14" s="25">
        <f>VLOOKUP($A14,[13]MVTRESUME25!$A$6:$AL$45,3,0)</f>
        <v>800000</v>
      </c>
      <c r="D14" s="25">
        <f>VLOOKUP($A14,[13]MVTRESUME25!$A$6:$AL$45,4,0)</f>
        <v>702391</v>
      </c>
      <c r="E14" s="25">
        <f>VLOOKUP($A14,[13]MVTRESUME25!$A$6:$AL$45,8,0)</f>
        <v>124677.1319297915</v>
      </c>
      <c r="F14" s="25">
        <f>VLOOKUP($A14,[13]MVTRESUME25!$A$6:$AL$45,12,0)</f>
        <v>225000</v>
      </c>
      <c r="G14" s="25"/>
      <c r="H14" s="25"/>
      <c r="I14" s="25">
        <f t="shared" si="0"/>
        <v>1052068.1319297915</v>
      </c>
      <c r="J14" s="25">
        <f>VLOOKUP($A14,[13]MVTRESUME25!$A$6:$AL$45,10,0)</f>
        <v>0</v>
      </c>
      <c r="K14" s="25">
        <v>30000</v>
      </c>
      <c r="L14" s="25">
        <v>100000</v>
      </c>
      <c r="M14" s="25">
        <f>VLOOKUP($A14,[13]MVTRESUME25!$A$6:$AL$45,23,0)</f>
        <v>0</v>
      </c>
      <c r="N14" s="25">
        <f t="shared" si="2"/>
        <v>130000</v>
      </c>
      <c r="O14" s="25">
        <f t="shared" si="3"/>
        <v>922068.13192979153</v>
      </c>
      <c r="P14" s="25">
        <f t="shared" ref="P14:P42" si="6">+T14</f>
        <v>0</v>
      </c>
      <c r="Q14" s="25">
        <f t="shared" si="1"/>
        <v>922068.13192979153</v>
      </c>
      <c r="R14" s="25">
        <f t="shared" si="5"/>
        <v>900000</v>
      </c>
      <c r="S14" s="29"/>
      <c r="T14" s="25"/>
      <c r="U14" s="25"/>
      <c r="V14" s="25">
        <v>123976</v>
      </c>
    </row>
    <row r="15" spans="1:22" ht="14.25" customHeight="1" x14ac:dyDescent="0.35">
      <c r="A15" s="13" t="s">
        <v>181</v>
      </c>
      <c r="B15" s="33" t="str">
        <f>VLOOKUP(A15,[12]LISTADHERENT!$A$5:$K$43,3,0)</f>
        <v>FAMPOU PAUL</v>
      </c>
      <c r="C15" s="25">
        <f>VLOOKUP($A15,[13]MVTRESUME25!$A$6:$AL$45,3,0)</f>
        <v>0</v>
      </c>
      <c r="D15" s="25">
        <f>VLOOKUP($A15,[13]MVTRESUME25!$A$6:$AL$45,4,0)</f>
        <v>0</v>
      </c>
      <c r="E15" s="25">
        <f>VLOOKUP($A15,[13]MVTRESUME25!$A$6:$AL$45,8,0)</f>
        <v>5255.3358519438016</v>
      </c>
      <c r="F15" s="25">
        <f>VLOOKUP($A15,[13]MVTRESUME25!$A$6:$AL$45,12,0)</f>
        <v>1027000</v>
      </c>
      <c r="G15" s="25"/>
      <c r="H15" s="25"/>
      <c r="I15" s="25">
        <f t="shared" si="0"/>
        <v>1032255.3358519438</v>
      </c>
      <c r="J15" s="25">
        <f>VLOOKUP($A15,[13]MVTRESUME25!$A$6:$AL$45,10,0)</f>
        <v>0</v>
      </c>
      <c r="K15" s="25">
        <v>30000</v>
      </c>
      <c r="L15" s="25">
        <v>100000</v>
      </c>
      <c r="M15" s="25">
        <f>VLOOKUP($A15,[13]MVTRESUME25!$A$6:$AL$45,23,0)</f>
        <v>0</v>
      </c>
      <c r="N15" s="25">
        <f t="shared" si="2"/>
        <v>130000</v>
      </c>
      <c r="O15" s="25">
        <f t="shared" si="3"/>
        <v>902255.33585194382</v>
      </c>
      <c r="P15" s="25">
        <f t="shared" si="6"/>
        <v>60000</v>
      </c>
      <c r="Q15" s="25">
        <f t="shared" si="1"/>
        <v>842255.33585194382</v>
      </c>
      <c r="R15" s="25">
        <f>C15+L15+800000</f>
        <v>900000</v>
      </c>
      <c r="S15" s="29"/>
      <c r="T15" s="25">
        <v>60000</v>
      </c>
      <c r="U15" s="25"/>
      <c r="V15" s="25">
        <v>3119</v>
      </c>
    </row>
    <row r="16" spans="1:22" x14ac:dyDescent="0.35">
      <c r="A16" s="13" t="s">
        <v>68</v>
      </c>
      <c r="B16" s="33" t="str">
        <f>VLOOKUP(A16,[12]LISTADHERENT!$A$5:$K$43,3,0)</f>
        <v>HENGUE PAUL OMER</v>
      </c>
      <c r="C16" s="25">
        <f>VLOOKUP($A16,[13]MVTRESUME25!$A$6:$AL$45,3,0)</f>
        <v>800000</v>
      </c>
      <c r="D16" s="25">
        <f>VLOOKUP($A16,[13]MVTRESUME25!$A$6:$AL$45,4,0)</f>
        <v>7143</v>
      </c>
      <c r="E16" s="25">
        <f>VLOOKUP($A16,[13]MVTRESUME25!$A$6:$AL$45,8,0)</f>
        <v>68007.586920388829</v>
      </c>
      <c r="F16" s="25">
        <f>VLOOKUP($A16,[13]MVTRESUME25!$A$6:$AL$45,12,0)</f>
        <v>249000</v>
      </c>
      <c r="G16" s="25"/>
      <c r="H16" s="25"/>
      <c r="I16" s="25">
        <f t="shared" si="0"/>
        <v>324150.58692038886</v>
      </c>
      <c r="J16" s="25">
        <f>VLOOKUP($A16,[13]MVTRESUME25!$A$6:$AL$45,10,0)</f>
        <v>0</v>
      </c>
      <c r="K16" s="25">
        <v>30000</v>
      </c>
      <c r="L16" s="25">
        <v>100000</v>
      </c>
      <c r="M16" s="25">
        <f>VLOOKUP($A16,[13]MVTRESUME25!$A$6:$AL$45,23,0)</f>
        <v>0</v>
      </c>
      <c r="N16" s="25">
        <f t="shared" si="2"/>
        <v>130000</v>
      </c>
      <c r="O16" s="25">
        <f t="shared" si="3"/>
        <v>194150.58692038886</v>
      </c>
      <c r="P16" s="25">
        <f t="shared" si="6"/>
        <v>0</v>
      </c>
      <c r="Q16" s="25">
        <f t="shared" si="1"/>
        <v>194150.58692038886</v>
      </c>
      <c r="R16" s="25">
        <f t="shared" si="5"/>
        <v>900000</v>
      </c>
      <c r="S16" s="29"/>
      <c r="T16" s="25"/>
      <c r="U16" s="25"/>
      <c r="V16" s="25">
        <v>67538</v>
      </c>
    </row>
    <row r="17" spans="1:22" s="2" customFormat="1" ht="13.5" customHeight="1" x14ac:dyDescent="0.35">
      <c r="A17" s="13" t="s">
        <v>69</v>
      </c>
      <c r="B17" s="33" t="str">
        <f>VLOOKUP(A17,[12]LISTADHERENT!$A$5:$K$43,3,0)</f>
        <v>HOTCHO BENJAMIN</v>
      </c>
      <c r="C17" s="25">
        <f>VLOOKUP($A17,[13]MVTRESUME25!$A$6:$AL$45,3,0)</f>
        <v>800000</v>
      </c>
      <c r="D17" s="25">
        <f>VLOOKUP($A17,[13]MVTRESUME25!$A$6:$AL$45,4,0)</f>
        <v>6301</v>
      </c>
      <c r="E17" s="25">
        <f>VLOOKUP($A17,[13]MVTRESUME25!$A$6:$AL$45,8,0)</f>
        <v>71729.525733071583</v>
      </c>
      <c r="F17" s="25">
        <f>VLOOKUP($A17,[13]MVTRESUME25!$A$6:$AL$45,12,0)</f>
        <v>512500</v>
      </c>
      <c r="G17" s="25"/>
      <c r="H17" s="25"/>
      <c r="I17" s="25">
        <f t="shared" si="0"/>
        <v>590530.52573307161</v>
      </c>
      <c r="J17" s="25">
        <f>VLOOKUP($A17,[13]MVTRESUME25!$A$6:$AL$45,10,0)</f>
        <v>0</v>
      </c>
      <c r="K17" s="25">
        <v>30000</v>
      </c>
      <c r="L17" s="25">
        <v>100000</v>
      </c>
      <c r="M17" s="25">
        <f>VLOOKUP($A17,[13]MVTRESUME25!$A$6:$AL$45,23,0)</f>
        <v>400000</v>
      </c>
      <c r="N17" s="25">
        <f t="shared" si="2"/>
        <v>530000</v>
      </c>
      <c r="O17" s="25">
        <f t="shared" si="3"/>
        <v>60530.525733071612</v>
      </c>
      <c r="P17" s="25">
        <f t="shared" si="6"/>
        <v>150000</v>
      </c>
      <c r="Q17" s="25">
        <f t="shared" si="1"/>
        <v>-389469.47426692839</v>
      </c>
      <c r="R17" s="25">
        <f t="shared" si="5"/>
        <v>900000</v>
      </c>
      <c r="S17" s="144">
        <v>300000</v>
      </c>
      <c r="T17" s="25">
        <v>150000</v>
      </c>
      <c r="U17" s="25"/>
      <c r="V17" s="25">
        <v>71266</v>
      </c>
    </row>
    <row r="18" spans="1:22" s="2" customFormat="1" x14ac:dyDescent="0.35">
      <c r="A18" s="13" t="s">
        <v>70</v>
      </c>
      <c r="B18" s="33" t="str">
        <f>VLOOKUP(A18,[12]LISTADHERENT!$A$5:$K$43,3,0)</f>
        <v>KOUAMOU MOISE</v>
      </c>
      <c r="C18" s="25">
        <f>VLOOKUP($A18,[13]MVTRESUME25!$A$6:$AL$45,3,0)</f>
        <v>800000</v>
      </c>
      <c r="D18" s="25">
        <f>VLOOKUP($A18,[13]MVTRESUME25!$A$6:$AL$45,4,0)</f>
        <v>6353</v>
      </c>
      <c r="E18" s="25">
        <f>VLOOKUP($A18,[13]MVTRESUME25!$A$6:$AL$45,8,0)</f>
        <v>67985.947726602506</v>
      </c>
      <c r="F18" s="25">
        <f>VLOOKUP($A18,[13]MVTRESUME25!$A$6:$AL$45,12,0)</f>
        <v>225000</v>
      </c>
      <c r="G18" s="25"/>
      <c r="H18" s="25"/>
      <c r="I18" s="25">
        <f t="shared" si="0"/>
        <v>299338.94772660249</v>
      </c>
      <c r="J18" s="25">
        <f>VLOOKUP($A18,[13]MVTRESUME25!$A$6:$AL$45,10,0)</f>
        <v>0</v>
      </c>
      <c r="K18" s="25">
        <v>30000</v>
      </c>
      <c r="L18" s="25">
        <v>100000</v>
      </c>
      <c r="M18" s="25">
        <f>VLOOKUP($A18,[13]MVTRESUME25!$A$6:$AL$45,23,0)</f>
        <v>525000</v>
      </c>
      <c r="N18" s="25">
        <f t="shared" si="2"/>
        <v>655000</v>
      </c>
      <c r="O18" s="25">
        <f>I18-N18+500000</f>
        <v>144338.94772660249</v>
      </c>
      <c r="P18" s="25">
        <f t="shared" si="6"/>
        <v>25000</v>
      </c>
      <c r="Q18" s="25">
        <f t="shared" si="1"/>
        <v>119338.94772660249</v>
      </c>
      <c r="R18" s="25">
        <f t="shared" si="5"/>
        <v>900000</v>
      </c>
      <c r="S18" s="29"/>
      <c r="T18" s="25">
        <v>25000</v>
      </c>
      <c r="U18" s="25"/>
      <c r="V18" s="25">
        <v>67588</v>
      </c>
    </row>
    <row r="19" spans="1:22" x14ac:dyDescent="0.35">
      <c r="A19" s="13" t="s">
        <v>71</v>
      </c>
      <c r="B19" s="33" t="str">
        <f>VLOOKUP(A19,[12]LISTADHERENT!$A$5:$K$43,3,0)</f>
        <v>KOUATCHO MESSACK</v>
      </c>
      <c r="C19" s="25">
        <f>VLOOKUP($A19,[13]MVTRESUME25!$A$6:$AL$45,3,0)</f>
        <v>800000</v>
      </c>
      <c r="D19" s="25">
        <f>VLOOKUP($A19,[13]MVTRESUME25!$A$6:$AL$45,4,0)</f>
        <v>9944</v>
      </c>
      <c r="E19" s="25">
        <f>VLOOKUP($A19,[13]MVTRESUME25!$A$6:$AL$45,8,0)</f>
        <v>69419.781922600014</v>
      </c>
      <c r="F19" s="25">
        <f>VLOOKUP($A19,[13]MVTRESUME25!$A$6:$AL$45,12,0)</f>
        <v>333500</v>
      </c>
      <c r="G19" s="25"/>
      <c r="H19" s="25"/>
      <c r="I19" s="25">
        <f t="shared" si="0"/>
        <v>412863.7819226</v>
      </c>
      <c r="J19" s="25">
        <f>VLOOKUP($A19,[13]MVTRESUME25!$A$6:$AL$45,10,0)</f>
        <v>0</v>
      </c>
      <c r="K19" s="25">
        <v>30000</v>
      </c>
      <c r="L19" s="25">
        <v>100000</v>
      </c>
      <c r="M19" s="25">
        <f>VLOOKUP($A19,[13]MVTRESUME25!$A$6:$AL$45,23,0)</f>
        <v>0</v>
      </c>
      <c r="N19" s="25">
        <f t="shared" si="2"/>
        <v>130000</v>
      </c>
      <c r="O19" s="25">
        <f t="shared" si="3"/>
        <v>282863.7819226</v>
      </c>
      <c r="P19" s="25">
        <f t="shared" si="6"/>
        <v>0</v>
      </c>
      <c r="Q19" s="25">
        <f t="shared" si="1"/>
        <v>282863.7819226</v>
      </c>
      <c r="R19" s="25">
        <f t="shared" si="5"/>
        <v>900000</v>
      </c>
      <c r="S19" s="29"/>
      <c r="T19" s="25"/>
      <c r="U19" s="25"/>
      <c r="V19" s="25">
        <v>68999</v>
      </c>
    </row>
    <row r="20" spans="1:22" x14ac:dyDescent="0.35">
      <c r="A20" s="13" t="s">
        <v>72</v>
      </c>
      <c r="B20" s="33" t="str">
        <f>VLOOKUP(A20,[12]LISTADHERENT!$A$5:$K$43,3,0)</f>
        <v>LOWE JEAN</v>
      </c>
      <c r="C20" s="25">
        <f>VLOOKUP($A20,[13]MVTRESUME25!$A$6:$AL$45,3,0)</f>
        <v>0</v>
      </c>
      <c r="D20" s="25">
        <f>VLOOKUP($A20,[13]MVTRESUME25!$A$6:$AL$45,4,0)</f>
        <v>676217</v>
      </c>
      <c r="E20" s="25">
        <f>VLOOKUP($A20,[13]MVTRESUME25!$A$6:$AL$45,8,0)+7138</f>
        <v>7138</v>
      </c>
      <c r="F20" s="25">
        <f>VLOOKUP($A20,[13]MVTRESUME25!$A$6:$AL$45,12,0)</f>
        <v>500000</v>
      </c>
      <c r="G20" s="25"/>
      <c r="H20" s="25"/>
      <c r="I20" s="25">
        <f t="shared" si="0"/>
        <v>1183355</v>
      </c>
      <c r="J20" s="25">
        <f>VLOOKUP($A20,[13]MVTRESUME25!$A$6:$AL$45,10,0)</f>
        <v>0</v>
      </c>
      <c r="K20" s="25">
        <f>20000+30000</f>
        <v>50000</v>
      </c>
      <c r="L20" s="25">
        <v>100000</v>
      </c>
      <c r="M20" s="25">
        <f>VLOOKUP($A20,[13]MVTRESUME25!$A$6:$AL$45,23,0)</f>
        <v>0</v>
      </c>
      <c r="N20" s="25">
        <f t="shared" si="2"/>
        <v>150000</v>
      </c>
      <c r="O20" s="25">
        <f t="shared" si="3"/>
        <v>1033355</v>
      </c>
      <c r="P20" s="25">
        <f t="shared" si="6"/>
        <v>0</v>
      </c>
      <c r="Q20" s="25">
        <f>O20-P20-S20-800000-70000</f>
        <v>163355</v>
      </c>
      <c r="R20" s="25">
        <f>C20+L20+800000</f>
        <v>900000</v>
      </c>
      <c r="S20" s="29"/>
      <c r="T20" s="25"/>
      <c r="U20" s="25"/>
      <c r="V20" s="25">
        <v>7128</v>
      </c>
    </row>
    <row r="21" spans="1:22" x14ac:dyDescent="0.35">
      <c r="A21" s="13" t="s">
        <v>163</v>
      </c>
      <c r="B21" s="33" t="str">
        <f>VLOOKUP(A21,[12]LISTADHERENT!$A$5:$K$43,3,0)</f>
        <v>MASSEUNGOUE DAGOBERT</v>
      </c>
      <c r="C21" s="25">
        <f>VLOOKUP($A21,[13]MVTRESUME25!$A$6:$AL$45,3,0)</f>
        <v>0</v>
      </c>
      <c r="D21" s="25">
        <f>VLOOKUP($A21,[13]MVTRESUME25!$A$6:$AL$45,4,0)</f>
        <v>198625</v>
      </c>
      <c r="E21" s="25">
        <f>VLOOKUP($A21,[13]MVTRESUME25!$A$6:$AL$45,8,0)</f>
        <v>34069.06612705579</v>
      </c>
      <c r="F21" s="25">
        <f>VLOOKUP($A21,[13]MVTRESUME25!$A$6:$AL$45,12,0)</f>
        <v>1026625</v>
      </c>
      <c r="G21" s="25"/>
      <c r="H21" s="25"/>
      <c r="I21" s="25">
        <f t="shared" si="0"/>
        <v>1259319.0661270558</v>
      </c>
      <c r="J21" s="25">
        <f>VLOOKUP($A21,[13]MVTRESUME25!$A$6:$AL$45,10,0)</f>
        <v>0</v>
      </c>
      <c r="K21" s="25">
        <v>30000</v>
      </c>
      <c r="L21" s="25">
        <v>100000</v>
      </c>
      <c r="M21" s="25">
        <f>VLOOKUP($A21,[13]MVTRESUME25!$A$6:$AL$45,23,0)</f>
        <v>0</v>
      </c>
      <c r="N21" s="25">
        <f t="shared" si="2"/>
        <v>130000</v>
      </c>
      <c r="O21" s="25">
        <f t="shared" si="3"/>
        <v>1129319.0661270558</v>
      </c>
      <c r="P21" s="25">
        <f t="shared" si="6"/>
        <v>50000</v>
      </c>
      <c r="Q21" s="25">
        <f t="shared" si="1"/>
        <v>1029319.0661270558</v>
      </c>
      <c r="R21" s="25">
        <f>C21+L21+800000</f>
        <v>900000</v>
      </c>
      <c r="S21" s="144">
        <v>50000</v>
      </c>
      <c r="T21" s="25">
        <v>50000</v>
      </c>
      <c r="U21" s="25"/>
      <c r="V21" s="25">
        <v>27363</v>
      </c>
    </row>
    <row r="22" spans="1:22" x14ac:dyDescent="0.35">
      <c r="A22" s="13" t="s">
        <v>86</v>
      </c>
      <c r="B22" s="33" t="str">
        <f>VLOOKUP(A22,[12]LISTADHERENT!$A$5:$K$43,3,0)</f>
        <v>MBOGNING TUGMA GUY</v>
      </c>
      <c r="C22" s="25">
        <f>VLOOKUP($A22,[13]MVTRESUME25!$A$6:$AL$45,3,0)</f>
        <v>800000</v>
      </c>
      <c r="D22" s="25">
        <f>VLOOKUP($A22,[13]MVTRESUME25!$A$6:$AL$45,4,0)</f>
        <v>8501</v>
      </c>
      <c r="E22" s="25">
        <f>VLOOKUP($A22,[13]MVTRESUME25!$A$6:$AL$45,8,0)</f>
        <v>68173.077041563185</v>
      </c>
      <c r="F22" s="25">
        <f>VLOOKUP($A22,[13]MVTRESUME25!$A$6:$AL$45,12,0)</f>
        <v>232900</v>
      </c>
      <c r="G22" s="25"/>
      <c r="H22" s="25"/>
      <c r="I22" s="25">
        <f t="shared" si="0"/>
        <v>309574.07704156317</v>
      </c>
      <c r="J22" s="25">
        <f>VLOOKUP($A22,[13]MVTRESUME25!$A$6:$AL$45,10,0)</f>
        <v>0</v>
      </c>
      <c r="K22" s="25">
        <v>30000</v>
      </c>
      <c r="L22" s="25">
        <v>100000</v>
      </c>
      <c r="M22" s="25">
        <f>VLOOKUP($A22,[13]MVTRESUME25!$A$6:$AL$45,23,0)</f>
        <v>0</v>
      </c>
      <c r="N22" s="25">
        <f t="shared" si="2"/>
        <v>130000</v>
      </c>
      <c r="O22" s="25">
        <f t="shared" si="3"/>
        <v>179574.07704156317</v>
      </c>
      <c r="P22" s="25">
        <f t="shared" si="6"/>
        <v>100000</v>
      </c>
      <c r="Q22" s="25">
        <f t="shared" si="1"/>
        <v>29574.07704156317</v>
      </c>
      <c r="R22" s="25">
        <f t="shared" si="5"/>
        <v>900000</v>
      </c>
      <c r="S22" s="144">
        <v>50000</v>
      </c>
      <c r="T22" s="25">
        <v>100000</v>
      </c>
      <c r="U22" s="25"/>
      <c r="V22" s="25">
        <v>67774</v>
      </c>
    </row>
    <row r="23" spans="1:22" x14ac:dyDescent="0.35">
      <c r="A23" s="13" t="s">
        <v>81</v>
      </c>
      <c r="B23" s="33" t="str">
        <f>VLOOKUP(A23,[12]LISTADHERENT!$A$5:$K$43,3,0)</f>
        <v>NANGUEN MARTIN</v>
      </c>
      <c r="C23" s="25">
        <f>VLOOKUP($A23,[13]MVTRESUME25!$A$6:$AL$45,3,0)</f>
        <v>800000</v>
      </c>
      <c r="D23" s="25">
        <f>VLOOKUP($A23,[13]MVTRESUME25!$A$6:$AL$45,4,0)</f>
        <v>7819</v>
      </c>
      <c r="E23" s="25">
        <f>VLOOKUP($A23,[13]MVTRESUME25!$A$6:$AL$45,8,0)</f>
        <v>68105.833695305773</v>
      </c>
      <c r="F23" s="25">
        <f>VLOOKUP($A23,[13]MVTRESUME25!$A$6:$AL$45,12,0)</f>
        <v>228000</v>
      </c>
      <c r="G23" s="25"/>
      <c r="H23" s="25"/>
      <c r="I23" s="25">
        <f t="shared" si="0"/>
        <v>303924.83369530574</v>
      </c>
      <c r="J23" s="25">
        <f>VLOOKUP($A23,[13]MVTRESUME25!$A$6:$AL$45,10,0)</f>
        <v>0</v>
      </c>
      <c r="K23" s="25">
        <v>30000</v>
      </c>
      <c r="L23" s="25">
        <v>100000</v>
      </c>
      <c r="M23" s="25">
        <f>VLOOKUP($A23,[13]MVTRESUME25!$A$6:$AL$45,23,0)</f>
        <v>0</v>
      </c>
      <c r="N23" s="25">
        <f t="shared" si="2"/>
        <v>130000</v>
      </c>
      <c r="O23" s="25">
        <f t="shared" si="3"/>
        <v>173924.83369530574</v>
      </c>
      <c r="P23" s="25">
        <f t="shared" si="6"/>
        <v>100000</v>
      </c>
      <c r="Q23" s="25">
        <f t="shared" si="1"/>
        <v>73924.833695305744</v>
      </c>
      <c r="R23" s="25">
        <f t="shared" si="5"/>
        <v>900000</v>
      </c>
      <c r="S23" s="29"/>
      <c r="T23" s="25">
        <v>100000</v>
      </c>
      <c r="U23" s="25"/>
      <c r="V23" s="25">
        <v>67707</v>
      </c>
    </row>
    <row r="24" spans="1:22" x14ac:dyDescent="0.35">
      <c r="A24" s="13" t="s">
        <v>73</v>
      </c>
      <c r="B24" s="33" t="str">
        <f>VLOOKUP(A24,[12]LISTADHERENT!$A$5:$K$43,3,0)</f>
        <v>NANKAM APPOLINAIRE</v>
      </c>
      <c r="C24" s="25">
        <f>VLOOKUP($A24,[13]MVTRESUME25!$A$6:$AL$45,3,0)</f>
        <v>800000</v>
      </c>
      <c r="D24" s="25">
        <f>VLOOKUP($A24,[13]MVTRESUME25!$A$6:$AL$45,4,0)</f>
        <v>249258</v>
      </c>
      <c r="E24" s="25">
        <f>VLOOKUP($A24,[13]MVTRESUME25!$A$6:$AL$45,8,0)</f>
        <v>80837.303523370079</v>
      </c>
      <c r="F24" s="25">
        <f>VLOOKUP($A24,[13]MVTRESUME25!$A$6:$AL$45,12,0)</f>
        <v>686500</v>
      </c>
      <c r="G24" s="25"/>
      <c r="H24" s="25"/>
      <c r="I24" s="25">
        <f t="shared" si="0"/>
        <v>1016595.3035233701</v>
      </c>
      <c r="J24" s="25">
        <f>VLOOKUP($A24,[13]MVTRESUME25!$A$6:$AL$45,10,0)</f>
        <v>0</v>
      </c>
      <c r="K24" s="25">
        <v>30000</v>
      </c>
      <c r="L24" s="25">
        <v>100000</v>
      </c>
      <c r="M24" s="25">
        <f>VLOOKUP($A24,[13]MVTRESUME25!$A$6:$AL$45,23,0)</f>
        <v>0</v>
      </c>
      <c r="N24" s="25">
        <f>J24+K24+L24+M24+900000</f>
        <v>1030000</v>
      </c>
      <c r="O24" s="25">
        <f t="shared" si="3"/>
        <v>-13404.696476629935</v>
      </c>
      <c r="P24" s="25">
        <f t="shared" si="6"/>
        <v>0</v>
      </c>
      <c r="Q24" s="25">
        <f t="shared" si="1"/>
        <v>-13404.696476629935</v>
      </c>
      <c r="R24" s="25">
        <f t="shared" si="5"/>
        <v>900000</v>
      </c>
      <c r="S24" s="29"/>
      <c r="T24" s="25"/>
      <c r="U24" s="25"/>
      <c r="V24" s="25">
        <v>94250</v>
      </c>
    </row>
    <row r="25" spans="1:22" x14ac:dyDescent="0.35">
      <c r="A25" s="13" t="s">
        <v>74</v>
      </c>
      <c r="B25" s="33" t="str">
        <f>VLOOKUP(A25,[12]LISTADHERENT!$A$5:$K$43,3,0)</f>
        <v>NDJOMO ETIENNE</v>
      </c>
      <c r="C25" s="25">
        <f>VLOOKUP($A25,[13]MVTRESUME25!$A$6:$AL$45,3,0)</f>
        <v>800000</v>
      </c>
      <c r="D25" s="25">
        <f>VLOOKUP($A25,[13]MVTRESUME25!$A$6:$AL$45,4,0)</f>
        <v>256158</v>
      </c>
      <c r="E25" s="25">
        <f>VLOOKUP($A25,[13]MVTRESUME25!$A$6:$AL$45,8,0)</f>
        <v>89546.251867716855</v>
      </c>
      <c r="F25" s="25">
        <f>VLOOKUP($A25,[13]MVTRESUME25!$A$6:$AL$45,12,0)</f>
        <v>348000</v>
      </c>
      <c r="G25" s="25"/>
      <c r="H25" s="25"/>
      <c r="I25" s="25">
        <f t="shared" si="0"/>
        <v>693704.2518677169</v>
      </c>
      <c r="J25" s="25">
        <f>VLOOKUP($A25,[13]MVTRESUME25!$A$6:$AL$45,10,0)</f>
        <v>0</v>
      </c>
      <c r="K25" s="25">
        <v>30000</v>
      </c>
      <c r="L25" s="25">
        <v>100000</v>
      </c>
      <c r="M25" s="25">
        <f>VLOOKUP($A25,[13]MVTRESUME25!$A$6:$AL$45,23,0)</f>
        <v>0</v>
      </c>
      <c r="N25" s="25">
        <f t="shared" si="2"/>
        <v>130000</v>
      </c>
      <c r="O25" s="25">
        <f t="shared" si="3"/>
        <v>563704.2518677169</v>
      </c>
      <c r="P25" s="25">
        <f t="shared" si="6"/>
        <v>300000</v>
      </c>
      <c r="Q25" s="25">
        <f t="shared" si="1"/>
        <v>163704.2518677169</v>
      </c>
      <c r="R25" s="25">
        <f t="shared" si="5"/>
        <v>900000</v>
      </c>
      <c r="S25" s="144">
        <v>100000</v>
      </c>
      <c r="T25" s="25">
        <v>300000</v>
      </c>
      <c r="U25" s="25"/>
      <c r="V25" s="25">
        <v>89015</v>
      </c>
    </row>
    <row r="26" spans="1:22" x14ac:dyDescent="0.35">
      <c r="A26" s="13" t="s">
        <v>75</v>
      </c>
      <c r="B26" s="33" t="str">
        <f>VLOOKUP(A26,[12]LISTADHERENT!$A$5:$K$43,3,0)</f>
        <v>NGONDIEP CLAUDE</v>
      </c>
      <c r="C26" s="25">
        <f>VLOOKUP($A26,[13]MVTRESUME25!$A$6:$AL$45,3,0)</f>
        <v>800000</v>
      </c>
      <c r="D26" s="25">
        <f>VLOOKUP($A26,[13]MVTRESUME25!$A$6:$AL$45,4,0)</f>
        <v>353356</v>
      </c>
      <c r="E26" s="25">
        <f>VLOOKUP($A26,[13]MVTRESUME25!$A$6:$AL$45,8,0)</f>
        <v>98057.703130658949</v>
      </c>
      <c r="F26" s="25">
        <f>VLOOKUP($A26,[13]MVTRESUME25!$A$6:$AL$45,12,0)</f>
        <v>407000</v>
      </c>
      <c r="G26" s="25"/>
      <c r="H26" s="25"/>
      <c r="I26" s="25">
        <f t="shared" si="0"/>
        <v>858413.70313065895</v>
      </c>
      <c r="J26" s="25">
        <f>VLOOKUP($A26,[13]MVTRESUME25!$A$6:$AL$45,10,0)</f>
        <v>0</v>
      </c>
      <c r="K26" s="25">
        <v>30000</v>
      </c>
      <c r="L26" s="25">
        <v>100000</v>
      </c>
      <c r="M26" s="25">
        <f>VLOOKUP($A26,[13]MVTRESUME25!$A$6:$AL$45,23,0)</f>
        <v>1000000</v>
      </c>
      <c r="N26" s="25">
        <f t="shared" si="2"/>
        <v>1130000</v>
      </c>
      <c r="O26" s="25">
        <f t="shared" si="3"/>
        <v>-271586.29686934105</v>
      </c>
      <c r="P26" s="25">
        <f t="shared" si="6"/>
        <v>25000</v>
      </c>
      <c r="Q26" s="25">
        <f t="shared" si="1"/>
        <v>-396586.29686934105</v>
      </c>
      <c r="R26" s="25">
        <f t="shared" si="5"/>
        <v>900000</v>
      </c>
      <c r="S26" s="144">
        <v>100000</v>
      </c>
      <c r="T26" s="25">
        <v>25000</v>
      </c>
      <c r="U26" s="25"/>
      <c r="V26" s="25">
        <v>97473</v>
      </c>
    </row>
    <row r="27" spans="1:22" s="2" customFormat="1" x14ac:dyDescent="0.35">
      <c r="A27" s="13" t="s">
        <v>77</v>
      </c>
      <c r="B27" s="33" t="str">
        <f>VLOOKUP(A27,[12]LISTADHERENT!$A$5:$K$43,3,0)</f>
        <v>NGUIEMEGNI MATHIEU BLAISE</v>
      </c>
      <c r="C27" s="25">
        <f>VLOOKUP($A27,[13]MVTRESUME25!$A$6:$AL$45,3,0)</f>
        <v>800000</v>
      </c>
      <c r="D27" s="25">
        <f>VLOOKUP($A27,[13]MVTRESUME25!$A$6:$AL$45,4,0)</f>
        <v>9175</v>
      </c>
      <c r="E27" s="25">
        <f>VLOOKUP($A27,[13]MVTRESUME25!$A$6:$AL$45,8,0)</f>
        <v>68010.818954558388</v>
      </c>
      <c r="F27" s="25">
        <f>VLOOKUP($A27,[13]MVTRESUME25!$A$6:$AL$45,12,0)</f>
        <v>215000</v>
      </c>
      <c r="G27" s="25"/>
      <c r="H27" s="25"/>
      <c r="I27" s="25">
        <f t="shared" si="0"/>
        <v>292185.8189545584</v>
      </c>
      <c r="J27" s="25">
        <f>VLOOKUP($A27,[13]MVTRESUME25!$A$6:$AL$45,10,0)</f>
        <v>0</v>
      </c>
      <c r="K27" s="25">
        <v>30000</v>
      </c>
      <c r="L27" s="25">
        <v>100000</v>
      </c>
      <c r="M27" s="25">
        <f>VLOOKUP($A27,[13]MVTRESUME25!$A$6:$AL$45,23,0)</f>
        <v>1050000</v>
      </c>
      <c r="N27" s="25">
        <f t="shared" si="2"/>
        <v>1180000</v>
      </c>
      <c r="O27" s="25">
        <f>I27-N27+1000000</f>
        <v>112185.81895455834</v>
      </c>
      <c r="P27" s="25">
        <f t="shared" si="6"/>
        <v>90000</v>
      </c>
      <c r="Q27" s="25">
        <f t="shared" si="1"/>
        <v>-27814.181045441655</v>
      </c>
      <c r="R27" s="25">
        <f t="shared" si="5"/>
        <v>900000</v>
      </c>
      <c r="S27" s="144">
        <v>50000</v>
      </c>
      <c r="T27" s="25">
        <v>90000</v>
      </c>
      <c r="U27" s="25"/>
      <c r="V27" s="25">
        <v>67616</v>
      </c>
    </row>
    <row r="28" spans="1:22" x14ac:dyDescent="0.35">
      <c r="A28" s="13" t="s">
        <v>78</v>
      </c>
      <c r="B28" s="33" t="str">
        <f>VLOOKUP(A28,[12]LISTADHERENT!$A$5:$K$43,3,0)</f>
        <v>NKAMGANG JUSTIN DEJOLIE</v>
      </c>
      <c r="C28" s="25">
        <f>VLOOKUP($A28,[13]MVTRESUME25!$A$6:$AL$45,3,0)</f>
        <v>800000</v>
      </c>
      <c r="D28" s="25">
        <f>VLOOKUP($A28,[13]MVTRESUME25!$A$6:$AL$45,4,0)</f>
        <v>10531</v>
      </c>
      <c r="E28" s="25">
        <f>VLOOKUP($A28,[13]MVTRESUME25!$A$6:$AL$45,8,0)</f>
        <v>68521.197389150781</v>
      </c>
      <c r="F28" s="25">
        <f>VLOOKUP($A28,[13]MVTRESUME25!$A$6:$AL$45,12,0)</f>
        <v>235000</v>
      </c>
      <c r="G28" s="25"/>
      <c r="H28" s="25"/>
      <c r="I28" s="25">
        <f t="shared" si="0"/>
        <v>314052.1973891508</v>
      </c>
      <c r="J28" s="25">
        <f>VLOOKUP($A28,[13]MVTRESUME25!$A$6:$AL$45,10,0)</f>
        <v>0</v>
      </c>
      <c r="K28" s="25">
        <v>30000</v>
      </c>
      <c r="L28" s="25">
        <v>100000</v>
      </c>
      <c r="M28" s="25">
        <f>VLOOKUP($A28,[13]MVTRESUME25!$A$6:$AL$45,23,0)</f>
        <v>0</v>
      </c>
      <c r="N28" s="25">
        <f t="shared" si="2"/>
        <v>130000</v>
      </c>
      <c r="O28" s="25">
        <f t="shared" si="3"/>
        <v>184052.1973891508</v>
      </c>
      <c r="P28" s="25">
        <f t="shared" si="6"/>
        <v>130000</v>
      </c>
      <c r="Q28" s="25">
        <f t="shared" si="1"/>
        <v>4052.1973891507951</v>
      </c>
      <c r="R28" s="25">
        <f t="shared" si="5"/>
        <v>900000</v>
      </c>
      <c r="S28" s="144">
        <v>50000</v>
      </c>
      <c r="T28" s="25">
        <v>130000</v>
      </c>
      <c r="U28" s="25"/>
      <c r="V28" s="25">
        <v>68118</v>
      </c>
    </row>
    <row r="29" spans="1:22" x14ac:dyDescent="0.35">
      <c r="A29" s="13" t="s">
        <v>104</v>
      </c>
      <c r="B29" s="33" t="str">
        <f>VLOOKUP(A29,[12]LISTADHERENT!$A$5:$K$43,3,0)</f>
        <v>NOUBE ETIENNE</v>
      </c>
      <c r="C29" s="25">
        <f>VLOOKUP($A29,[13]MVTRESUME25!$A$6:$AL$45,3,0)</f>
        <v>800000</v>
      </c>
      <c r="D29" s="25">
        <f>VLOOKUP($A29,[13]MVTRESUME25!$A$6:$AL$45,4,0)</f>
        <v>-17159</v>
      </c>
      <c r="E29" s="25">
        <f>VLOOKUP($A29,[13]MVTRESUME25!$A$6:$AL$45,8,0)</f>
        <v>66071.086872458516</v>
      </c>
      <c r="F29" s="25">
        <f>VLOOKUP($A29,[13]MVTRESUME25!$A$6:$AL$45,12,0)</f>
        <v>228000</v>
      </c>
      <c r="G29" s="25"/>
      <c r="H29" s="25"/>
      <c r="I29" s="25">
        <f t="shared" si="0"/>
        <v>276912.08687245852</v>
      </c>
      <c r="J29" s="25">
        <f>VLOOKUP($A29,[13]MVTRESUME25!$A$6:$AL$45,10,0)</f>
        <v>0</v>
      </c>
      <c r="K29" s="25">
        <v>30000</v>
      </c>
      <c r="L29" s="25">
        <v>100000</v>
      </c>
      <c r="M29" s="25">
        <f>VLOOKUP($A29,[13]MVTRESUME25!$A$6:$AL$45,23,0)</f>
        <v>0</v>
      </c>
      <c r="N29" s="25">
        <f t="shared" si="2"/>
        <v>130000</v>
      </c>
      <c r="O29" s="25">
        <f t="shared" si="3"/>
        <v>146912.08687245852</v>
      </c>
      <c r="P29" s="25">
        <f t="shared" si="6"/>
        <v>70000</v>
      </c>
      <c r="Q29" s="25">
        <f t="shared" si="1"/>
        <v>51912.086872458516</v>
      </c>
      <c r="R29" s="25">
        <f t="shared" si="5"/>
        <v>900000</v>
      </c>
      <c r="S29" s="144">
        <v>25000</v>
      </c>
      <c r="T29" s="25">
        <v>70000</v>
      </c>
      <c r="U29" s="25"/>
      <c r="V29" s="25">
        <v>65684</v>
      </c>
    </row>
    <row r="30" spans="1:22" s="2" customFormat="1" x14ac:dyDescent="0.35">
      <c r="A30" s="13" t="s">
        <v>79</v>
      </c>
      <c r="B30" s="33" t="str">
        <f>VLOOKUP(A30,[12]LISTADHERENT!$A$5:$K$43,3,0)</f>
        <v>PATEGO NJOSSU GUSTAVE</v>
      </c>
      <c r="C30" s="25">
        <f>VLOOKUP($A30,[13]MVTRESUME25!$A$6:$AL$45,3,0)</f>
        <v>800000</v>
      </c>
      <c r="D30" s="25">
        <f>VLOOKUP($A30,[13]MVTRESUME25!$A$6:$AL$45,4,0)</f>
        <v>133342</v>
      </c>
      <c r="E30" s="25">
        <f>VLOOKUP($A30,[13]MVTRESUME25!$A$6:$AL$45,8,0)</f>
        <v>78331.132976443492</v>
      </c>
      <c r="F30" s="25">
        <f>VLOOKUP($A30,[13]MVTRESUME25!$A$6:$AL$45,12,0)</f>
        <v>228000</v>
      </c>
      <c r="G30" s="25"/>
      <c r="H30" s="25"/>
      <c r="I30" s="25">
        <f t="shared" si="0"/>
        <v>439673.13297644351</v>
      </c>
      <c r="J30" s="25">
        <f>VLOOKUP($A30,[13]MVTRESUME25!$A$6:$AL$45,10,0)</f>
        <v>0</v>
      </c>
      <c r="K30" s="25">
        <v>30000</v>
      </c>
      <c r="L30" s="25">
        <v>100000</v>
      </c>
      <c r="M30" s="25">
        <f>VLOOKUP($A30,[13]MVTRESUME25!$A$6:$AL$45,23,0)</f>
        <v>0</v>
      </c>
      <c r="N30" s="25">
        <f t="shared" si="2"/>
        <v>130000</v>
      </c>
      <c r="O30" s="25">
        <f t="shared" si="3"/>
        <v>309673.13297644351</v>
      </c>
      <c r="P30" s="25">
        <f t="shared" si="6"/>
        <v>0</v>
      </c>
      <c r="Q30" s="25">
        <f t="shared" si="1"/>
        <v>9673.1329764435068</v>
      </c>
      <c r="R30" s="25">
        <f t="shared" si="5"/>
        <v>900000</v>
      </c>
      <c r="S30" s="144">
        <v>300000</v>
      </c>
      <c r="T30" s="25"/>
      <c r="U30" s="25"/>
      <c r="V30" s="25">
        <v>77878</v>
      </c>
    </row>
    <row r="31" spans="1:22" x14ac:dyDescent="0.35">
      <c r="A31" s="13" t="s">
        <v>127</v>
      </c>
      <c r="B31" s="33" t="str">
        <f>VLOOKUP(A31,[12]LISTADHERENT!$A$5:$K$43,3,0)</f>
        <v>SEUMO POLYCARPE</v>
      </c>
      <c r="C31" s="25">
        <f>VLOOKUP($A31,[13]MVTRESUME25!$A$6:$AL$45,3,0)</f>
        <v>800000</v>
      </c>
      <c r="D31" s="25">
        <f>VLOOKUP($A31,[13]MVTRESUME25!$A$6:$AL$45,4,0)</f>
        <v>-9977</v>
      </c>
      <c r="E31" s="25">
        <f>VLOOKUP($A31,[13]MVTRESUME25!$A$6:$AL$45,8,0)</f>
        <v>66656.14378981333</v>
      </c>
      <c r="F31" s="25">
        <f>VLOOKUP($A31,[13]MVTRESUME25!$A$6:$AL$45,12,0)</f>
        <v>229000</v>
      </c>
      <c r="G31" s="25"/>
      <c r="H31" s="25"/>
      <c r="I31" s="25">
        <f t="shared" si="0"/>
        <v>285679.14378981333</v>
      </c>
      <c r="J31" s="25">
        <f>VLOOKUP($A31,[13]MVTRESUME25!$A$6:$AL$45,10,0)</f>
        <v>0</v>
      </c>
      <c r="K31" s="25">
        <v>30000</v>
      </c>
      <c r="L31" s="25">
        <v>100000</v>
      </c>
      <c r="M31" s="25">
        <f>VLOOKUP($A31,[13]MVTRESUME25!$A$6:$AL$45,23,0)</f>
        <v>955000</v>
      </c>
      <c r="N31" s="25">
        <f t="shared" si="2"/>
        <v>1085000</v>
      </c>
      <c r="O31" s="25">
        <f>I31-N31+900000</f>
        <v>100679.14378981339</v>
      </c>
      <c r="P31" s="25">
        <f t="shared" si="6"/>
        <v>30000</v>
      </c>
      <c r="Q31" s="25">
        <f t="shared" si="1"/>
        <v>45679.143789813388</v>
      </c>
      <c r="R31" s="25">
        <f t="shared" si="5"/>
        <v>900000</v>
      </c>
      <c r="S31" s="144">
        <v>25000</v>
      </c>
      <c r="T31" s="25">
        <v>30000</v>
      </c>
      <c r="U31" s="25"/>
      <c r="V31" s="25">
        <v>66266</v>
      </c>
    </row>
    <row r="32" spans="1:22" x14ac:dyDescent="0.35">
      <c r="A32" s="13" t="s">
        <v>89</v>
      </c>
      <c r="B32" s="33" t="str">
        <f>VLOOKUP(A32,[12]LISTADHERENT!$A$5:$K$43,3,0)</f>
        <v>SIME BRICE</v>
      </c>
      <c r="C32" s="25">
        <f>VLOOKUP($A32,[13]MVTRESUME25!$A$6:$AL$45,3,0)</f>
        <v>800000</v>
      </c>
      <c r="D32" s="25">
        <f>VLOOKUP($A32,[13]MVTRESUME25!$A$6:$AL$45,4,0)</f>
        <v>79106</v>
      </c>
      <c r="E32" s="25">
        <f>VLOOKUP($A32,[13]MVTRESUME25!$A$6:$AL$45,8,0)</f>
        <v>73912.983857861342</v>
      </c>
      <c r="F32" s="25">
        <f>VLOOKUP($A32,[13]MVTRESUME25!$A$6:$AL$45,12,0)</f>
        <v>228000</v>
      </c>
      <c r="G32" s="25"/>
      <c r="H32" s="25"/>
      <c r="I32" s="25">
        <f t="shared" si="0"/>
        <v>381018.98385786137</v>
      </c>
      <c r="J32" s="25">
        <f>VLOOKUP($A32,[13]MVTRESUME25!$A$6:$AL$45,10,0)</f>
        <v>0</v>
      </c>
      <c r="K32" s="25">
        <v>30000</v>
      </c>
      <c r="L32" s="25">
        <v>100000</v>
      </c>
      <c r="M32" s="25">
        <f>VLOOKUP($A32,[13]MVTRESUME25!$A$6:$AL$45,23,0)</f>
        <v>0</v>
      </c>
      <c r="N32" s="25">
        <f t="shared" si="2"/>
        <v>130000</v>
      </c>
      <c r="O32" s="25">
        <f t="shared" si="3"/>
        <v>251018.98385786137</v>
      </c>
      <c r="P32" s="25">
        <f t="shared" si="6"/>
        <v>0</v>
      </c>
      <c r="Q32" s="25">
        <f t="shared" si="1"/>
        <v>251018.98385786137</v>
      </c>
      <c r="R32" s="25">
        <f t="shared" si="5"/>
        <v>900000</v>
      </c>
      <c r="S32" s="29"/>
      <c r="T32" s="25"/>
      <c r="U32" s="25"/>
      <c r="V32" s="25">
        <v>73483</v>
      </c>
    </row>
    <row r="33" spans="1:22" x14ac:dyDescent="0.35">
      <c r="A33" s="13" t="s">
        <v>182</v>
      </c>
      <c r="B33" s="33" t="str">
        <f>VLOOKUP(A33,[12]LISTADHERENT!$A$5:$K$43,3,0)</f>
        <v>SIMO FONGANG ERIC</v>
      </c>
      <c r="C33" s="25">
        <f>VLOOKUP($A33,[13]MVTRESUME25!$A$6:$AL$45,3,0)</f>
        <v>0</v>
      </c>
      <c r="D33" s="25">
        <f>VLOOKUP($A33,[13]MVTRESUME25!$A$6:$AL$45,4,0)</f>
        <v>153468</v>
      </c>
      <c r="E33" s="25">
        <f>VLOOKUP($A33,[13]MVTRESUME25!$A$6:$AL$45,8,0)</f>
        <v>0</v>
      </c>
      <c r="F33" s="25">
        <f>VLOOKUP($A33,[13]MVTRESUME25!$A$6:$AL$45,12,0)</f>
        <v>520500</v>
      </c>
      <c r="G33" s="25"/>
      <c r="H33" s="25"/>
      <c r="I33" s="25">
        <f t="shared" si="0"/>
        <v>673968</v>
      </c>
      <c r="J33" s="25">
        <f>VLOOKUP($A33,[13]MVTRESUME25!$A$6:$AL$45,10,0)</f>
        <v>0</v>
      </c>
      <c r="K33" s="25"/>
      <c r="L33" s="25"/>
      <c r="M33" s="25">
        <f>VLOOKUP($A33,[13]MVTRESUME25!$A$6:$AL$45,23,0)</f>
        <v>0</v>
      </c>
      <c r="N33" s="25">
        <f t="shared" si="2"/>
        <v>0</v>
      </c>
      <c r="O33" s="25">
        <f t="shared" si="3"/>
        <v>673968</v>
      </c>
      <c r="P33" s="25">
        <f t="shared" si="6"/>
        <v>0</v>
      </c>
      <c r="Q33" s="25">
        <f t="shared" si="1"/>
        <v>673968</v>
      </c>
      <c r="R33" s="25">
        <f t="shared" si="5"/>
        <v>0</v>
      </c>
      <c r="S33" s="29"/>
      <c r="T33" s="25"/>
      <c r="U33" s="25"/>
      <c r="V33" s="25">
        <v>0</v>
      </c>
    </row>
    <row r="34" spans="1:22" x14ac:dyDescent="0.35">
      <c r="A34" s="13" t="s">
        <v>80</v>
      </c>
      <c r="B34" s="33" t="str">
        <f>VLOOKUP(A34,[12]LISTADHERENT!$A$5:$K$43,3,0)</f>
        <v>SIMO PIERRE</v>
      </c>
      <c r="C34" s="25">
        <f>VLOOKUP($A34,[13]MVTRESUME25!$A$6:$AL$45,3,0)</f>
        <v>800000</v>
      </c>
      <c r="D34" s="25">
        <f>VLOOKUP($A34,[13]MVTRESUME25!$A$6:$AL$45,4,0)</f>
        <v>46691</v>
      </c>
      <c r="E34" s="25">
        <f>VLOOKUP($A34,[13]MVTRESUME25!$A$6:$AL$45,8,0)</f>
        <v>71169.78950010569</v>
      </c>
      <c r="F34" s="25">
        <f>VLOOKUP($A34,[13]MVTRESUME25!$A$6:$AL$45,12,0)</f>
        <v>215000</v>
      </c>
      <c r="G34" s="25"/>
      <c r="H34" s="25"/>
      <c r="I34" s="25">
        <f t="shared" si="0"/>
        <v>332860.78950010566</v>
      </c>
      <c r="J34" s="25">
        <f>VLOOKUP($A34,[13]MVTRESUME25!$A$6:$AL$45,10,0)</f>
        <v>0</v>
      </c>
      <c r="K34" s="25"/>
      <c r="L34" s="25"/>
      <c r="M34" s="25">
        <v>0</v>
      </c>
      <c r="N34" s="25">
        <f t="shared" si="2"/>
        <v>0</v>
      </c>
      <c r="O34" s="25">
        <f t="shared" si="3"/>
        <v>332860.78950010566</v>
      </c>
      <c r="P34" s="25">
        <f t="shared" si="6"/>
        <v>0</v>
      </c>
      <c r="Q34" s="25">
        <f t="shared" si="1"/>
        <v>332860.78950010566</v>
      </c>
      <c r="R34" s="25">
        <f t="shared" si="5"/>
        <v>800000</v>
      </c>
      <c r="S34" s="29"/>
      <c r="T34" s="25"/>
      <c r="U34" s="25"/>
      <c r="V34" s="25">
        <v>70753</v>
      </c>
    </row>
    <row r="35" spans="1:22" x14ac:dyDescent="0.35">
      <c r="A35" s="13" t="s">
        <v>82</v>
      </c>
      <c r="B35" s="33" t="str">
        <f>VLOOKUP(A35,[12]LISTADHERENT!$A$5:$K$43,3,0)</f>
        <v>TCHOUAMOU MATHIEU</v>
      </c>
      <c r="C35" s="25">
        <f>VLOOKUP($A35,[13]MVTRESUME25!$A$6:$AL$45,3,0)</f>
        <v>800000</v>
      </c>
      <c r="D35" s="25">
        <f>VLOOKUP($A35,[13]MVTRESUME25!$A$6:$AL$45,4,0)</f>
        <v>6050</v>
      </c>
      <c r="E35" s="25">
        <f>VLOOKUP($A35,[13]MVTRESUME25!$A$6:$AL$45,8,0)</f>
        <v>67961.72819728285</v>
      </c>
      <c r="F35" s="25">
        <f>VLOOKUP($A35,[13]MVTRESUME25!$A$6:$AL$45,12,0)</f>
        <v>228000</v>
      </c>
      <c r="G35" s="25"/>
      <c r="H35" s="25"/>
      <c r="I35" s="25">
        <f t="shared" si="0"/>
        <v>302011.72819728288</v>
      </c>
      <c r="J35" s="25">
        <f>VLOOKUP($A35,[13]MVTRESUME25!$A$6:$AL$45,10,0)</f>
        <v>0</v>
      </c>
      <c r="K35" s="25">
        <v>30000</v>
      </c>
      <c r="L35" s="25">
        <v>100000</v>
      </c>
      <c r="M35" s="25">
        <v>0</v>
      </c>
      <c r="N35" s="25">
        <f t="shared" si="2"/>
        <v>130000</v>
      </c>
      <c r="O35" s="25">
        <f t="shared" si="3"/>
        <v>172011.72819728288</v>
      </c>
      <c r="P35" s="25">
        <f t="shared" si="6"/>
        <v>140000</v>
      </c>
      <c r="Q35" s="25">
        <f t="shared" si="1"/>
        <v>7011.7281972828787</v>
      </c>
      <c r="R35" s="25">
        <f t="shared" si="5"/>
        <v>900000</v>
      </c>
      <c r="S35" s="144">
        <v>25000</v>
      </c>
      <c r="T35" s="25">
        <v>140000</v>
      </c>
      <c r="U35" s="25"/>
      <c r="V35" s="25">
        <v>67564</v>
      </c>
    </row>
    <row r="36" spans="1:22" x14ac:dyDescent="0.35">
      <c r="A36" s="13" t="s">
        <v>164</v>
      </c>
      <c r="B36" s="33" t="str">
        <f>VLOOKUP(A36,[12]LISTADHERENT!$A$5:$K$43,3,0)</f>
        <v>TCHOUATEU AUGUSTIN</v>
      </c>
      <c r="C36" s="25">
        <f>VLOOKUP($A36,[13]MVTRESUME25!$A$6:$AL$45,3,0)</f>
        <v>800000</v>
      </c>
      <c r="D36" s="25">
        <f>VLOOKUP($A36,[13]MVTRESUME25!$A$6:$AL$45,4,0)</f>
        <v>-3392</v>
      </c>
      <c r="E36" s="25">
        <f>VLOOKUP($A36,[13]MVTRESUME25!$A$6:$AL$45,8,0)</f>
        <v>67192.568156393914</v>
      </c>
      <c r="F36" s="25">
        <f>VLOOKUP($A36,[13]MVTRESUME25!$A$6:$AL$45,12,0)</f>
        <v>228000</v>
      </c>
      <c r="G36" s="25"/>
      <c r="H36" s="25"/>
      <c r="I36" s="25">
        <f t="shared" si="0"/>
        <v>291800.56815639394</v>
      </c>
      <c r="J36" s="25">
        <f>VLOOKUP($A36,[13]MVTRESUME25!$A$6:$AL$45,10,0)</f>
        <v>0</v>
      </c>
      <c r="K36" s="25">
        <v>30000</v>
      </c>
      <c r="L36" s="25">
        <v>100000</v>
      </c>
      <c r="M36" s="25">
        <f>VLOOKUP($A36,[13]MVTRESUME25!$A$6:$AL$45,23,0)</f>
        <v>0</v>
      </c>
      <c r="N36" s="25">
        <f t="shared" si="2"/>
        <v>130000</v>
      </c>
      <c r="O36" s="25">
        <f t="shared" si="3"/>
        <v>161800.56815639394</v>
      </c>
      <c r="P36" s="25">
        <f t="shared" si="6"/>
        <v>160000</v>
      </c>
      <c r="Q36" s="25">
        <f t="shared" si="1"/>
        <v>1800.5681563939434</v>
      </c>
      <c r="R36" s="25">
        <f t="shared" si="5"/>
        <v>900000</v>
      </c>
      <c r="S36" s="29"/>
      <c r="T36" s="25">
        <v>160000</v>
      </c>
      <c r="U36" s="25"/>
      <c r="V36" s="25">
        <v>66799</v>
      </c>
    </row>
    <row r="37" spans="1:22" x14ac:dyDescent="0.35">
      <c r="A37" s="13" t="s">
        <v>83</v>
      </c>
      <c r="B37" s="33" t="str">
        <f>VLOOKUP(A37,[12]LISTADHERENT!$A$5:$K$43,3,0)</f>
        <v>TCHOUTOU NANA CLAUDE</v>
      </c>
      <c r="C37" s="25">
        <f>VLOOKUP($A37,[13]MVTRESUME25!$A$6:$AL$45,3,0)</f>
        <v>0</v>
      </c>
      <c r="D37" s="25">
        <f>VLOOKUP($A37,[13]MVTRESUME25!$A$6:$AL$45,4,0)</f>
        <v>487750</v>
      </c>
      <c r="E37" s="25">
        <f>VLOOKUP($A37,[13]MVTRESUME25!$A$6:$AL$45,8,0)</f>
        <v>0</v>
      </c>
      <c r="F37" s="25">
        <f>VLOOKUP($A37,[13]MVTRESUME25!$A$6:$AL$45,12,0)</f>
        <v>442500</v>
      </c>
      <c r="G37" s="25"/>
      <c r="H37" s="25"/>
      <c r="I37" s="25">
        <f t="shared" si="0"/>
        <v>930250</v>
      </c>
      <c r="J37" s="25">
        <f>VLOOKUP($A37,[13]MVTRESUME25!$A$6:$AL$45,10,0)</f>
        <v>0</v>
      </c>
      <c r="K37" s="25">
        <v>30000</v>
      </c>
      <c r="L37" s="25">
        <v>100000</v>
      </c>
      <c r="M37" s="25">
        <f>VLOOKUP($A37,[13]MVTRESUME25!$A$6:$AL$45,23,0)</f>
        <v>0</v>
      </c>
      <c r="N37" s="25">
        <f t="shared" si="2"/>
        <v>130000</v>
      </c>
      <c r="O37" s="25">
        <f t="shared" si="3"/>
        <v>800250</v>
      </c>
      <c r="P37" s="25">
        <f t="shared" si="6"/>
        <v>0</v>
      </c>
      <c r="Q37" s="25">
        <f t="shared" si="1"/>
        <v>800250</v>
      </c>
      <c r="R37" s="25">
        <f>C37+L37+800000</f>
        <v>900000</v>
      </c>
      <c r="S37" s="29"/>
      <c r="T37" s="25"/>
      <c r="U37" s="25"/>
      <c r="V37" s="25">
        <v>0</v>
      </c>
    </row>
    <row r="38" spans="1:22" x14ac:dyDescent="0.35">
      <c r="A38" s="13" t="s">
        <v>183</v>
      </c>
      <c r="B38" s="33" t="str">
        <f>VLOOKUP(A38,[12]LISTADHERENT!$A$5:$K$43,3,0)</f>
        <v>TIEYAM ERNEST</v>
      </c>
      <c r="C38" s="25">
        <f>VLOOKUP($A38,[13]MVTRESUME25!$A$6:$AL$45,3,0)</f>
        <v>0</v>
      </c>
      <c r="D38" s="25">
        <f>VLOOKUP($A38,[13]MVTRESUME25!$A$6:$AL$45,4,0)</f>
        <v>0</v>
      </c>
      <c r="E38" s="25">
        <f>VLOOKUP($A38,[13]MVTRESUME25!$A$6:$AL$45,8,0)</f>
        <v>0</v>
      </c>
      <c r="F38" s="25">
        <f>VLOOKUP($A38,[13]MVTRESUME25!$A$6:$AL$45,12,0)</f>
        <v>507500</v>
      </c>
      <c r="G38" s="25"/>
      <c r="H38" s="25"/>
      <c r="I38" s="25">
        <f t="shared" si="0"/>
        <v>507500</v>
      </c>
      <c r="J38" s="25">
        <f>VLOOKUP($A38,[13]MVTRESUME25!$A$6:$AL$45,10,0)</f>
        <v>0</v>
      </c>
      <c r="K38" s="25"/>
      <c r="L38" s="25"/>
      <c r="M38" s="25">
        <f>VLOOKUP($A38,[13]MVTRESUME25!$A$6:$AL$45,23,0)</f>
        <v>0</v>
      </c>
      <c r="N38" s="25">
        <f t="shared" si="2"/>
        <v>0</v>
      </c>
      <c r="O38" s="25">
        <f t="shared" si="3"/>
        <v>507500</v>
      </c>
      <c r="P38" s="25">
        <f t="shared" si="6"/>
        <v>0</v>
      </c>
      <c r="Q38" s="25">
        <f t="shared" si="1"/>
        <v>507500</v>
      </c>
      <c r="R38" s="25">
        <f t="shared" si="5"/>
        <v>0</v>
      </c>
      <c r="S38" s="29"/>
      <c r="T38" s="25"/>
      <c r="U38" s="25"/>
      <c r="V38" s="25">
        <v>0</v>
      </c>
    </row>
    <row r="39" spans="1:22" x14ac:dyDescent="0.35">
      <c r="A39" s="13" t="s">
        <v>128</v>
      </c>
      <c r="B39" s="33" t="str">
        <f>VLOOKUP(A39,[12]LISTADHERENT!$A$5:$K$43,3,0)</f>
        <v>YANTCHOU GERVAIS</v>
      </c>
      <c r="C39" s="25">
        <f>VLOOKUP($A39,[13]MVTRESUME25!$A$6:$AL$45,3,0)</f>
        <v>800000</v>
      </c>
      <c r="D39" s="25">
        <f>VLOOKUP($A39,[13]MVTRESUME25!$A$6:$AL$45,4,0)</f>
        <v>-32497</v>
      </c>
      <c r="E39" s="25">
        <f>VLOOKUP($A39,[13]MVTRESUME25!$A$6:$AL$45,8,0)</f>
        <v>64954.757324037535</v>
      </c>
      <c r="F39" s="25">
        <f>VLOOKUP($A39,[13]MVTRESUME25!$A$6:$AL$45,12,0)</f>
        <v>238000</v>
      </c>
      <c r="G39" s="25"/>
      <c r="H39" s="25"/>
      <c r="I39" s="25">
        <f t="shared" si="0"/>
        <v>270457.75732403755</v>
      </c>
      <c r="J39" s="25">
        <f>VLOOKUP($A39,[13]MVTRESUME25!$A$6:$AL$45,10,0)</f>
        <v>0</v>
      </c>
      <c r="K39" s="25">
        <v>30000</v>
      </c>
      <c r="L39" s="25">
        <v>100000</v>
      </c>
      <c r="M39" s="25">
        <f>VLOOKUP($A39,[13]MVTRESUME25!$A$6:$AL$45,23,0)</f>
        <v>0</v>
      </c>
      <c r="N39" s="25">
        <f t="shared" si="2"/>
        <v>130000</v>
      </c>
      <c r="O39" s="25">
        <f t="shared" si="3"/>
        <v>140457.75732403755</v>
      </c>
      <c r="P39" s="25">
        <f t="shared" si="6"/>
        <v>50000</v>
      </c>
      <c r="Q39" s="25">
        <f t="shared" si="1"/>
        <v>40457.75732403755</v>
      </c>
      <c r="R39" s="25">
        <f t="shared" si="5"/>
        <v>900000</v>
      </c>
      <c r="S39" s="144">
        <v>50000</v>
      </c>
      <c r="T39" s="25">
        <v>50000</v>
      </c>
      <c r="U39" s="25"/>
      <c r="V39" s="25">
        <v>64571</v>
      </c>
    </row>
    <row r="40" spans="1:22" x14ac:dyDescent="0.35">
      <c r="A40" s="13" t="s">
        <v>84</v>
      </c>
      <c r="B40" s="33" t="str">
        <f>VLOOKUP(A40,[12]LISTADHERENT!$A$5:$K$43,3,0)</f>
        <v>YEPMOU JEAN JACQUES</v>
      </c>
      <c r="C40" s="25">
        <f>VLOOKUP($A40,[13]MVTRESUME25!$A$6:$AL$45,3,0)</f>
        <v>800000</v>
      </c>
      <c r="D40" s="25">
        <f>VLOOKUP($A40,[13]MVTRESUME25!$A$6:$AL$45,4,0)</f>
        <v>739643</v>
      </c>
      <c r="E40" s="25">
        <f>VLOOKUP($A40,[13]MVTRESUME25!$A$6:$AL$45,8,0)</f>
        <v>127622.78960574789</v>
      </c>
      <c r="F40" s="25">
        <f>VLOOKUP($A40,[13]MVTRESUME25!$A$6:$AL$45,12,0)</f>
        <v>219000</v>
      </c>
      <c r="G40" s="25"/>
      <c r="H40" s="25"/>
      <c r="I40" s="25">
        <f t="shared" si="0"/>
        <v>1086265.7896057479</v>
      </c>
      <c r="J40" s="25">
        <f>VLOOKUP($A40,[13]MVTRESUME25!$A$6:$AL$45,10,0)</f>
        <v>0</v>
      </c>
      <c r="K40" s="25">
        <v>30000</v>
      </c>
      <c r="L40" s="25">
        <v>100000</v>
      </c>
      <c r="M40" s="25">
        <f>VLOOKUP($A40,[13]MVTRESUME25!$A$6:$AL$45,23,0)</f>
        <v>0</v>
      </c>
      <c r="N40" s="25">
        <f t="shared" si="2"/>
        <v>130000</v>
      </c>
      <c r="O40" s="25">
        <f t="shared" si="3"/>
        <v>956265.78960574791</v>
      </c>
      <c r="P40" s="25">
        <f t="shared" si="6"/>
        <v>0</v>
      </c>
      <c r="Q40" s="25">
        <f t="shared" si="1"/>
        <v>956265.78960574791</v>
      </c>
      <c r="R40" s="25">
        <f t="shared" si="5"/>
        <v>900000</v>
      </c>
      <c r="S40" s="29"/>
      <c r="T40" s="25"/>
      <c r="U40" s="25"/>
      <c r="V40" s="25">
        <v>126907</v>
      </c>
    </row>
    <row r="41" spans="1:22" x14ac:dyDescent="0.35">
      <c r="A41" s="13" t="s">
        <v>165</v>
      </c>
      <c r="B41" s="33" t="str">
        <f>VLOOKUP(A41,[12]LISTADHERENT!$A$5:$K$43,3,0)</f>
        <v>YIALA ALAIN OSCAR</v>
      </c>
      <c r="C41" s="25">
        <f>VLOOKUP($A41,[13]MVTRESUME25!$A$6:$AL$45,3,0)</f>
        <v>800000</v>
      </c>
      <c r="D41" s="25">
        <f>VLOOKUP($A41,[13]MVTRESUME25!$A$6:$AL$45,4,0)</f>
        <v>241</v>
      </c>
      <c r="E41" s="25">
        <f>VLOOKUP($A41,[13]MVTRESUME25!$A$6:$AL$45,8,0)</f>
        <v>67488.51800055294</v>
      </c>
      <c r="F41" s="25">
        <f>VLOOKUP($A41,[13]MVTRESUME25!$A$6:$AL$45,12,0)</f>
        <v>228000</v>
      </c>
      <c r="G41" s="25"/>
      <c r="H41" s="25"/>
      <c r="I41" s="25">
        <f t="shared" si="0"/>
        <v>295729.51800055295</v>
      </c>
      <c r="J41" s="25">
        <f>VLOOKUP($A41,[13]MVTRESUME25!$A$6:$AL$45,10,0)</f>
        <v>0</v>
      </c>
      <c r="K41" s="25">
        <v>30000</v>
      </c>
      <c r="L41" s="25">
        <v>100000</v>
      </c>
      <c r="M41" s="25">
        <f>VLOOKUP($A41,[13]MVTRESUME25!$A$6:$AL$45,23,0)</f>
        <v>0</v>
      </c>
      <c r="N41" s="25">
        <f t="shared" si="2"/>
        <v>130000</v>
      </c>
      <c r="O41" s="25">
        <f t="shared" si="3"/>
        <v>165729.51800055295</v>
      </c>
      <c r="P41" s="25">
        <f t="shared" si="6"/>
        <v>70000</v>
      </c>
      <c r="Q41" s="25">
        <f t="shared" si="1"/>
        <v>-4270.4819994470454</v>
      </c>
      <c r="R41" s="25">
        <f t="shared" si="5"/>
        <v>900000</v>
      </c>
      <c r="S41" s="144">
        <v>100000</v>
      </c>
      <c r="T41" s="25">
        <v>70000</v>
      </c>
      <c r="U41" s="25"/>
      <c r="V41" s="25">
        <v>67093</v>
      </c>
    </row>
    <row r="42" spans="1:22" x14ac:dyDescent="0.35">
      <c r="A42" s="13" t="s">
        <v>85</v>
      </c>
      <c r="B42" s="33" t="str">
        <f>VLOOKUP(A42,[12]LISTADHERENT!$A$5:$K$43,3,0)</f>
        <v>YOUMBI EMMANUEL</v>
      </c>
      <c r="C42" s="25">
        <f>VLOOKUP($A42,[13]MVTRESUME25!$A$6:$AL$45,3,0)</f>
        <v>800000</v>
      </c>
      <c r="D42" s="25">
        <f>VLOOKUP($A42,[13]MVTRESUME25!$A$6:$AL$45,4,0)</f>
        <v>1296586</v>
      </c>
      <c r="E42" s="25">
        <f>VLOOKUP($A42,[13]MVTRESUME25!$A$6:$AL$45,8,0)</f>
        <v>170658.37298084804</v>
      </c>
      <c r="F42" s="25">
        <f>VLOOKUP($A42,[13]MVTRESUME25!$A$6:$AL$45,12,0)</f>
        <v>228000</v>
      </c>
      <c r="G42" s="25"/>
      <c r="H42" s="25"/>
      <c r="I42" s="25">
        <f t="shared" si="0"/>
        <v>1695244.372980848</v>
      </c>
      <c r="J42" s="25">
        <f>VLOOKUP($A42,[13]MVTRESUME25!$A$6:$AL$45,10,0)</f>
        <v>0</v>
      </c>
      <c r="K42" s="25">
        <v>30000</v>
      </c>
      <c r="L42" s="25">
        <v>100000</v>
      </c>
      <c r="M42" s="25">
        <f>VLOOKUP($A42,[13]MVTRESUME25!$A$6:$AL$45,23,0)</f>
        <v>0</v>
      </c>
      <c r="N42" s="25">
        <f t="shared" si="2"/>
        <v>130000</v>
      </c>
      <c r="O42" s="25">
        <f t="shared" si="3"/>
        <v>1565244.372980848</v>
      </c>
      <c r="P42" s="25">
        <f t="shared" si="6"/>
        <v>0</v>
      </c>
      <c r="Q42" s="25">
        <f t="shared" si="1"/>
        <v>1565244.372980848</v>
      </c>
      <c r="R42" s="25">
        <f t="shared" si="5"/>
        <v>900000</v>
      </c>
      <c r="S42" s="29"/>
      <c r="V42" s="25">
        <v>172130</v>
      </c>
    </row>
    <row r="43" spans="1:22" x14ac:dyDescent="0.35">
      <c r="A43" s="13"/>
      <c r="B43" s="3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15"/>
    </row>
    <row r="44" spans="1:22" ht="18" thickBot="1" x14ac:dyDescent="0.4">
      <c r="A44" s="84" t="s">
        <v>23</v>
      </c>
      <c r="B44" s="85"/>
      <c r="C44" s="86">
        <f>SUM(C6:C42)</f>
        <v>24000000</v>
      </c>
      <c r="D44" s="86">
        <f>SUM(D6:D42)</f>
        <v>6596797</v>
      </c>
      <c r="E44" s="86">
        <f t="shared" ref="E44:V44" si="7">SUM(E6:E42)</f>
        <v>2501137.9999999995</v>
      </c>
      <c r="F44" s="86">
        <f t="shared" si="7"/>
        <v>13327900</v>
      </c>
      <c r="G44" s="86">
        <f t="shared" si="7"/>
        <v>0</v>
      </c>
      <c r="H44" s="86">
        <f t="shared" si="7"/>
        <v>0</v>
      </c>
      <c r="I44" s="86">
        <f t="shared" si="7"/>
        <v>22425835</v>
      </c>
      <c r="J44" s="86">
        <f t="shared" si="7"/>
        <v>5000</v>
      </c>
      <c r="K44" s="86">
        <f t="shared" si="7"/>
        <v>1010000</v>
      </c>
      <c r="L44" s="86">
        <f t="shared" si="7"/>
        <v>3300000</v>
      </c>
      <c r="M44" s="86">
        <f t="shared" si="7"/>
        <v>3930000</v>
      </c>
      <c r="N44" s="86">
        <f t="shared" si="7"/>
        <v>9246000</v>
      </c>
      <c r="O44" s="86">
        <f t="shared" si="7"/>
        <v>15579834.999999998</v>
      </c>
      <c r="P44" s="86">
        <f t="shared" si="7"/>
        <v>2920000</v>
      </c>
      <c r="Q44" s="86">
        <f t="shared" si="7"/>
        <v>10223835.000000002</v>
      </c>
      <c r="R44" s="86">
        <f t="shared" si="7"/>
        <v>30500000</v>
      </c>
      <c r="S44" s="140">
        <f t="shared" si="7"/>
        <v>1566000</v>
      </c>
      <c r="T44" s="140">
        <f t="shared" si="7"/>
        <v>2520000</v>
      </c>
      <c r="U44" s="140">
        <f t="shared" si="7"/>
        <v>400000</v>
      </c>
      <c r="V44" s="140">
        <f t="shared" si="7"/>
        <v>2494000</v>
      </c>
    </row>
    <row r="45" spans="1:22" ht="15" thickTop="1" x14ac:dyDescent="0.35">
      <c r="A45" s="137"/>
      <c r="B45" s="138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9"/>
    </row>
    <row r="46" spans="1:22" x14ac:dyDescent="0.35">
      <c r="A46" s="13"/>
      <c r="B46" s="33" t="s">
        <v>178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14"/>
    </row>
    <row r="47" spans="1:22" x14ac:dyDescent="0.35">
      <c r="A47" s="13"/>
      <c r="B47" s="3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14"/>
    </row>
    <row r="48" spans="1:22" x14ac:dyDescent="0.35">
      <c r="A48" s="13"/>
      <c r="B48" s="3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14"/>
    </row>
    <row r="49" spans="1:19" x14ac:dyDescent="0.35">
      <c r="A49" s="13" t="s">
        <v>105</v>
      </c>
      <c r="B49" s="33" t="str">
        <f>VLOOKUP(A49,[14]LISTADHERENT!A$5:H$60,3,0)</f>
        <v>HODIEP JULES</v>
      </c>
      <c r="C49" s="25">
        <f>VLOOKUP(A49,[15]FONDSCAISSE!$A$2:$H$51,8,0)</f>
        <v>80000</v>
      </c>
      <c r="D49" s="33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53"/>
      <c r="P49" s="53"/>
      <c r="Q49" s="53"/>
      <c r="R49" s="25">
        <f>C49</f>
        <v>80000</v>
      </c>
      <c r="S49" s="14"/>
    </row>
    <row r="50" spans="1:19" x14ac:dyDescent="0.35">
      <c r="A50" s="13" t="s">
        <v>76</v>
      </c>
      <c r="B50" s="33" t="str">
        <f>VLOOKUP(A50,[14]LISTADHERENT!A$5:H$60,3,0)</f>
        <v>NGONGANG JEAN THEODORE</v>
      </c>
      <c r="C50" s="25">
        <f>VLOOKUP(A50,[15]FONDSCAISSE!$A$2:$H$51,8,0)</f>
        <v>227663</v>
      </c>
      <c r="D50" s="33"/>
      <c r="E50" s="25"/>
      <c r="F50" s="54"/>
      <c r="G50" s="25"/>
      <c r="H50" s="25"/>
      <c r="I50" s="25"/>
      <c r="J50" s="25"/>
      <c r="K50" s="25"/>
      <c r="L50" s="25"/>
      <c r="M50" s="25"/>
      <c r="N50" s="25"/>
      <c r="O50" s="53"/>
      <c r="P50" s="53"/>
      <c r="Q50" s="53"/>
      <c r="R50" s="25">
        <f>C50</f>
        <v>227663</v>
      </c>
      <c r="S50" s="14"/>
    </row>
    <row r="51" spans="1:19" x14ac:dyDescent="0.35">
      <c r="A51" s="13" t="s">
        <v>106</v>
      </c>
      <c r="B51" s="33" t="str">
        <f>VLOOKUP(A51,[14]LISTADHERENT!A$5:H$60,3,0)</f>
        <v>NDOMBOU JEAN CLAUDE</v>
      </c>
      <c r="C51" s="25">
        <f>VLOOKUP(A51,[15]FONDSCAISSE!$A$2:$H$51,8,0)</f>
        <v>480000</v>
      </c>
      <c r="D51" s="33"/>
      <c r="E51" s="25"/>
      <c r="F51" s="54"/>
      <c r="G51" s="25"/>
      <c r="H51" s="25"/>
      <c r="I51" s="25"/>
      <c r="J51" s="25"/>
      <c r="K51" s="25"/>
      <c r="L51" s="25"/>
      <c r="M51" s="25"/>
      <c r="N51" s="25"/>
      <c r="O51" s="53"/>
      <c r="P51" s="53"/>
      <c r="Q51" s="53"/>
      <c r="R51" s="25">
        <f>C51</f>
        <v>480000</v>
      </c>
      <c r="S51" s="14"/>
    </row>
    <row r="52" spans="1:19" x14ac:dyDescent="0.35">
      <c r="A52" s="13" t="s">
        <v>88</v>
      </c>
      <c r="B52" s="33" t="str">
        <f>VLOOKUP(A52,[14]LISTADHERENT!A$5:H$60,3,0)</f>
        <v>NGANHOU JEAN</v>
      </c>
      <c r="C52" s="25">
        <f>VLOOKUP(A52,[15]FONDSCAISSE!$A$2:$H$51,8,0)</f>
        <v>130000</v>
      </c>
      <c r="D52" s="3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53"/>
      <c r="P52" s="53"/>
      <c r="Q52" s="53"/>
      <c r="R52" s="25">
        <f>C52</f>
        <v>130000</v>
      </c>
      <c r="S52" s="14"/>
    </row>
    <row r="53" spans="1:19" x14ac:dyDescent="0.35">
      <c r="A53" s="55"/>
      <c r="B53" s="33"/>
      <c r="C53" s="25"/>
      <c r="D53" s="33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53"/>
      <c r="P53" s="53"/>
      <c r="Q53" s="53"/>
      <c r="R53" s="33"/>
      <c r="S53" s="14"/>
    </row>
    <row r="54" spans="1:19" x14ac:dyDescent="0.35">
      <c r="A54" s="55"/>
      <c r="B54" s="33"/>
      <c r="C54" s="25"/>
      <c r="D54" s="33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53"/>
      <c r="P54" s="53"/>
      <c r="Q54" s="53"/>
      <c r="R54" s="33"/>
      <c r="S54" s="14"/>
    </row>
    <row r="55" spans="1:19" x14ac:dyDescent="0.35">
      <c r="A55" s="55"/>
      <c r="B55" s="33"/>
      <c r="C55" s="25"/>
      <c r="D55" s="33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53"/>
      <c r="P55" s="53"/>
      <c r="Q55" s="53"/>
      <c r="R55" s="33"/>
      <c r="S55" s="14"/>
    </row>
    <row r="56" spans="1:19" x14ac:dyDescent="0.35">
      <c r="A56" s="55"/>
      <c r="B56" s="33"/>
      <c r="C56" s="25"/>
      <c r="D56" s="33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53"/>
      <c r="P56" s="53"/>
      <c r="Q56" s="53"/>
      <c r="R56" s="33"/>
      <c r="S56" s="14"/>
    </row>
    <row r="57" spans="1:19" ht="22.5" customHeight="1" x14ac:dyDescent="0.35">
      <c r="A57" s="56"/>
      <c r="B57" s="33"/>
      <c r="C57" s="33"/>
      <c r="D57" s="33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53"/>
      <c r="P57" s="53"/>
      <c r="Q57" s="53"/>
      <c r="R57" s="33"/>
      <c r="S57" s="14"/>
    </row>
    <row r="58" spans="1:19" ht="18" thickBot="1" x14ac:dyDescent="0.4">
      <c r="A58" s="31" t="s">
        <v>23</v>
      </c>
      <c r="B58" s="57"/>
      <c r="C58" s="58">
        <f>SUM(C6:C57)</f>
        <v>48917663</v>
      </c>
      <c r="D58" s="58">
        <f t="shared" ref="D58:R58" si="8">SUM(D6:D57)</f>
        <v>13193594</v>
      </c>
      <c r="E58" s="58">
        <f t="shared" si="8"/>
        <v>5002275.9999999991</v>
      </c>
      <c r="F58" s="58">
        <f t="shared" si="8"/>
        <v>26655800</v>
      </c>
      <c r="G58" s="58">
        <f t="shared" si="8"/>
        <v>0</v>
      </c>
      <c r="H58" s="58">
        <f t="shared" si="8"/>
        <v>0</v>
      </c>
      <c r="I58" s="58">
        <f t="shared" si="8"/>
        <v>44851670</v>
      </c>
      <c r="J58" s="58">
        <f t="shared" si="8"/>
        <v>10000</v>
      </c>
      <c r="K58" s="58">
        <f t="shared" si="8"/>
        <v>2020000</v>
      </c>
      <c r="L58" s="58">
        <f t="shared" si="8"/>
        <v>6600000</v>
      </c>
      <c r="M58" s="58"/>
      <c r="N58" s="58">
        <f t="shared" si="8"/>
        <v>18492000</v>
      </c>
      <c r="O58" s="58">
        <f t="shared" si="8"/>
        <v>31159669.999999996</v>
      </c>
      <c r="P58" s="58">
        <f t="shared" si="8"/>
        <v>5840000</v>
      </c>
      <c r="Q58" s="58">
        <f t="shared" si="8"/>
        <v>20447670.000000004</v>
      </c>
      <c r="R58" s="58">
        <f t="shared" si="8"/>
        <v>61917663</v>
      </c>
      <c r="S58" s="136"/>
    </row>
    <row r="59" spans="1:19" ht="15" thickTop="1" x14ac:dyDescent="0.35">
      <c r="F59" s="135"/>
    </row>
    <row r="60" spans="1:19" x14ac:dyDescent="0.35">
      <c r="E60" s="27"/>
      <c r="F60" s="27"/>
      <c r="G60" s="27"/>
      <c r="H60" s="27"/>
      <c r="I60" s="27"/>
      <c r="P60" s="3"/>
    </row>
    <row r="61" spans="1:19" x14ac:dyDescent="0.35">
      <c r="P61" s="3"/>
    </row>
    <row r="62" spans="1:19" x14ac:dyDescent="0.35">
      <c r="P62" s="3"/>
    </row>
    <row r="63" spans="1:19" x14ac:dyDescent="0.35">
      <c r="P63" s="3"/>
    </row>
    <row r="64" spans="1:19" x14ac:dyDescent="0.35">
      <c r="P64" s="3"/>
    </row>
    <row r="65" spans="16:16" x14ac:dyDescent="0.35">
      <c r="P65" s="3"/>
    </row>
    <row r="66" spans="16:16" x14ac:dyDescent="0.35">
      <c r="P66" s="3"/>
    </row>
    <row r="67" spans="16:16" x14ac:dyDescent="0.35">
      <c r="P67" s="3"/>
    </row>
    <row r="68" spans="16:16" x14ac:dyDescent="0.35">
      <c r="P68" s="3"/>
    </row>
    <row r="69" spans="16:16" x14ac:dyDescent="0.35">
      <c r="P69" s="3"/>
    </row>
    <row r="70" spans="16:16" x14ac:dyDescent="0.35">
      <c r="P70" s="3"/>
    </row>
    <row r="71" spans="16:16" x14ac:dyDescent="0.35">
      <c r="P71" s="3"/>
    </row>
    <row r="72" spans="16:16" x14ac:dyDescent="0.35">
      <c r="P72" s="3"/>
    </row>
    <row r="73" spans="16:16" x14ac:dyDescent="0.35">
      <c r="P73" s="3"/>
    </row>
  </sheetData>
  <autoFilter ref="A5:Q48" xr:uid="{00000000-0009-0000-0000-000007000000}">
    <sortState ref="A5:L52">
      <sortCondition ref="B5:B52"/>
    </sortState>
  </autoFilter>
  <mergeCells count="1">
    <mergeCell ref="E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1"/>
  <sheetViews>
    <sheetView workbookViewId="0">
      <selection activeCell="B8" sqref="B8:B19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94" t="s">
        <v>10</v>
      </c>
      <c r="C2" s="83">
        <v>2024</v>
      </c>
    </row>
    <row r="3" spans="1:7" ht="21" x14ac:dyDescent="0.5">
      <c r="B3" s="156" t="s">
        <v>107</v>
      </c>
      <c r="C3" s="157"/>
      <c r="D3" s="157"/>
      <c r="E3" s="157"/>
      <c r="F3" s="157"/>
    </row>
    <row r="5" spans="1:7" ht="15" thickBot="1" x14ac:dyDescent="0.4"/>
    <row r="6" spans="1:7" ht="37.5" thickTop="1" x14ac:dyDescent="0.45">
      <c r="A6" s="21" t="s">
        <v>108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61">
        <f ca="1">'BILAN 2024'!A8</f>
        <v>1</v>
      </c>
      <c r="B8" s="61" t="str">
        <f ca="1">'BILAN 2024'!B8</f>
        <v>FONDS DE CAISSE ET RECONDUCTION</v>
      </c>
      <c r="C8" s="61">
        <f>SYNTHESECOMPTE!C5</f>
        <v>30596797</v>
      </c>
      <c r="D8" s="61">
        <f>800000*6+100000*24</f>
        <v>7200000</v>
      </c>
      <c r="E8" s="40">
        <f>7077869-6896797</f>
        <v>181072</v>
      </c>
      <c r="F8" s="26">
        <f>C8+D8-E8</f>
        <v>37615725</v>
      </c>
      <c r="G8" s="27"/>
    </row>
    <row r="9" spans="1:7" x14ac:dyDescent="0.35">
      <c r="A9" s="61">
        <f ca="1">'BILAN 2024'!A9</f>
        <v>2</v>
      </c>
      <c r="B9" s="61" t="str">
        <f ca="1">'BILAN 2024'!B9</f>
        <v>FONDS DE ROULEMENT</v>
      </c>
      <c r="C9" s="61">
        <f>SYNTHESECOMPTE!C6</f>
        <v>2293228</v>
      </c>
      <c r="D9" s="61">
        <f ca="1">'BILAN 2024'!D9</f>
        <v>384000</v>
      </c>
      <c r="E9" s="40">
        <f ca="1">'BILAN 2024'!E9</f>
        <v>251000</v>
      </c>
      <c r="F9" s="26">
        <f t="shared" ref="F9:F19" ca="1" si="0">C9+D9-E9</f>
        <v>2293228</v>
      </c>
      <c r="G9" s="27"/>
    </row>
    <row r="10" spans="1:7" x14ac:dyDescent="0.35">
      <c r="A10" s="61">
        <f ca="1">'BILAN 2024'!A10</f>
        <v>3</v>
      </c>
      <c r="B10" s="61" t="str">
        <f ca="1">'BILAN 2024'!B10</f>
        <v>FRAIS EXCEPTIONNELS</v>
      </c>
      <c r="C10" s="61">
        <f>SYNTHESECOMPTE!C7</f>
        <v>462960</v>
      </c>
      <c r="D10" s="61">
        <f ca="1">'BILAN 2024'!D10</f>
        <v>384000</v>
      </c>
      <c r="E10" s="40">
        <f ca="1">'BILAN 2024'!E10</f>
        <v>0</v>
      </c>
      <c r="F10" s="26">
        <f t="shared" ca="1" si="0"/>
        <v>1422460</v>
      </c>
      <c r="G10" s="27"/>
    </row>
    <row r="11" spans="1:7" x14ac:dyDescent="0.35">
      <c r="A11" s="61">
        <f ca="1">'BILAN 2024'!A11</f>
        <v>4</v>
      </c>
      <c r="B11" s="61" t="str">
        <f ca="1">'BILAN 2024'!B11</f>
        <v>MUTUELLE\COMPLEMENT MUTUEL</v>
      </c>
      <c r="C11" s="61">
        <f>SYNTHESECOMPTE!C8</f>
        <v>1654762</v>
      </c>
      <c r="D11" s="61">
        <f ca="1">'BILAN 2024'!D11</f>
        <v>240000</v>
      </c>
      <c r="E11" s="40">
        <f ca="1">'BILAN 2024'!E11</f>
        <v>200000</v>
      </c>
      <c r="F11" s="26">
        <f t="shared" ca="1" si="0"/>
        <v>854762</v>
      </c>
      <c r="G11" s="27"/>
    </row>
    <row r="12" spans="1:7" x14ac:dyDescent="0.35">
      <c r="A12" s="61">
        <f ca="1">'BILAN 2024'!A12</f>
        <v>5</v>
      </c>
      <c r="B12" s="61" t="str">
        <f ca="1">'BILAN 2024'!B12</f>
        <v>INSCRIPTION</v>
      </c>
      <c r="C12" s="61">
        <f>SYNTHESECOMPTE!C9</f>
        <v>830000</v>
      </c>
      <c r="D12" s="61">
        <f ca="1">'BILAN 2024'!D12</f>
        <v>75000</v>
      </c>
      <c r="E12" s="40">
        <f ca="1">'BILAN 2024'!E12</f>
        <v>0</v>
      </c>
      <c r="F12" s="26">
        <f t="shared" ca="1" si="0"/>
        <v>830000</v>
      </c>
      <c r="G12" s="27"/>
    </row>
    <row r="13" spans="1:7" x14ac:dyDescent="0.35">
      <c r="A13" s="61">
        <f ca="1">'BILAN 2024'!A13</f>
        <v>6</v>
      </c>
      <c r="B13" s="61" t="str">
        <f ca="1">'BILAN 2024'!B13</f>
        <v>PENALITES PAIEMENT ESPECES</v>
      </c>
      <c r="C13" s="61">
        <f>SYNTHESECOMPTE!C10</f>
        <v>940025</v>
      </c>
      <c r="D13" s="61">
        <f ca="1">'BILAN 2024'!D13</f>
        <v>93000</v>
      </c>
      <c r="E13" s="40">
        <f ca="1">'BILAN 2024'!E13</f>
        <v>0</v>
      </c>
      <c r="F13" s="26">
        <f t="shared" ca="1" si="0"/>
        <v>940025</v>
      </c>
      <c r="G13" s="27"/>
    </row>
    <row r="14" spans="1:7" x14ac:dyDescent="0.35">
      <c r="A14" s="61">
        <f ca="1">'BILAN 2024'!A14</f>
        <v>7</v>
      </c>
      <c r="B14" s="14" t="s">
        <v>51</v>
      </c>
      <c r="C14" s="61">
        <f>SYNTHESECOMPTE!C11</f>
        <v>10750</v>
      </c>
      <c r="D14" s="61">
        <f ca="1">'BILAN 2024'!D14</f>
        <v>3750</v>
      </c>
      <c r="E14" s="40">
        <f ca="1">'BILAN 2024'!E14</f>
        <v>0</v>
      </c>
      <c r="F14" s="26">
        <f t="shared" ca="1" si="0"/>
        <v>10750</v>
      </c>
      <c r="G14" s="27"/>
    </row>
    <row r="15" spans="1:7" x14ac:dyDescent="0.35">
      <c r="A15" s="61">
        <f ca="1">'BILAN 2024'!A15</f>
        <v>8</v>
      </c>
      <c r="B15" s="61" t="str">
        <f ca="1">'BILAN 2024'!B15</f>
        <v>COLLATION</v>
      </c>
      <c r="C15" s="61">
        <f>SYNTHESECOMPTE!C12</f>
        <v>1962525</v>
      </c>
      <c r="D15" s="61">
        <f ca="1">'BILAN 2024'!D15</f>
        <v>1536000</v>
      </c>
      <c r="E15" s="40">
        <f ca="1">'BILAN 2024'!E15</f>
        <v>1200000</v>
      </c>
      <c r="F15" s="26">
        <f t="shared" ca="1" si="0"/>
        <v>1968525</v>
      </c>
      <c r="G15" s="27"/>
    </row>
    <row r="16" spans="1:7" x14ac:dyDescent="0.35">
      <c r="A16" s="61">
        <f ca="1">'BILAN 2024'!A16</f>
        <v>9</v>
      </c>
      <c r="B16" s="61" t="s">
        <v>168</v>
      </c>
      <c r="C16" s="61">
        <f>SYNTHESECOMPTE!C13</f>
        <v>135828</v>
      </c>
      <c r="D16" s="61">
        <v>11701</v>
      </c>
      <c r="E16" s="40"/>
      <c r="F16" s="26">
        <f t="shared" si="0"/>
        <v>147529</v>
      </c>
      <c r="G16" s="27"/>
    </row>
    <row r="17" spans="1:8" x14ac:dyDescent="0.35">
      <c r="A17" s="61">
        <f ca="1">'BILAN 2024'!A17</f>
        <v>10</v>
      </c>
      <c r="B17" s="61" t="str">
        <f>'[16]BILAN 2024'!B18</f>
        <v>FOYER</v>
      </c>
      <c r="C17" s="61">
        <f>SYNTHESECOMPTE!C14</f>
        <v>371000</v>
      </c>
      <c r="D17" s="61">
        <f>'BILAN 2024'!D18</f>
        <v>0</v>
      </c>
      <c r="E17" s="40">
        <f>'BILAN 2024'!E18</f>
        <v>0</v>
      </c>
      <c r="F17" s="26">
        <f t="shared" si="0"/>
        <v>371000</v>
      </c>
      <c r="G17" s="27"/>
    </row>
    <row r="18" spans="1:8" x14ac:dyDescent="0.35">
      <c r="A18" s="61">
        <f ca="1">'BILAN 2024'!A18</f>
        <v>11</v>
      </c>
      <c r="B18" s="61" t="str">
        <f>'[16]BILAN 2024'!B23</f>
        <v>INTERETS ET AUTRES</v>
      </c>
      <c r="C18" s="61">
        <f>SYNTHESECOMPTE!C17</f>
        <v>0</v>
      </c>
      <c r="D18" s="61">
        <f>'BILAN 2024'!D23</f>
        <v>0</v>
      </c>
      <c r="E18" s="40">
        <f>'BILAN 2024'!E23</f>
        <v>0</v>
      </c>
      <c r="F18" s="26">
        <f t="shared" si="0"/>
        <v>0</v>
      </c>
      <c r="G18" s="27"/>
    </row>
    <row r="19" spans="1:8" x14ac:dyDescent="0.35">
      <c r="A19" s="129">
        <v>12</v>
      </c>
      <c r="B19" s="61" t="s">
        <v>179</v>
      </c>
      <c r="C19" s="61">
        <f>SYNTHESECOMPTE!C15</f>
        <v>-15300000</v>
      </c>
      <c r="D19" s="61"/>
      <c r="E19" s="40">
        <v>9300000</v>
      </c>
      <c r="F19" s="26">
        <f t="shared" si="0"/>
        <v>-24600000</v>
      </c>
      <c r="G19" s="27"/>
    </row>
    <row r="20" spans="1:8" x14ac:dyDescent="0.35">
      <c r="A20" s="19"/>
      <c r="B20" s="14"/>
      <c r="C20" s="61"/>
      <c r="D20" s="61"/>
      <c r="E20" s="40"/>
      <c r="F20" s="26"/>
      <c r="G20" s="27"/>
    </row>
    <row r="21" spans="1:8" x14ac:dyDescent="0.35">
      <c r="A21" s="19"/>
      <c r="B21" s="14"/>
      <c r="C21" s="61"/>
      <c r="D21" s="61"/>
      <c r="E21" s="40"/>
      <c r="F21" s="26"/>
      <c r="G21" s="27"/>
    </row>
    <row r="22" spans="1:8" x14ac:dyDescent="0.35">
      <c r="A22" s="19"/>
      <c r="B22" s="14"/>
      <c r="C22" s="61"/>
      <c r="D22" s="61"/>
      <c r="E22" s="40"/>
      <c r="F22" s="26"/>
      <c r="G22" s="27"/>
    </row>
    <row r="23" spans="1:8" x14ac:dyDescent="0.35">
      <c r="A23" s="19"/>
      <c r="B23" s="14"/>
      <c r="C23" s="61"/>
      <c r="D23" s="61"/>
      <c r="E23" s="40"/>
      <c r="F23" s="26"/>
      <c r="G23" s="27"/>
    </row>
    <row r="24" spans="1:8" x14ac:dyDescent="0.35">
      <c r="A24" s="19"/>
      <c r="B24" s="14"/>
      <c r="C24" s="61"/>
      <c r="D24" s="61"/>
      <c r="E24" s="40"/>
      <c r="F24" s="26"/>
      <c r="G24" s="27"/>
    </row>
    <row r="25" spans="1:8" x14ac:dyDescent="0.35">
      <c r="A25" s="19"/>
      <c r="B25" s="14"/>
      <c r="C25" s="61"/>
      <c r="D25" s="61"/>
      <c r="E25" s="40"/>
      <c r="F25" s="26"/>
      <c r="G25" s="27"/>
    </row>
    <row r="26" spans="1:8" x14ac:dyDescent="0.35">
      <c r="A26" s="19"/>
      <c r="B26" s="33"/>
      <c r="C26" s="25"/>
      <c r="D26" s="25"/>
      <c r="E26" s="40"/>
      <c r="F26" s="26"/>
      <c r="G26" s="27"/>
    </row>
    <row r="27" spans="1:8" ht="20.5" thickBot="1" x14ac:dyDescent="0.45">
      <c r="A27" s="67"/>
      <c r="B27" s="68" t="s">
        <v>23</v>
      </c>
      <c r="C27" s="69">
        <f>SUM(C8:C26)</f>
        <v>23957875</v>
      </c>
      <c r="D27" s="69">
        <f ca="1">SUM(D8:D26)</f>
        <v>0</v>
      </c>
      <c r="E27" s="69"/>
      <c r="F27" s="87"/>
      <c r="G27" s="27"/>
      <c r="H27" s="27"/>
    </row>
    <row r="28" spans="1:8" ht="15" thickTop="1" x14ac:dyDescent="0.35">
      <c r="A28" s="70"/>
      <c r="B28" s="71"/>
      <c r="C28" s="72"/>
      <c r="D28" s="72"/>
      <c r="E28" s="72"/>
      <c r="F28" s="72"/>
      <c r="G28" s="27"/>
    </row>
    <row r="29" spans="1:8" ht="23.5" x14ac:dyDescent="0.55000000000000004">
      <c r="B29" s="158" t="s">
        <v>119</v>
      </c>
      <c r="C29" s="159"/>
      <c r="D29" s="159"/>
      <c r="E29" s="159"/>
      <c r="F29" s="159"/>
      <c r="G29" s="70"/>
    </row>
    <row r="30" spans="1:8" x14ac:dyDescent="0.35">
      <c r="A30" s="70"/>
      <c r="B30" s="71"/>
      <c r="C30" s="72"/>
      <c r="D30" s="72"/>
      <c r="E30" s="73"/>
      <c r="F30" s="72"/>
      <c r="G30" s="27"/>
    </row>
    <row r="31" spans="1:8" x14ac:dyDescent="0.35">
      <c r="A31" s="70"/>
      <c r="B31" s="71"/>
      <c r="C31" s="72"/>
      <c r="D31" s="72"/>
      <c r="E31" s="73"/>
      <c r="F31" s="72"/>
      <c r="G31" s="27"/>
    </row>
    <row r="32" spans="1:8" ht="15" thickBot="1" x14ac:dyDescent="0.4">
      <c r="A32" s="70"/>
      <c r="B32" s="71"/>
      <c r="C32" s="72">
        <v>2023</v>
      </c>
      <c r="D32" s="72">
        <v>2024</v>
      </c>
      <c r="E32" s="73"/>
      <c r="F32" s="72"/>
      <c r="G32" s="27"/>
    </row>
    <row r="33" spans="1:8" ht="15" thickTop="1" x14ac:dyDescent="0.35">
      <c r="A33" s="74">
        <v>1</v>
      </c>
      <c r="B33" s="75" t="s">
        <v>120</v>
      </c>
      <c r="C33" s="76">
        <v>4337431</v>
      </c>
      <c r="D33" s="77"/>
      <c r="E33" s="73"/>
      <c r="F33" s="72"/>
      <c r="G33" s="27"/>
    </row>
    <row r="34" spans="1:8" x14ac:dyDescent="0.35">
      <c r="A34" s="19">
        <v>2</v>
      </c>
      <c r="B34" s="14" t="s">
        <v>121</v>
      </c>
      <c r="C34" s="61">
        <v>630005</v>
      </c>
      <c r="D34" s="78">
        <f>C34+10000</f>
        <v>640005</v>
      </c>
      <c r="E34" s="73"/>
      <c r="F34" s="72"/>
      <c r="G34" s="27"/>
      <c r="H34" s="27"/>
    </row>
    <row r="35" spans="1:8" x14ac:dyDescent="0.35">
      <c r="A35" s="19">
        <v>3</v>
      </c>
      <c r="B35" s="14" t="s">
        <v>42</v>
      </c>
      <c r="C35" s="61">
        <v>1423702</v>
      </c>
      <c r="D35" s="78">
        <v>5265069</v>
      </c>
      <c r="E35" s="73"/>
      <c r="F35" s="72"/>
      <c r="G35" s="27"/>
    </row>
    <row r="36" spans="1:8" x14ac:dyDescent="0.35">
      <c r="A36" s="19">
        <v>4</v>
      </c>
      <c r="B36" s="14" t="s">
        <v>122</v>
      </c>
      <c r="C36" s="61">
        <v>744700</v>
      </c>
      <c r="D36" s="78"/>
      <c r="E36" s="73"/>
      <c r="F36" s="72"/>
      <c r="G36" s="27"/>
    </row>
    <row r="37" spans="1:8" x14ac:dyDescent="0.35">
      <c r="A37" s="19">
        <v>5</v>
      </c>
      <c r="B37" s="14" t="s">
        <v>123</v>
      </c>
      <c r="C37" s="61">
        <v>0</v>
      </c>
      <c r="D37" s="78"/>
      <c r="E37" s="72"/>
      <c r="F37" s="72"/>
      <c r="G37" s="27"/>
    </row>
    <row r="38" spans="1:8" x14ac:dyDescent="0.35">
      <c r="A38" s="19">
        <v>6</v>
      </c>
      <c r="B38" s="14" t="s">
        <v>124</v>
      </c>
      <c r="C38" s="61">
        <v>154000</v>
      </c>
      <c r="D38" s="78"/>
      <c r="E38" s="72"/>
      <c r="F38" s="72"/>
      <c r="G38" s="27"/>
    </row>
    <row r="39" spans="1:8" x14ac:dyDescent="0.35">
      <c r="A39" s="19">
        <v>7</v>
      </c>
      <c r="B39" s="14" t="s">
        <v>125</v>
      </c>
      <c r="C39" s="61">
        <v>18658500</v>
      </c>
      <c r="D39" s="78">
        <f>'DETAIL PRETENCIRCULATION'!C46+'DETAIL PRETENCIRCULATION'!C56</f>
        <v>19060901.371297143</v>
      </c>
      <c r="E39" s="72"/>
      <c r="F39" s="72"/>
      <c r="G39" s="27"/>
    </row>
    <row r="40" spans="1:8" x14ac:dyDescent="0.35">
      <c r="A40" s="19">
        <v>8</v>
      </c>
      <c r="B40" s="14" t="s">
        <v>126</v>
      </c>
      <c r="C40" s="61">
        <v>656618</v>
      </c>
      <c r="D40" s="78"/>
      <c r="E40" s="73"/>
      <c r="F40" s="72"/>
      <c r="G40" s="27"/>
    </row>
    <row r="41" spans="1:8" x14ac:dyDescent="0.35">
      <c r="A41" s="19"/>
      <c r="B41" s="14"/>
      <c r="C41" s="25"/>
      <c r="D41" s="26"/>
      <c r="E41" s="73"/>
      <c r="F41" s="72"/>
      <c r="G41" s="27"/>
    </row>
    <row r="42" spans="1:8" ht="15" thickBot="1" x14ac:dyDescent="0.4">
      <c r="A42" s="67"/>
      <c r="B42" s="57" t="s">
        <v>23</v>
      </c>
      <c r="C42" s="38">
        <f>SUM(C33:C41)</f>
        <v>26604956</v>
      </c>
      <c r="D42" s="32">
        <f>SUM(D33:D41)</f>
        <v>24965975.371297143</v>
      </c>
      <c r="E42" s="79"/>
      <c r="F42" s="72"/>
      <c r="G42" s="30"/>
    </row>
    <row r="43" spans="1:8" ht="15" thickTop="1" x14ac:dyDescent="0.35">
      <c r="A43" s="70"/>
      <c r="B43" s="70"/>
      <c r="C43" s="80"/>
      <c r="D43" s="80"/>
      <c r="E43" s="79"/>
      <c r="F43" s="72"/>
      <c r="G43" s="27"/>
    </row>
    <row r="44" spans="1:8" x14ac:dyDescent="0.35">
      <c r="A44" s="70"/>
      <c r="B44" s="70"/>
      <c r="C44" s="72"/>
      <c r="D44" s="72"/>
      <c r="E44" s="73"/>
      <c r="F44" s="72"/>
      <c r="G44" s="27"/>
    </row>
    <row r="45" spans="1:8" x14ac:dyDescent="0.35">
      <c r="A45" s="70"/>
      <c r="B45" s="71"/>
      <c r="C45" s="80"/>
      <c r="D45" s="72"/>
      <c r="E45" s="73"/>
      <c r="F45" s="72"/>
      <c r="G45" s="27"/>
    </row>
    <row r="46" spans="1:8" x14ac:dyDescent="0.35">
      <c r="A46" s="70"/>
      <c r="B46" s="71"/>
      <c r="C46" s="80"/>
      <c r="D46" s="70"/>
      <c r="E46" s="73"/>
      <c r="F46" s="72"/>
      <c r="G46" s="27"/>
    </row>
    <row r="47" spans="1:8" x14ac:dyDescent="0.35">
      <c r="A47" s="70"/>
      <c r="B47" s="71"/>
      <c r="C47" s="80"/>
      <c r="D47" s="72"/>
      <c r="E47" s="79"/>
      <c r="F47" s="72"/>
      <c r="G47" s="27"/>
    </row>
    <row r="48" spans="1:8" x14ac:dyDescent="0.35">
      <c r="A48" s="70"/>
      <c r="B48" s="71"/>
      <c r="C48" s="80"/>
      <c r="D48" s="72"/>
      <c r="E48" s="79"/>
      <c r="F48" s="72"/>
      <c r="G48" s="27"/>
    </row>
    <row r="49" spans="1:7" x14ac:dyDescent="0.35">
      <c r="A49" s="70"/>
      <c r="B49" s="71"/>
      <c r="C49" s="80"/>
      <c r="D49" s="72"/>
      <c r="E49" s="79"/>
      <c r="F49" s="72"/>
      <c r="G49" s="27"/>
    </row>
    <row r="50" spans="1:7" x14ac:dyDescent="0.35">
      <c r="A50" s="70"/>
      <c r="B50" s="71"/>
      <c r="C50" s="80"/>
      <c r="D50" s="72"/>
      <c r="E50" s="79"/>
      <c r="F50" s="72"/>
      <c r="G50" s="27"/>
    </row>
    <row r="51" spans="1:7" x14ac:dyDescent="0.35">
      <c r="A51" s="70"/>
      <c r="B51" s="71"/>
      <c r="C51" s="70"/>
      <c r="D51" s="72"/>
      <c r="E51" s="73"/>
      <c r="F51" s="72"/>
      <c r="G51" s="27"/>
    </row>
    <row r="52" spans="1:7" x14ac:dyDescent="0.35">
      <c r="A52" s="70"/>
      <c r="B52" s="71"/>
      <c r="C52" s="70"/>
      <c r="D52" s="72"/>
      <c r="E52" s="81"/>
      <c r="F52" s="72"/>
      <c r="G52" s="27"/>
    </row>
    <row r="53" spans="1:7" x14ac:dyDescent="0.35">
      <c r="A53" s="70"/>
      <c r="B53" s="71"/>
      <c r="C53" s="72"/>
      <c r="D53" s="72"/>
      <c r="E53" s="81"/>
      <c r="F53" s="72"/>
      <c r="G53" s="27"/>
    </row>
    <row r="54" spans="1:7" x14ac:dyDescent="0.35">
      <c r="A54" s="70"/>
      <c r="B54" s="71"/>
      <c r="C54" s="70"/>
      <c r="D54" s="72"/>
      <c r="E54" s="79"/>
      <c r="F54" s="72"/>
      <c r="G54" s="27"/>
    </row>
    <row r="55" spans="1:7" x14ac:dyDescent="0.35">
      <c r="A55" s="70"/>
      <c r="B55" s="71"/>
      <c r="C55" s="80"/>
      <c r="D55" s="72"/>
      <c r="E55" s="79"/>
      <c r="F55" s="72"/>
      <c r="G55" s="27"/>
    </row>
    <row r="56" spans="1:7" x14ac:dyDescent="0.35">
      <c r="A56" s="70"/>
      <c r="B56" s="71"/>
      <c r="C56" s="80"/>
      <c r="D56" s="72"/>
      <c r="E56" s="73"/>
      <c r="F56" s="72"/>
      <c r="G56" s="27"/>
    </row>
    <row r="57" spans="1:7" x14ac:dyDescent="0.35">
      <c r="A57" s="70"/>
      <c r="B57" s="71"/>
      <c r="C57" s="80"/>
      <c r="D57" s="72"/>
      <c r="E57" s="79"/>
      <c r="F57" s="72"/>
      <c r="G57" s="27"/>
    </row>
    <row r="58" spans="1:7" x14ac:dyDescent="0.35">
      <c r="A58" s="70"/>
      <c r="B58" s="70"/>
      <c r="C58" s="70"/>
      <c r="D58" s="70"/>
      <c r="E58" s="81"/>
      <c r="F58" s="72"/>
    </row>
    <row r="59" spans="1:7" x14ac:dyDescent="0.35">
      <c r="A59" s="70"/>
      <c r="B59" s="70"/>
      <c r="C59" s="70"/>
      <c r="D59" s="70"/>
      <c r="E59" s="81"/>
      <c r="F59" s="70"/>
    </row>
    <row r="60" spans="1:7" ht="17.5" x14ac:dyDescent="0.35">
      <c r="A60" s="70"/>
      <c r="B60" s="71"/>
      <c r="C60" s="82"/>
      <c r="D60" s="82"/>
      <c r="E60" s="82"/>
      <c r="F60" s="82"/>
    </row>
    <row r="61" spans="1:7" x14ac:dyDescent="0.35">
      <c r="A61" s="70"/>
      <c r="B61" s="70"/>
      <c r="C61" s="70"/>
      <c r="D61" s="70"/>
      <c r="E61" s="70"/>
      <c r="F61" s="70"/>
    </row>
    <row r="62" spans="1:7" x14ac:dyDescent="0.35">
      <c r="A62" s="70"/>
      <c r="B62" s="70"/>
      <c r="C62" s="70"/>
      <c r="D62" s="70"/>
      <c r="E62" s="70"/>
      <c r="F62" s="70"/>
    </row>
    <row r="63" spans="1:7" x14ac:dyDescent="0.35">
      <c r="A63" s="70"/>
      <c r="B63" s="70"/>
      <c r="C63" s="70"/>
      <c r="D63" s="70"/>
      <c r="E63" s="70"/>
      <c r="F63" s="70"/>
    </row>
    <row r="64" spans="1:7" x14ac:dyDescent="0.35">
      <c r="A64" s="70"/>
      <c r="B64" s="70"/>
      <c r="C64" s="70"/>
      <c r="D64" s="70"/>
      <c r="E64" s="70"/>
      <c r="F64" s="70"/>
    </row>
    <row r="65" spans="1:6" x14ac:dyDescent="0.35">
      <c r="A65" s="70"/>
      <c r="B65" s="70"/>
      <c r="C65" s="70"/>
      <c r="D65" s="70"/>
      <c r="E65" s="70"/>
      <c r="F65" s="70"/>
    </row>
    <row r="66" spans="1:6" x14ac:dyDescent="0.35">
      <c r="A66" s="70"/>
      <c r="B66" s="70"/>
      <c r="C66" s="70"/>
      <c r="D66" s="70"/>
      <c r="E66" s="70"/>
      <c r="F66" s="70"/>
    </row>
    <row r="67" spans="1:6" x14ac:dyDescent="0.35">
      <c r="A67" s="70"/>
      <c r="B67" s="70"/>
      <c r="C67" s="70"/>
      <c r="D67" s="70"/>
      <c r="E67" s="70"/>
      <c r="F67" s="70"/>
    </row>
    <row r="68" spans="1:6" x14ac:dyDescent="0.35">
      <c r="A68" s="70"/>
      <c r="B68" s="70"/>
      <c r="C68" s="70"/>
      <c r="D68" s="70"/>
      <c r="E68" s="70"/>
      <c r="F68" s="70"/>
    </row>
    <row r="69" spans="1:6" x14ac:dyDescent="0.35">
      <c r="A69" s="70"/>
      <c r="B69" s="70"/>
      <c r="C69" s="70"/>
      <c r="D69" s="70"/>
      <c r="E69" s="70"/>
      <c r="F69" s="70"/>
    </row>
    <row r="70" spans="1:6" x14ac:dyDescent="0.35">
      <c r="A70" s="70"/>
      <c r="B70" s="70"/>
      <c r="C70" s="70"/>
      <c r="D70" s="70"/>
      <c r="E70" s="70"/>
      <c r="F70" s="70"/>
    </row>
    <row r="71" spans="1:6" x14ac:dyDescent="0.35">
      <c r="A71" s="70"/>
      <c r="B71" s="70"/>
      <c r="C71" s="70"/>
      <c r="D71" s="70"/>
      <c r="E71" s="70"/>
      <c r="F71" s="70"/>
    </row>
    <row r="72" spans="1:6" x14ac:dyDescent="0.35">
      <c r="A72" s="70"/>
      <c r="B72" s="70"/>
      <c r="C72" s="70"/>
      <c r="D72" s="70"/>
      <c r="E72" s="70"/>
      <c r="F72" s="70"/>
    </row>
    <row r="73" spans="1:6" x14ac:dyDescent="0.35">
      <c r="A73" s="70"/>
      <c r="B73" s="70"/>
      <c r="C73" s="70"/>
      <c r="D73" s="70"/>
      <c r="E73" s="70"/>
      <c r="F73" s="70"/>
    </row>
    <row r="74" spans="1:6" x14ac:dyDescent="0.35">
      <c r="A74" s="70"/>
      <c r="B74" s="70"/>
      <c r="C74" s="70"/>
      <c r="D74" s="70"/>
      <c r="E74" s="70"/>
      <c r="F74" s="70"/>
    </row>
    <row r="75" spans="1:6" x14ac:dyDescent="0.35">
      <c r="A75" s="70"/>
      <c r="B75" s="70"/>
      <c r="C75" s="70"/>
      <c r="D75" s="70"/>
      <c r="E75" s="70"/>
      <c r="F75" s="70"/>
    </row>
    <row r="76" spans="1:6" x14ac:dyDescent="0.35">
      <c r="A76" s="70"/>
      <c r="B76" s="70"/>
      <c r="C76" s="70"/>
      <c r="D76" s="70"/>
      <c r="E76" s="70"/>
      <c r="F76" s="70"/>
    </row>
    <row r="77" spans="1:6" x14ac:dyDescent="0.35">
      <c r="A77" s="70"/>
      <c r="B77" s="70"/>
      <c r="C77" s="70"/>
      <c r="D77" s="70"/>
      <c r="E77" s="70"/>
      <c r="F77" s="70"/>
    </row>
    <row r="78" spans="1:6" x14ac:dyDescent="0.35">
      <c r="A78" s="70"/>
      <c r="B78" s="70"/>
      <c r="C78" s="70"/>
      <c r="D78" s="70"/>
      <c r="E78" s="70"/>
      <c r="F78" s="70"/>
    </row>
    <row r="79" spans="1:6" x14ac:dyDescent="0.35">
      <c r="A79" s="70"/>
      <c r="B79" s="70"/>
      <c r="C79" s="70"/>
      <c r="D79" s="70"/>
      <c r="E79" s="70"/>
      <c r="F79" s="70"/>
    </row>
    <row r="80" spans="1:6" x14ac:dyDescent="0.35">
      <c r="A80" s="70"/>
      <c r="B80" s="70"/>
      <c r="C80" s="70"/>
      <c r="D80" s="70"/>
      <c r="E80" s="70"/>
      <c r="F80" s="70"/>
    </row>
    <row r="81" spans="1:6" x14ac:dyDescent="0.35">
      <c r="A81" s="70"/>
      <c r="B81" s="70"/>
      <c r="C81" s="70"/>
      <c r="D81" s="70"/>
      <c r="E81" s="70"/>
      <c r="F81" s="70"/>
    </row>
    <row r="82" spans="1:6" x14ac:dyDescent="0.35">
      <c r="A82" s="70"/>
      <c r="B82" s="70"/>
      <c r="C82" s="70"/>
      <c r="D82" s="70"/>
      <c r="E82" s="70"/>
      <c r="F82" s="70"/>
    </row>
    <row r="83" spans="1:6" x14ac:dyDescent="0.35">
      <c r="A83" s="70"/>
      <c r="B83" s="70"/>
      <c r="C83" s="70"/>
      <c r="D83" s="70"/>
      <c r="E83" s="70"/>
      <c r="F83" s="70"/>
    </row>
    <row r="84" spans="1:6" x14ac:dyDescent="0.35">
      <c r="A84" s="70"/>
      <c r="B84" s="70"/>
      <c r="C84" s="70"/>
      <c r="D84" s="70"/>
      <c r="E84" s="70"/>
      <c r="F84" s="70"/>
    </row>
    <row r="85" spans="1:6" x14ac:dyDescent="0.35">
      <c r="A85" s="70"/>
      <c r="B85" s="70"/>
      <c r="C85" s="70"/>
      <c r="D85" s="70"/>
      <c r="E85" s="70"/>
      <c r="F85" s="70"/>
    </row>
    <row r="86" spans="1:6" x14ac:dyDescent="0.35">
      <c r="A86" s="70"/>
      <c r="B86" s="70"/>
      <c r="C86" s="70"/>
      <c r="D86" s="70"/>
      <c r="E86" s="70"/>
      <c r="F86" s="70"/>
    </row>
    <row r="87" spans="1:6" x14ac:dyDescent="0.35">
      <c r="A87" s="70"/>
      <c r="B87" s="70"/>
      <c r="C87" s="70"/>
      <c r="D87" s="70"/>
      <c r="E87" s="70"/>
      <c r="F87" s="70"/>
    </row>
    <row r="88" spans="1:6" x14ac:dyDescent="0.35">
      <c r="A88" s="70"/>
      <c r="B88" s="70"/>
      <c r="C88" s="70"/>
      <c r="D88" s="70"/>
      <c r="E88" s="70"/>
      <c r="F88" s="70"/>
    </row>
    <row r="89" spans="1:6" x14ac:dyDescent="0.35">
      <c r="A89" s="70"/>
      <c r="B89" s="70"/>
      <c r="C89" s="70"/>
      <c r="D89" s="70"/>
      <c r="E89" s="70"/>
      <c r="F89" s="70"/>
    </row>
    <row r="90" spans="1:6" x14ac:dyDescent="0.35">
      <c r="A90" s="70"/>
      <c r="B90" s="70"/>
      <c r="C90" s="70"/>
      <c r="D90" s="70"/>
      <c r="E90" s="70"/>
      <c r="F90" s="70"/>
    </row>
    <row r="91" spans="1:6" x14ac:dyDescent="0.35">
      <c r="A91" s="70"/>
      <c r="B91" s="70"/>
      <c r="C91" s="70"/>
      <c r="D91" s="70"/>
      <c r="E91" s="70"/>
      <c r="F91" s="70"/>
    </row>
    <row r="92" spans="1:6" x14ac:dyDescent="0.35">
      <c r="A92" s="70"/>
      <c r="B92" s="70"/>
      <c r="C92" s="70"/>
      <c r="D92" s="70"/>
      <c r="E92" s="70"/>
      <c r="F92" s="70"/>
    </row>
    <row r="93" spans="1:6" x14ac:dyDescent="0.35">
      <c r="A93" s="70"/>
      <c r="B93" s="70"/>
      <c r="C93" s="70"/>
      <c r="D93" s="70"/>
      <c r="E93" s="70"/>
      <c r="F93" s="70"/>
    </row>
    <row r="94" spans="1:6" x14ac:dyDescent="0.35">
      <c r="A94" s="70"/>
      <c r="B94" s="70"/>
      <c r="C94" s="70"/>
      <c r="D94" s="70"/>
      <c r="E94" s="70"/>
      <c r="F94" s="70"/>
    </row>
    <row r="95" spans="1:6" x14ac:dyDescent="0.35">
      <c r="A95" s="70"/>
      <c r="B95" s="70"/>
      <c r="C95" s="70"/>
      <c r="D95" s="70"/>
      <c r="E95" s="70"/>
      <c r="F95" s="70"/>
    </row>
    <row r="96" spans="1:6" x14ac:dyDescent="0.35">
      <c r="A96" s="70"/>
      <c r="B96" s="70"/>
      <c r="C96" s="70"/>
      <c r="D96" s="70"/>
      <c r="E96" s="70"/>
      <c r="F96" s="70"/>
    </row>
    <row r="97" spans="1:6" x14ac:dyDescent="0.35">
      <c r="A97" s="70"/>
      <c r="B97" s="70"/>
      <c r="C97" s="70"/>
      <c r="D97" s="70"/>
      <c r="E97" s="70"/>
      <c r="F97" s="70"/>
    </row>
    <row r="98" spans="1:6" x14ac:dyDescent="0.35">
      <c r="A98" s="70"/>
      <c r="B98" s="70"/>
      <c r="C98" s="70"/>
      <c r="D98" s="70"/>
      <c r="E98" s="70"/>
      <c r="F98" s="70"/>
    </row>
    <row r="99" spans="1:6" x14ac:dyDescent="0.35">
      <c r="A99" s="70"/>
      <c r="B99" s="70"/>
      <c r="C99" s="70"/>
      <c r="D99" s="70"/>
      <c r="E99" s="70"/>
      <c r="F99" s="70"/>
    </row>
    <row r="100" spans="1:6" x14ac:dyDescent="0.35">
      <c r="A100" s="70"/>
      <c r="B100" s="70"/>
      <c r="C100" s="70"/>
      <c r="D100" s="70"/>
      <c r="E100" s="70"/>
      <c r="F100" s="70"/>
    </row>
    <row r="101" spans="1:6" x14ac:dyDescent="0.35">
      <c r="A101" s="70"/>
      <c r="B101" s="70"/>
      <c r="C101" s="70"/>
      <c r="D101" s="70"/>
      <c r="E101" s="70"/>
      <c r="F101" s="70"/>
    </row>
    <row r="102" spans="1:6" x14ac:dyDescent="0.35">
      <c r="A102" s="70"/>
      <c r="B102" s="70"/>
      <c r="C102" s="70"/>
      <c r="D102" s="70"/>
      <c r="E102" s="70"/>
      <c r="F102" s="70"/>
    </row>
    <row r="103" spans="1:6" x14ac:dyDescent="0.35">
      <c r="A103" s="70"/>
      <c r="B103" s="70"/>
      <c r="C103" s="70"/>
      <c r="D103" s="70"/>
      <c r="E103" s="70"/>
      <c r="F103" s="70"/>
    </row>
    <row r="104" spans="1:6" x14ac:dyDescent="0.35">
      <c r="A104" s="70"/>
      <c r="B104" s="70"/>
      <c r="C104" s="70"/>
      <c r="D104" s="70"/>
      <c r="E104" s="70"/>
      <c r="F104" s="70"/>
    </row>
    <row r="105" spans="1:6" x14ac:dyDescent="0.35">
      <c r="A105" s="70"/>
      <c r="B105" s="70"/>
      <c r="C105" s="70"/>
      <c r="D105" s="70"/>
      <c r="E105" s="70"/>
      <c r="F105" s="70"/>
    </row>
    <row r="106" spans="1:6" x14ac:dyDescent="0.35">
      <c r="A106" s="70"/>
      <c r="B106" s="70"/>
      <c r="C106" s="70"/>
      <c r="D106" s="70"/>
      <c r="E106" s="70"/>
      <c r="F106" s="70"/>
    </row>
    <row r="107" spans="1:6" x14ac:dyDescent="0.35">
      <c r="A107" s="70"/>
      <c r="B107" s="70"/>
      <c r="C107" s="70"/>
      <c r="D107" s="70"/>
      <c r="E107" s="70"/>
      <c r="F107" s="70"/>
    </row>
    <row r="108" spans="1:6" x14ac:dyDescent="0.35">
      <c r="A108" s="70"/>
      <c r="B108" s="70"/>
      <c r="C108" s="70"/>
      <c r="D108" s="70"/>
      <c r="E108" s="70"/>
      <c r="F108" s="70"/>
    </row>
    <row r="109" spans="1:6" x14ac:dyDescent="0.35">
      <c r="A109" s="70"/>
      <c r="B109" s="70"/>
      <c r="C109" s="70"/>
      <c r="D109" s="70"/>
      <c r="E109" s="70"/>
      <c r="F109" s="70"/>
    </row>
    <row r="110" spans="1:6" x14ac:dyDescent="0.35">
      <c r="A110" s="70"/>
      <c r="B110" s="70"/>
      <c r="C110" s="70"/>
      <c r="D110" s="70"/>
      <c r="E110" s="70"/>
      <c r="F110" s="70"/>
    </row>
    <row r="111" spans="1:6" x14ac:dyDescent="0.35">
      <c r="A111" s="70"/>
      <c r="B111" s="70"/>
      <c r="C111" s="70"/>
      <c r="D111" s="70"/>
      <c r="E111" s="70"/>
      <c r="F111" s="70"/>
    </row>
  </sheetData>
  <mergeCells count="2">
    <mergeCell ref="B3:F3"/>
    <mergeCell ref="B29:F29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1EA7-5972-4354-B2B6-C98DA8D981DF}">
  <dimension ref="A1:H111"/>
  <sheetViews>
    <sheetView topLeftCell="A4" workbookViewId="0">
      <selection activeCell="D8" sqref="D8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13" t="s">
        <v>95</v>
      </c>
    </row>
    <row r="2" spans="1:7" x14ac:dyDescent="0.35">
      <c r="B2" s="94" t="s">
        <v>10</v>
      </c>
      <c r="C2" s="83">
        <v>2025</v>
      </c>
    </row>
    <row r="3" spans="1:7" ht="21" x14ac:dyDescent="0.5">
      <c r="B3" s="156" t="s">
        <v>107</v>
      </c>
      <c r="C3" s="157"/>
      <c r="D3" s="157"/>
      <c r="E3" s="157"/>
      <c r="F3" s="157"/>
    </row>
    <row r="5" spans="1:7" ht="15" thickBot="1" x14ac:dyDescent="0.4"/>
    <row r="6" spans="1:7" ht="37.5" thickTop="1" x14ac:dyDescent="0.45">
      <c r="A6" s="21" t="s">
        <v>108</v>
      </c>
      <c r="B6" s="23" t="s">
        <v>26</v>
      </c>
      <c r="C6" s="22" t="s">
        <v>27</v>
      </c>
      <c r="D6" s="23" t="s">
        <v>28</v>
      </c>
      <c r="E6" s="23" t="s">
        <v>29</v>
      </c>
      <c r="F6" s="24" t="s">
        <v>30</v>
      </c>
    </row>
    <row r="7" spans="1:7" ht="18.5" x14ac:dyDescent="0.45">
      <c r="A7" s="34"/>
      <c r="B7" s="36"/>
      <c r="C7" s="35"/>
      <c r="D7" s="36"/>
      <c r="E7" s="36"/>
      <c r="F7" s="37"/>
    </row>
    <row r="8" spans="1:7" x14ac:dyDescent="0.35">
      <c r="A8" s="61">
        <f ca="1">'BILAN 2025'!A8</f>
        <v>1</v>
      </c>
      <c r="B8" s="61" t="str">
        <f ca="1">'BILAN 2025'!B8</f>
        <v>FONDS DE CAISSE ET RECONDUCTION</v>
      </c>
      <c r="C8" s="61">
        <f>SYNTHESECOMPTE!C5</f>
        <v>30596797</v>
      </c>
      <c r="D8" s="61">
        <f>DETAILFICHECASSATION!C44+DETAILFICHECASSATION!D44</f>
        <v>30596797</v>
      </c>
      <c r="E8" s="40">
        <f>7077869-6896797</f>
        <v>181072</v>
      </c>
      <c r="F8" s="26">
        <f>C8+D8-E8</f>
        <v>61012522</v>
      </c>
      <c r="G8" s="27"/>
    </row>
    <row r="9" spans="1:7" x14ac:dyDescent="0.35">
      <c r="A9" s="61">
        <f ca="1">'BILAN 2025'!A9</f>
        <v>2</v>
      </c>
      <c r="B9" s="61" t="str">
        <f ca="1">'BILAN 2025'!B9</f>
        <v>FONDS DE ROULEMENT</v>
      </c>
      <c r="C9" s="61">
        <f>SYNTHESECOMPTE!C6</f>
        <v>2293228</v>
      </c>
      <c r="D9" s="61">
        <f ca="1">'BILAN 2025'!D9</f>
        <v>384000</v>
      </c>
      <c r="E9" s="40">
        <f ca="1">'BILAN 2025'!E9</f>
        <v>251000</v>
      </c>
      <c r="F9" s="26">
        <f t="shared" ref="F9:F19" ca="1" si="0">C9+D9-E9</f>
        <v>2293228</v>
      </c>
      <c r="G9" s="27"/>
    </row>
    <row r="10" spans="1:7" x14ac:dyDescent="0.35">
      <c r="A10" s="61">
        <f ca="1">'BILAN 2025'!A10</f>
        <v>3</v>
      </c>
      <c r="B10" s="61" t="str">
        <f ca="1">'BILAN 2025'!B10</f>
        <v>FRAIS EXCEPTIONNELS</v>
      </c>
      <c r="C10" s="61">
        <f>SYNTHESECOMPTE!C7</f>
        <v>462960</v>
      </c>
      <c r="D10" s="61">
        <f ca="1">'BILAN 2025'!D10</f>
        <v>384000</v>
      </c>
      <c r="E10" s="40">
        <f ca="1">'BILAN 2025'!E10</f>
        <v>0</v>
      </c>
      <c r="F10" s="26">
        <f t="shared" ca="1" si="0"/>
        <v>1422460</v>
      </c>
      <c r="G10" s="27"/>
    </row>
    <row r="11" spans="1:7" x14ac:dyDescent="0.35">
      <c r="A11" s="61">
        <f ca="1">'BILAN 2025'!A11</f>
        <v>4</v>
      </c>
      <c r="B11" s="61" t="str">
        <f ca="1">'BILAN 2025'!B11</f>
        <v>MUTUELLE\COMPLEMENT MUTUEL</v>
      </c>
      <c r="C11" s="61">
        <f>SYNTHESECOMPTE!C8</f>
        <v>1654762</v>
      </c>
      <c r="D11" s="61">
        <f ca="1">'BILAN 2025'!D11</f>
        <v>240000</v>
      </c>
      <c r="E11" s="40">
        <f ca="1">'BILAN 2025'!E11</f>
        <v>200000</v>
      </c>
      <c r="F11" s="26">
        <f t="shared" ca="1" si="0"/>
        <v>854762</v>
      </c>
      <c r="G11" s="27"/>
    </row>
    <row r="12" spans="1:7" x14ac:dyDescent="0.35">
      <c r="A12" s="61">
        <f ca="1">'BILAN 2025'!A12</f>
        <v>5</v>
      </c>
      <c r="B12" s="61" t="str">
        <f ca="1">'BILAN 2025'!B12</f>
        <v>INSCRIPTION</v>
      </c>
      <c r="C12" s="61">
        <f>SYNTHESECOMPTE!C9</f>
        <v>830000</v>
      </c>
      <c r="D12" s="61">
        <f ca="1">'BILAN 2025'!D12</f>
        <v>75000</v>
      </c>
      <c r="E12" s="40">
        <f ca="1">'BILAN 2025'!E12</f>
        <v>0</v>
      </c>
      <c r="F12" s="26">
        <f t="shared" ca="1" si="0"/>
        <v>830000</v>
      </c>
      <c r="G12" s="27"/>
    </row>
    <row r="13" spans="1:7" x14ac:dyDescent="0.35">
      <c r="A13" s="61">
        <f ca="1">'BILAN 2025'!A13</f>
        <v>6</v>
      </c>
      <c r="B13" s="61" t="str">
        <f ca="1">'BILAN 2025'!B13</f>
        <v>PENALITES PAIEMENT ESPECES</v>
      </c>
      <c r="C13" s="61">
        <f>SYNTHESECOMPTE!C10</f>
        <v>940025</v>
      </c>
      <c r="D13" s="61">
        <f ca="1">'BILAN 2025'!D13</f>
        <v>93000</v>
      </c>
      <c r="E13" s="40">
        <f ca="1">'BILAN 2025'!E13</f>
        <v>0</v>
      </c>
      <c r="F13" s="26">
        <f t="shared" ca="1" si="0"/>
        <v>940025</v>
      </c>
      <c r="G13" s="27"/>
    </row>
    <row r="14" spans="1:7" x14ac:dyDescent="0.35">
      <c r="A14" s="61">
        <f ca="1">'BILAN 2025'!A14</f>
        <v>7</v>
      </c>
      <c r="B14" s="14" t="s">
        <v>51</v>
      </c>
      <c r="C14" s="61">
        <f>SYNTHESECOMPTE!C11</f>
        <v>10750</v>
      </c>
      <c r="D14" s="61">
        <f ca="1">'BILAN 2025'!D14</f>
        <v>3750</v>
      </c>
      <c r="E14" s="40">
        <f ca="1">'BILAN 2025'!E14</f>
        <v>0</v>
      </c>
      <c r="F14" s="26">
        <f t="shared" ca="1" si="0"/>
        <v>10750</v>
      </c>
      <c r="G14" s="27"/>
    </row>
    <row r="15" spans="1:7" x14ac:dyDescent="0.35">
      <c r="A15" s="61">
        <f ca="1">'BILAN 2025'!A15</f>
        <v>8</v>
      </c>
      <c r="B15" s="61" t="str">
        <f ca="1">'BILAN 2025'!B15</f>
        <v>COLLATION</v>
      </c>
      <c r="C15" s="61">
        <f>SYNTHESECOMPTE!C12</f>
        <v>1962525</v>
      </c>
      <c r="D15" s="61">
        <f ca="1">'BILAN 2025'!D15</f>
        <v>1536000</v>
      </c>
      <c r="E15" s="40">
        <f ca="1">'BILAN 2025'!E15</f>
        <v>1200000</v>
      </c>
      <c r="F15" s="26">
        <f t="shared" ca="1" si="0"/>
        <v>1968525</v>
      </c>
      <c r="G15" s="27"/>
    </row>
    <row r="16" spans="1:7" x14ac:dyDescent="0.35">
      <c r="A16" s="61">
        <f ca="1">'BILAN 2025'!A16</f>
        <v>9</v>
      </c>
      <c r="B16" s="61" t="s">
        <v>168</v>
      </c>
      <c r="C16" s="61">
        <f>SYNTHESECOMPTE!C13</f>
        <v>135828</v>
      </c>
      <c r="D16" s="61">
        <v>11701</v>
      </c>
      <c r="E16" s="40"/>
      <c r="F16" s="26">
        <f t="shared" si="0"/>
        <v>147529</v>
      </c>
      <c r="G16" s="27"/>
    </row>
    <row r="17" spans="1:8" x14ac:dyDescent="0.35">
      <c r="A17" s="61">
        <f ca="1">'BILAN 2025'!A17</f>
        <v>10</v>
      </c>
      <c r="B17" s="61" t="str">
        <f>'[16]BILAN 2024'!B18</f>
        <v>FOYER</v>
      </c>
      <c r="C17" s="61">
        <f>SYNTHESECOMPTE!C14</f>
        <v>371000</v>
      </c>
      <c r="D17" s="61">
        <f>'BILAN 2025'!D18</f>
        <v>0</v>
      </c>
      <c r="E17" s="40">
        <f>'BILAN 2025'!E18</f>
        <v>0</v>
      </c>
      <c r="F17" s="26">
        <f t="shared" si="0"/>
        <v>371000</v>
      </c>
      <c r="G17" s="27"/>
    </row>
    <row r="18" spans="1:8" x14ac:dyDescent="0.35">
      <c r="A18" s="61">
        <f ca="1">'BILAN 2025'!A18</f>
        <v>11</v>
      </c>
      <c r="B18" s="61" t="str">
        <f>'[16]BILAN 2024'!B23</f>
        <v>INTERETS ET AUTRES</v>
      </c>
      <c r="C18" s="61">
        <f>SYNTHESECOMPTE!C17</f>
        <v>0</v>
      </c>
      <c r="D18" s="61">
        <f>'BILAN 2025'!D23</f>
        <v>0</v>
      </c>
      <c r="E18" s="40">
        <f>'BILAN 2025'!E23</f>
        <v>0</v>
      </c>
      <c r="F18" s="26">
        <f t="shared" si="0"/>
        <v>0</v>
      </c>
      <c r="G18" s="27"/>
    </row>
    <row r="19" spans="1:8" x14ac:dyDescent="0.35">
      <c r="A19" s="129">
        <v>12</v>
      </c>
      <c r="B19" s="61" t="s">
        <v>179</v>
      </c>
      <c r="C19" s="61">
        <f>SYNTHESECOMPTE!C15</f>
        <v>-15300000</v>
      </c>
      <c r="D19" s="61"/>
      <c r="E19" s="40">
        <v>9300000</v>
      </c>
      <c r="F19" s="26">
        <f t="shared" si="0"/>
        <v>-24600000</v>
      </c>
      <c r="G19" s="27"/>
    </row>
    <row r="20" spans="1:8" x14ac:dyDescent="0.35">
      <c r="A20" s="19"/>
      <c r="B20" s="14"/>
      <c r="C20" s="61"/>
      <c r="D20" s="61"/>
      <c r="E20" s="40"/>
      <c r="F20" s="26"/>
      <c r="G20" s="27"/>
    </row>
    <row r="21" spans="1:8" x14ac:dyDescent="0.35">
      <c r="A21" s="19"/>
      <c r="B21" s="14"/>
      <c r="C21" s="61"/>
      <c r="D21" s="61"/>
      <c r="E21" s="40"/>
      <c r="F21" s="26"/>
      <c r="G21" s="27"/>
    </row>
    <row r="22" spans="1:8" x14ac:dyDescent="0.35">
      <c r="A22" s="19"/>
      <c r="B22" s="14"/>
      <c r="C22" s="61"/>
      <c r="D22" s="61"/>
      <c r="E22" s="40"/>
      <c r="F22" s="26"/>
      <c r="G22" s="27"/>
    </row>
    <row r="23" spans="1:8" x14ac:dyDescent="0.35">
      <c r="A23" s="19"/>
      <c r="B23" s="14"/>
      <c r="C23" s="61"/>
      <c r="D23" s="61"/>
      <c r="E23" s="40"/>
      <c r="F23" s="26"/>
      <c r="G23" s="27"/>
    </row>
    <row r="24" spans="1:8" x14ac:dyDescent="0.35">
      <c r="A24" s="19"/>
      <c r="B24" s="14"/>
      <c r="C24" s="61"/>
      <c r="D24" s="61"/>
      <c r="E24" s="40"/>
      <c r="F24" s="26"/>
      <c r="G24" s="27"/>
    </row>
    <row r="25" spans="1:8" x14ac:dyDescent="0.35">
      <c r="A25" s="19"/>
      <c r="B25" s="14"/>
      <c r="C25" s="61"/>
      <c r="D25" s="61"/>
      <c r="E25" s="40"/>
      <c r="F25" s="26"/>
      <c r="G25" s="27"/>
    </row>
    <row r="26" spans="1:8" x14ac:dyDescent="0.35">
      <c r="A26" s="19"/>
      <c r="B26" s="33"/>
      <c r="C26" s="25"/>
      <c r="D26" s="25"/>
      <c r="E26" s="40"/>
      <c r="F26" s="26"/>
      <c r="G26" s="27"/>
    </row>
    <row r="27" spans="1:8" ht="20.5" thickBot="1" x14ac:dyDescent="0.45">
      <c r="A27" s="67"/>
      <c r="B27" s="68" t="s">
        <v>23</v>
      </c>
      <c r="C27" s="69">
        <f>SUM(C8:C26)</f>
        <v>23957875</v>
      </c>
      <c r="D27" s="69" t="e">
        <f ca="1">SUM(D8:D26)</f>
        <v>#N/A</v>
      </c>
      <c r="E27" s="69"/>
      <c r="F27" s="87"/>
      <c r="G27" s="27"/>
      <c r="H27" s="27"/>
    </row>
    <row r="28" spans="1:8" ht="15" thickTop="1" x14ac:dyDescent="0.35">
      <c r="A28" s="70"/>
      <c r="B28" s="71"/>
      <c r="C28" s="72"/>
      <c r="D28" s="72"/>
      <c r="E28" s="72"/>
      <c r="F28" s="72"/>
      <c r="G28" s="27"/>
    </row>
    <row r="29" spans="1:8" ht="23.5" x14ac:dyDescent="0.55000000000000004">
      <c r="B29" s="158" t="s">
        <v>119</v>
      </c>
      <c r="C29" s="159"/>
      <c r="D29" s="159"/>
      <c r="E29" s="159"/>
      <c r="F29" s="159"/>
      <c r="G29" s="70"/>
    </row>
    <row r="30" spans="1:8" x14ac:dyDescent="0.35">
      <c r="A30" s="70"/>
      <c r="B30" s="71"/>
      <c r="C30" s="72"/>
      <c r="D30" s="72"/>
      <c r="E30" s="73"/>
      <c r="F30" s="72"/>
      <c r="G30" s="27"/>
    </row>
    <row r="31" spans="1:8" x14ac:dyDescent="0.35">
      <c r="A31" s="70"/>
      <c r="B31" s="71"/>
      <c r="C31" s="72"/>
      <c r="D31" s="72"/>
      <c r="E31" s="73"/>
      <c r="F31" s="72"/>
      <c r="G31" s="27"/>
    </row>
    <row r="32" spans="1:8" ht="15" thickBot="1" x14ac:dyDescent="0.4">
      <c r="A32" s="70"/>
      <c r="B32" s="71"/>
      <c r="C32" s="72">
        <v>2023</v>
      </c>
      <c r="D32" s="72">
        <v>2024</v>
      </c>
      <c r="E32" s="73"/>
      <c r="F32" s="72"/>
      <c r="G32" s="27"/>
    </row>
    <row r="33" spans="1:8" ht="15" thickTop="1" x14ac:dyDescent="0.35">
      <c r="A33" s="74">
        <v>1</v>
      </c>
      <c r="B33" s="75" t="s">
        <v>120</v>
      </c>
      <c r="C33" s="76">
        <v>4337431</v>
      </c>
      <c r="D33" s="77"/>
      <c r="E33" s="73"/>
      <c r="F33" s="72"/>
      <c r="G33" s="27"/>
    </row>
    <row r="34" spans="1:8" x14ac:dyDescent="0.35">
      <c r="A34" s="19">
        <v>2</v>
      </c>
      <c r="B34" s="14" t="s">
        <v>121</v>
      </c>
      <c r="C34" s="61">
        <v>630005</v>
      </c>
      <c r="D34" s="78">
        <f>C34+10000</f>
        <v>640005</v>
      </c>
      <c r="E34" s="73"/>
      <c r="F34" s="72"/>
      <c r="G34" s="27"/>
      <c r="H34" s="27"/>
    </row>
    <row r="35" spans="1:8" x14ac:dyDescent="0.35">
      <c r="A35" s="19">
        <v>3</v>
      </c>
      <c r="B35" s="14" t="s">
        <v>42</v>
      </c>
      <c r="C35" s="61">
        <v>1423702</v>
      </c>
      <c r="D35" s="78">
        <v>5265069</v>
      </c>
      <c r="E35" s="73"/>
      <c r="F35" s="72"/>
      <c r="G35" s="27"/>
    </row>
    <row r="36" spans="1:8" x14ac:dyDescent="0.35">
      <c r="A36" s="19">
        <v>4</v>
      </c>
      <c r="B36" s="14" t="s">
        <v>122</v>
      </c>
      <c r="C36" s="61">
        <v>744700</v>
      </c>
      <c r="D36" s="78"/>
      <c r="E36" s="73"/>
      <c r="F36" s="72"/>
      <c r="G36" s="27"/>
    </row>
    <row r="37" spans="1:8" x14ac:dyDescent="0.35">
      <c r="A37" s="19">
        <v>5</v>
      </c>
      <c r="B37" s="14" t="s">
        <v>123</v>
      </c>
      <c r="C37" s="61">
        <v>0</v>
      </c>
      <c r="D37" s="78"/>
      <c r="E37" s="72"/>
      <c r="F37" s="72"/>
      <c r="G37" s="27"/>
    </row>
    <row r="38" spans="1:8" x14ac:dyDescent="0.35">
      <c r="A38" s="19">
        <v>6</v>
      </c>
      <c r="B38" s="14" t="s">
        <v>124</v>
      </c>
      <c r="C38" s="61">
        <v>154000</v>
      </c>
      <c r="D38" s="78"/>
      <c r="E38" s="72"/>
      <c r="F38" s="72"/>
      <c r="G38" s="27"/>
    </row>
    <row r="39" spans="1:8" x14ac:dyDescent="0.35">
      <c r="A39" s="19">
        <v>7</v>
      </c>
      <c r="B39" s="14" t="s">
        <v>125</v>
      </c>
      <c r="C39" s="61">
        <v>18658500</v>
      </c>
      <c r="D39" s="78">
        <f>'DETAIL PRETENCIRCULATION'!C46+'DETAIL PRETENCIRCULATION'!C56</f>
        <v>19060901.371297143</v>
      </c>
      <c r="E39" s="72"/>
      <c r="F39" s="72"/>
      <c r="G39" s="27"/>
    </row>
    <row r="40" spans="1:8" x14ac:dyDescent="0.35">
      <c r="A40" s="19">
        <v>8</v>
      </c>
      <c r="B40" s="14" t="s">
        <v>126</v>
      </c>
      <c r="C40" s="61">
        <v>656618</v>
      </c>
      <c r="D40" s="78"/>
      <c r="E40" s="73"/>
      <c r="F40" s="72"/>
      <c r="G40" s="27"/>
    </row>
    <row r="41" spans="1:8" x14ac:dyDescent="0.35">
      <c r="A41" s="19"/>
      <c r="B41" s="14"/>
      <c r="C41" s="25"/>
      <c r="D41" s="26"/>
      <c r="E41" s="73"/>
      <c r="F41" s="72"/>
      <c r="G41" s="27"/>
    </row>
    <row r="42" spans="1:8" ht="15" thickBot="1" x14ac:dyDescent="0.4">
      <c r="A42" s="67"/>
      <c r="B42" s="57" t="s">
        <v>23</v>
      </c>
      <c r="C42" s="38">
        <f>SUM(C33:C41)</f>
        <v>26604956</v>
      </c>
      <c r="D42" s="32">
        <f>SUM(D33:D41)</f>
        <v>24965975.371297143</v>
      </c>
      <c r="E42" s="79"/>
      <c r="F42" s="72"/>
      <c r="G42" s="30"/>
    </row>
    <row r="43" spans="1:8" ht="15" thickTop="1" x14ac:dyDescent="0.35">
      <c r="A43" s="70"/>
      <c r="B43" s="70"/>
      <c r="C43" s="80"/>
      <c r="D43" s="80"/>
      <c r="E43" s="79"/>
      <c r="F43" s="72"/>
      <c r="G43" s="27"/>
    </row>
    <row r="44" spans="1:8" x14ac:dyDescent="0.35">
      <c r="A44" s="70"/>
      <c r="B44" s="70"/>
      <c r="C44" s="72"/>
      <c r="D44" s="72"/>
      <c r="E44" s="73"/>
      <c r="F44" s="72"/>
      <c r="G44" s="27"/>
    </row>
    <row r="45" spans="1:8" x14ac:dyDescent="0.35">
      <c r="A45" s="70"/>
      <c r="B45" s="71"/>
      <c r="C45" s="80"/>
      <c r="D45" s="72"/>
      <c r="E45" s="73"/>
      <c r="F45" s="72"/>
      <c r="G45" s="27"/>
    </row>
    <row r="46" spans="1:8" x14ac:dyDescent="0.35">
      <c r="A46" s="70"/>
      <c r="B46" s="71"/>
      <c r="C46" s="80"/>
      <c r="D46" s="70"/>
      <c r="E46" s="73"/>
      <c r="F46" s="72"/>
      <c r="G46" s="27"/>
    </row>
    <row r="47" spans="1:8" x14ac:dyDescent="0.35">
      <c r="A47" s="70"/>
      <c r="B47" s="71"/>
      <c r="C47" s="80"/>
      <c r="D47" s="72"/>
      <c r="E47" s="79"/>
      <c r="F47" s="72"/>
      <c r="G47" s="27"/>
    </row>
    <row r="48" spans="1:8" x14ac:dyDescent="0.35">
      <c r="A48" s="70"/>
      <c r="B48" s="71"/>
      <c r="C48" s="80"/>
      <c r="D48" s="72"/>
      <c r="E48" s="79"/>
      <c r="F48" s="72"/>
      <c r="G48" s="27"/>
    </row>
    <row r="49" spans="1:7" x14ac:dyDescent="0.35">
      <c r="A49" s="70"/>
      <c r="B49" s="71"/>
      <c r="C49" s="80"/>
      <c r="D49" s="72"/>
      <c r="E49" s="79"/>
      <c r="F49" s="72"/>
      <c r="G49" s="27"/>
    </row>
    <row r="50" spans="1:7" x14ac:dyDescent="0.35">
      <c r="A50" s="70"/>
      <c r="B50" s="71"/>
      <c r="C50" s="80"/>
      <c r="D50" s="72"/>
      <c r="E50" s="79"/>
      <c r="F50" s="72"/>
      <c r="G50" s="27"/>
    </row>
    <row r="51" spans="1:7" x14ac:dyDescent="0.35">
      <c r="A51" s="70"/>
      <c r="B51" s="71"/>
      <c r="C51" s="70"/>
      <c r="D51" s="72"/>
      <c r="E51" s="73"/>
      <c r="F51" s="72"/>
      <c r="G51" s="27"/>
    </row>
    <row r="52" spans="1:7" x14ac:dyDescent="0.35">
      <c r="A52" s="70"/>
      <c r="B52" s="71"/>
      <c r="C52" s="70"/>
      <c r="D52" s="72"/>
      <c r="E52" s="81"/>
      <c r="F52" s="72"/>
      <c r="G52" s="27"/>
    </row>
    <row r="53" spans="1:7" x14ac:dyDescent="0.35">
      <c r="A53" s="70"/>
      <c r="B53" s="71"/>
      <c r="C53" s="72"/>
      <c r="D53" s="72"/>
      <c r="E53" s="81"/>
      <c r="F53" s="72"/>
      <c r="G53" s="27"/>
    </row>
    <row r="54" spans="1:7" x14ac:dyDescent="0.35">
      <c r="A54" s="70"/>
      <c r="B54" s="71"/>
      <c r="C54" s="70"/>
      <c r="D54" s="72"/>
      <c r="E54" s="79"/>
      <c r="F54" s="72"/>
      <c r="G54" s="27"/>
    </row>
    <row r="55" spans="1:7" x14ac:dyDescent="0.35">
      <c r="A55" s="70"/>
      <c r="B55" s="71"/>
      <c r="C55" s="80"/>
      <c r="D55" s="72"/>
      <c r="E55" s="79"/>
      <c r="F55" s="72"/>
      <c r="G55" s="27"/>
    </row>
    <row r="56" spans="1:7" x14ac:dyDescent="0.35">
      <c r="A56" s="70"/>
      <c r="B56" s="71"/>
      <c r="C56" s="80"/>
      <c r="D56" s="72"/>
      <c r="E56" s="73"/>
      <c r="F56" s="72"/>
      <c r="G56" s="27"/>
    </row>
    <row r="57" spans="1:7" x14ac:dyDescent="0.35">
      <c r="A57" s="70"/>
      <c r="B57" s="71"/>
      <c r="C57" s="80"/>
      <c r="D57" s="72"/>
      <c r="E57" s="79"/>
      <c r="F57" s="72"/>
      <c r="G57" s="27"/>
    </row>
    <row r="58" spans="1:7" x14ac:dyDescent="0.35">
      <c r="A58" s="70"/>
      <c r="B58" s="70"/>
      <c r="C58" s="70"/>
      <c r="D58" s="70"/>
      <c r="E58" s="81"/>
      <c r="F58" s="72"/>
    </row>
    <row r="59" spans="1:7" x14ac:dyDescent="0.35">
      <c r="A59" s="70"/>
      <c r="B59" s="70"/>
      <c r="C59" s="70"/>
      <c r="D59" s="70"/>
      <c r="E59" s="81"/>
      <c r="F59" s="70"/>
    </row>
    <row r="60" spans="1:7" ht="17.5" x14ac:dyDescent="0.35">
      <c r="A60" s="70"/>
      <c r="B60" s="71"/>
      <c r="C60" s="82"/>
      <c r="D60" s="82"/>
      <c r="E60" s="82"/>
      <c r="F60" s="82"/>
    </row>
    <row r="61" spans="1:7" x14ac:dyDescent="0.35">
      <c r="A61" s="70"/>
      <c r="B61" s="70"/>
      <c r="C61" s="70"/>
      <c r="D61" s="70"/>
      <c r="E61" s="70"/>
      <c r="F61" s="70"/>
    </row>
    <row r="62" spans="1:7" x14ac:dyDescent="0.35">
      <c r="A62" s="70"/>
      <c r="B62" s="70"/>
      <c r="C62" s="70"/>
      <c r="D62" s="70"/>
      <c r="E62" s="70"/>
      <c r="F62" s="70"/>
    </row>
    <row r="63" spans="1:7" x14ac:dyDescent="0.35">
      <c r="A63" s="70"/>
      <c r="B63" s="70"/>
      <c r="C63" s="70"/>
      <c r="D63" s="70"/>
      <c r="E63" s="70"/>
      <c r="F63" s="70"/>
    </row>
    <row r="64" spans="1:7" x14ac:dyDescent="0.35">
      <c r="A64" s="70"/>
      <c r="B64" s="70"/>
      <c r="C64" s="70"/>
      <c r="D64" s="70"/>
      <c r="E64" s="70"/>
      <c r="F64" s="70"/>
    </row>
    <row r="65" spans="1:6" x14ac:dyDescent="0.35">
      <c r="A65" s="70"/>
      <c r="B65" s="70"/>
      <c r="C65" s="70"/>
      <c r="D65" s="70"/>
      <c r="E65" s="70"/>
      <c r="F65" s="70"/>
    </row>
    <row r="66" spans="1:6" x14ac:dyDescent="0.35">
      <c r="A66" s="70"/>
      <c r="B66" s="70"/>
      <c r="C66" s="70"/>
      <c r="D66" s="70"/>
      <c r="E66" s="70"/>
      <c r="F66" s="70"/>
    </row>
    <row r="67" spans="1:6" x14ac:dyDescent="0.35">
      <c r="A67" s="70"/>
      <c r="B67" s="70"/>
      <c r="C67" s="70"/>
      <c r="D67" s="70"/>
      <c r="E67" s="70"/>
      <c r="F67" s="70"/>
    </row>
    <row r="68" spans="1:6" x14ac:dyDescent="0.35">
      <c r="A68" s="70"/>
      <c r="B68" s="70"/>
      <c r="C68" s="70"/>
      <c r="D68" s="70"/>
      <c r="E68" s="70"/>
      <c r="F68" s="70"/>
    </row>
    <row r="69" spans="1:6" x14ac:dyDescent="0.35">
      <c r="A69" s="70"/>
      <c r="B69" s="70"/>
      <c r="C69" s="70"/>
      <c r="D69" s="70"/>
      <c r="E69" s="70"/>
      <c r="F69" s="70"/>
    </row>
    <row r="70" spans="1:6" x14ac:dyDescent="0.35">
      <c r="A70" s="70"/>
      <c r="B70" s="70"/>
      <c r="C70" s="70"/>
      <c r="D70" s="70"/>
      <c r="E70" s="70"/>
      <c r="F70" s="70"/>
    </row>
    <row r="71" spans="1:6" x14ac:dyDescent="0.35">
      <c r="A71" s="70"/>
      <c r="B71" s="70"/>
      <c r="C71" s="70"/>
      <c r="D71" s="70"/>
      <c r="E71" s="70"/>
      <c r="F71" s="70"/>
    </row>
    <row r="72" spans="1:6" x14ac:dyDescent="0.35">
      <c r="A72" s="70"/>
      <c r="B72" s="70"/>
      <c r="C72" s="70"/>
      <c r="D72" s="70"/>
      <c r="E72" s="70"/>
      <c r="F72" s="70"/>
    </row>
    <row r="73" spans="1:6" x14ac:dyDescent="0.35">
      <c r="A73" s="70"/>
      <c r="B73" s="70"/>
      <c r="C73" s="70"/>
      <c r="D73" s="70"/>
      <c r="E73" s="70"/>
      <c r="F73" s="70"/>
    </row>
    <row r="74" spans="1:6" x14ac:dyDescent="0.35">
      <c r="A74" s="70"/>
      <c r="B74" s="70"/>
      <c r="C74" s="70"/>
      <c r="D74" s="70"/>
      <c r="E74" s="70"/>
      <c r="F74" s="70"/>
    </row>
    <row r="75" spans="1:6" x14ac:dyDescent="0.35">
      <c r="A75" s="70"/>
      <c r="B75" s="70"/>
      <c r="C75" s="70"/>
      <c r="D75" s="70"/>
      <c r="E75" s="70"/>
      <c r="F75" s="70"/>
    </row>
    <row r="76" spans="1:6" x14ac:dyDescent="0.35">
      <c r="A76" s="70"/>
      <c r="B76" s="70"/>
      <c r="C76" s="70"/>
      <c r="D76" s="70"/>
      <c r="E76" s="70"/>
      <c r="F76" s="70"/>
    </row>
    <row r="77" spans="1:6" x14ac:dyDescent="0.35">
      <c r="A77" s="70"/>
      <c r="B77" s="70"/>
      <c r="C77" s="70"/>
      <c r="D77" s="70"/>
      <c r="E77" s="70"/>
      <c r="F77" s="70"/>
    </row>
    <row r="78" spans="1:6" x14ac:dyDescent="0.35">
      <c r="A78" s="70"/>
      <c r="B78" s="70"/>
      <c r="C78" s="70"/>
      <c r="D78" s="70"/>
      <c r="E78" s="70"/>
      <c r="F78" s="70"/>
    </row>
    <row r="79" spans="1:6" x14ac:dyDescent="0.35">
      <c r="A79" s="70"/>
      <c r="B79" s="70"/>
      <c r="C79" s="70"/>
      <c r="D79" s="70"/>
      <c r="E79" s="70"/>
      <c r="F79" s="70"/>
    </row>
    <row r="80" spans="1:6" x14ac:dyDescent="0.35">
      <c r="A80" s="70"/>
      <c r="B80" s="70"/>
      <c r="C80" s="70"/>
      <c r="D80" s="70"/>
      <c r="E80" s="70"/>
      <c r="F80" s="70"/>
    </row>
    <row r="81" spans="1:6" x14ac:dyDescent="0.35">
      <c r="A81" s="70"/>
      <c r="B81" s="70"/>
      <c r="C81" s="70"/>
      <c r="D81" s="70"/>
      <c r="E81" s="70"/>
      <c r="F81" s="70"/>
    </row>
    <row r="82" spans="1:6" x14ac:dyDescent="0.35">
      <c r="A82" s="70"/>
      <c r="B82" s="70"/>
      <c r="C82" s="70"/>
      <c r="D82" s="70"/>
      <c r="E82" s="70"/>
      <c r="F82" s="70"/>
    </row>
    <row r="83" spans="1:6" x14ac:dyDescent="0.35">
      <c r="A83" s="70"/>
      <c r="B83" s="70"/>
      <c r="C83" s="70"/>
      <c r="D83" s="70"/>
      <c r="E83" s="70"/>
      <c r="F83" s="70"/>
    </row>
    <row r="84" spans="1:6" x14ac:dyDescent="0.35">
      <c r="A84" s="70"/>
      <c r="B84" s="70"/>
      <c r="C84" s="70"/>
      <c r="D84" s="70"/>
      <c r="E84" s="70"/>
      <c r="F84" s="70"/>
    </row>
    <row r="85" spans="1:6" x14ac:dyDescent="0.35">
      <c r="A85" s="70"/>
      <c r="B85" s="70"/>
      <c r="C85" s="70"/>
      <c r="D85" s="70"/>
      <c r="E85" s="70"/>
      <c r="F85" s="70"/>
    </row>
    <row r="86" spans="1:6" x14ac:dyDescent="0.35">
      <c r="A86" s="70"/>
      <c r="B86" s="70"/>
      <c r="C86" s="70"/>
      <c r="D86" s="70"/>
      <c r="E86" s="70"/>
      <c r="F86" s="70"/>
    </row>
    <row r="87" spans="1:6" x14ac:dyDescent="0.35">
      <c r="A87" s="70"/>
      <c r="B87" s="70"/>
      <c r="C87" s="70"/>
      <c r="D87" s="70"/>
      <c r="E87" s="70"/>
      <c r="F87" s="70"/>
    </row>
    <row r="88" spans="1:6" x14ac:dyDescent="0.35">
      <c r="A88" s="70"/>
      <c r="B88" s="70"/>
      <c r="C88" s="70"/>
      <c r="D88" s="70"/>
      <c r="E88" s="70"/>
      <c r="F88" s="70"/>
    </row>
    <row r="89" spans="1:6" x14ac:dyDescent="0.35">
      <c r="A89" s="70"/>
      <c r="B89" s="70"/>
      <c r="C89" s="70"/>
      <c r="D89" s="70"/>
      <c r="E89" s="70"/>
      <c r="F89" s="70"/>
    </row>
    <row r="90" spans="1:6" x14ac:dyDescent="0.35">
      <c r="A90" s="70"/>
      <c r="B90" s="70"/>
      <c r="C90" s="70"/>
      <c r="D90" s="70"/>
      <c r="E90" s="70"/>
      <c r="F90" s="70"/>
    </row>
    <row r="91" spans="1:6" x14ac:dyDescent="0.35">
      <c r="A91" s="70"/>
      <c r="B91" s="70"/>
      <c r="C91" s="70"/>
      <c r="D91" s="70"/>
      <c r="E91" s="70"/>
      <c r="F91" s="70"/>
    </row>
    <row r="92" spans="1:6" x14ac:dyDescent="0.35">
      <c r="A92" s="70"/>
      <c r="B92" s="70"/>
      <c r="C92" s="70"/>
      <c r="D92" s="70"/>
      <c r="E92" s="70"/>
      <c r="F92" s="70"/>
    </row>
    <row r="93" spans="1:6" x14ac:dyDescent="0.35">
      <c r="A93" s="70"/>
      <c r="B93" s="70"/>
      <c r="C93" s="70"/>
      <c r="D93" s="70"/>
      <c r="E93" s="70"/>
      <c r="F93" s="70"/>
    </row>
    <row r="94" spans="1:6" x14ac:dyDescent="0.35">
      <c r="A94" s="70"/>
      <c r="B94" s="70"/>
      <c r="C94" s="70"/>
      <c r="D94" s="70"/>
      <c r="E94" s="70"/>
      <c r="F94" s="70"/>
    </row>
    <row r="95" spans="1:6" x14ac:dyDescent="0.35">
      <c r="A95" s="70"/>
      <c r="B95" s="70"/>
      <c r="C95" s="70"/>
      <c r="D95" s="70"/>
      <c r="E95" s="70"/>
      <c r="F95" s="70"/>
    </row>
    <row r="96" spans="1:6" x14ac:dyDescent="0.35">
      <c r="A96" s="70"/>
      <c r="B96" s="70"/>
      <c r="C96" s="70"/>
      <c r="D96" s="70"/>
      <c r="E96" s="70"/>
      <c r="F96" s="70"/>
    </row>
    <row r="97" spans="1:6" x14ac:dyDescent="0.35">
      <c r="A97" s="70"/>
      <c r="B97" s="70"/>
      <c r="C97" s="70"/>
      <c r="D97" s="70"/>
      <c r="E97" s="70"/>
      <c r="F97" s="70"/>
    </row>
    <row r="98" spans="1:6" x14ac:dyDescent="0.35">
      <c r="A98" s="70"/>
      <c r="B98" s="70"/>
      <c r="C98" s="70"/>
      <c r="D98" s="70"/>
      <c r="E98" s="70"/>
      <c r="F98" s="70"/>
    </row>
    <row r="99" spans="1:6" x14ac:dyDescent="0.35">
      <c r="A99" s="70"/>
      <c r="B99" s="70"/>
      <c r="C99" s="70"/>
      <c r="D99" s="70"/>
      <c r="E99" s="70"/>
      <c r="F99" s="70"/>
    </row>
    <row r="100" spans="1:6" x14ac:dyDescent="0.35">
      <c r="A100" s="70"/>
      <c r="B100" s="70"/>
      <c r="C100" s="70"/>
      <c r="D100" s="70"/>
      <c r="E100" s="70"/>
      <c r="F100" s="70"/>
    </row>
    <row r="101" spans="1:6" x14ac:dyDescent="0.35">
      <c r="A101" s="70"/>
      <c r="B101" s="70"/>
      <c r="C101" s="70"/>
      <c r="D101" s="70"/>
      <c r="E101" s="70"/>
      <c r="F101" s="70"/>
    </row>
    <row r="102" spans="1:6" x14ac:dyDescent="0.35">
      <c r="A102" s="70"/>
      <c r="B102" s="70"/>
      <c r="C102" s="70"/>
      <c r="D102" s="70"/>
      <c r="E102" s="70"/>
      <c r="F102" s="70"/>
    </row>
    <row r="103" spans="1:6" x14ac:dyDescent="0.35">
      <c r="A103" s="70"/>
      <c r="B103" s="70"/>
      <c r="C103" s="70"/>
      <c r="D103" s="70"/>
      <c r="E103" s="70"/>
      <c r="F103" s="70"/>
    </row>
    <row r="104" spans="1:6" x14ac:dyDescent="0.35">
      <c r="A104" s="70"/>
      <c r="B104" s="70"/>
      <c r="C104" s="70"/>
      <c r="D104" s="70"/>
      <c r="E104" s="70"/>
      <c r="F104" s="70"/>
    </row>
    <row r="105" spans="1:6" x14ac:dyDescent="0.35">
      <c r="A105" s="70"/>
      <c r="B105" s="70"/>
      <c r="C105" s="70"/>
      <c r="D105" s="70"/>
      <c r="E105" s="70"/>
      <c r="F105" s="70"/>
    </row>
    <row r="106" spans="1:6" x14ac:dyDescent="0.35">
      <c r="A106" s="70"/>
      <c r="B106" s="70"/>
      <c r="C106" s="70"/>
      <c r="D106" s="70"/>
      <c r="E106" s="70"/>
      <c r="F106" s="70"/>
    </row>
    <row r="107" spans="1:6" x14ac:dyDescent="0.35">
      <c r="A107" s="70"/>
      <c r="B107" s="70"/>
      <c r="C107" s="70"/>
      <c r="D107" s="70"/>
      <c r="E107" s="70"/>
      <c r="F107" s="70"/>
    </row>
    <row r="108" spans="1:6" x14ac:dyDescent="0.35">
      <c r="A108" s="70"/>
      <c r="B108" s="70"/>
      <c r="C108" s="70"/>
      <c r="D108" s="70"/>
      <c r="E108" s="70"/>
      <c r="F108" s="70"/>
    </row>
    <row r="109" spans="1:6" x14ac:dyDescent="0.35">
      <c r="A109" s="70"/>
      <c r="B109" s="70"/>
      <c r="C109" s="70"/>
      <c r="D109" s="70"/>
      <c r="E109" s="70"/>
      <c r="F109" s="70"/>
    </row>
    <row r="110" spans="1:6" x14ac:dyDescent="0.35">
      <c r="A110" s="70"/>
      <c r="B110" s="70"/>
      <c r="C110" s="70"/>
      <c r="D110" s="70"/>
      <c r="E110" s="70"/>
      <c r="F110" s="70"/>
    </row>
    <row r="111" spans="1:6" x14ac:dyDescent="0.35">
      <c r="A111" s="70"/>
      <c r="B111" s="70"/>
      <c r="C111" s="70"/>
      <c r="D111" s="70"/>
      <c r="E111" s="70"/>
      <c r="F111" s="70"/>
    </row>
  </sheetData>
  <mergeCells count="2">
    <mergeCell ref="B3:F3"/>
    <mergeCell ref="B29:F29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21"/>
  <sheetViews>
    <sheetView zoomScaleNormal="100" zoomScaleSheetLayoutView="118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N9" sqref="N8:N19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20.26953125" customWidth="1"/>
    <col min="4" max="4" width="20.7265625" customWidth="1"/>
    <col min="5" max="5" width="18.26953125" bestFit="1" customWidth="1"/>
    <col min="6" max="7" width="16.26953125" bestFit="1" customWidth="1"/>
    <col min="8" max="8" width="16.54296875" customWidth="1"/>
    <col min="9" max="10" width="13.54296875" bestFit="1" customWidth="1"/>
    <col min="11" max="11" width="16.26953125" bestFit="1" customWidth="1"/>
    <col min="12" max="12" width="18.26953125" bestFit="1" customWidth="1"/>
    <col min="13" max="15" width="16.26953125" customWidth="1"/>
    <col min="16" max="16" width="18.26953125" bestFit="1" customWidth="1"/>
    <col min="17" max="17" width="12.453125" bestFit="1" customWidth="1"/>
    <col min="18" max="18" width="16.81640625" bestFit="1" customWidth="1"/>
    <col min="19" max="19" width="15" bestFit="1" customWidth="1"/>
  </cols>
  <sheetData>
    <row r="2" spans="1:16" ht="26" x14ac:dyDescent="0.6">
      <c r="D2" s="161" t="s">
        <v>0</v>
      </c>
      <c r="E2" s="161"/>
      <c r="F2" s="162"/>
      <c r="G2" s="162"/>
      <c r="H2" s="162"/>
      <c r="I2" s="162"/>
      <c r="J2" s="162"/>
    </row>
    <row r="3" spans="1:16" x14ac:dyDescent="0.35">
      <c r="A3" s="1" t="s">
        <v>10</v>
      </c>
      <c r="B3" s="1"/>
      <c r="C3" s="1"/>
      <c r="D3" s="1"/>
      <c r="E3" s="1">
        <v>2024</v>
      </c>
    </row>
    <row r="6" spans="1:16" ht="29" x14ac:dyDescent="0.4">
      <c r="A6" s="6" t="s">
        <v>8</v>
      </c>
      <c r="B6" s="6" t="s">
        <v>32</v>
      </c>
      <c r="C6" s="6" t="s">
        <v>53</v>
      </c>
      <c r="D6" s="6" t="s">
        <v>92</v>
      </c>
      <c r="E6" s="6" t="s">
        <v>1</v>
      </c>
      <c r="F6" s="7" t="s">
        <v>2</v>
      </c>
      <c r="G6" s="7" t="s">
        <v>3</v>
      </c>
      <c r="H6" s="7" t="s">
        <v>4</v>
      </c>
      <c r="I6" s="7" t="s">
        <v>5</v>
      </c>
      <c r="J6" s="7" t="s">
        <v>6</v>
      </c>
      <c r="K6" s="7" t="s">
        <v>7</v>
      </c>
      <c r="L6" s="7" t="s">
        <v>93</v>
      </c>
      <c r="M6" s="7" t="s">
        <v>51</v>
      </c>
      <c r="N6" s="7" t="s">
        <v>35</v>
      </c>
      <c r="O6" s="7" t="s">
        <v>129</v>
      </c>
      <c r="P6" s="8" t="s">
        <v>23</v>
      </c>
    </row>
    <row r="7" spans="1:16" x14ac:dyDescent="0.35">
      <c r="A7" s="1" t="s">
        <v>9</v>
      </c>
      <c r="B7" s="42" t="e">
        <f>[17]MVTRESUME24!#REF!</f>
        <v>#REF!</v>
      </c>
      <c r="C7" s="42" t="e">
        <f>[17]MVTRESUME24!#REF!</f>
        <v>#REF!</v>
      </c>
      <c r="D7" s="42">
        <f>[17]MVTDEC23!$T$41</f>
        <v>1168000</v>
      </c>
    </row>
    <row r="8" spans="1:16" ht="20" x14ac:dyDescent="0.4">
      <c r="A8" s="1" t="s">
        <v>15</v>
      </c>
      <c r="B8" s="42"/>
      <c r="C8" s="42"/>
      <c r="D8" s="42" t="e">
        <f>#REF!</f>
        <v>#REF!</v>
      </c>
      <c r="E8" s="42" t="e">
        <f>#REF!</f>
        <v>#REF!</v>
      </c>
      <c r="F8" s="42" t="e">
        <f>#REF!</f>
        <v>#REF!</v>
      </c>
      <c r="G8" s="42" t="e">
        <f>#REF!</f>
        <v>#REF!</v>
      </c>
      <c r="H8" s="42" t="e">
        <f>#REF!</f>
        <v>#REF!</v>
      </c>
      <c r="I8" s="42" t="e">
        <f>#REF!</f>
        <v>#REF!</v>
      </c>
      <c r="J8" s="42" t="e">
        <f>#REF!</f>
        <v>#REF!</v>
      </c>
      <c r="K8" s="42" t="e">
        <f>#REF!</f>
        <v>#REF!</v>
      </c>
      <c r="L8" s="42" t="e">
        <f>#REF!</f>
        <v>#REF!</v>
      </c>
      <c r="M8" s="42" t="e">
        <f>#REF!</f>
        <v>#REF!</v>
      </c>
      <c r="N8" s="42" t="e">
        <f>#REF!</f>
        <v>#REF!</v>
      </c>
      <c r="O8" s="3"/>
      <c r="P8" s="4" t="e">
        <f t="shared" ref="P8:P19" si="0">SUM(B8:O8)</f>
        <v>#REF!</v>
      </c>
    </row>
    <row r="9" spans="1:16" ht="20" x14ac:dyDescent="0.4">
      <c r="A9" s="1" t="s">
        <v>16</v>
      </c>
      <c r="B9" s="42"/>
      <c r="C9" s="42"/>
      <c r="D9" s="42">
        <f>[17]MVTFEV24!$T$41</f>
        <v>26000</v>
      </c>
      <c r="E9" s="42">
        <f>[17]MVTFEV24!$L$41</f>
        <v>720000</v>
      </c>
      <c r="F9" s="42">
        <f>[17]MVTFEV24!$M$41</f>
        <v>32000</v>
      </c>
      <c r="G9" s="42">
        <f>[17]MVTFEV24!$N$41</f>
        <v>32000</v>
      </c>
      <c r="H9" s="42">
        <f>[17]MVTFEV24!$O$41</f>
        <v>128000</v>
      </c>
      <c r="I9" s="42">
        <f>[17]MVTFEV24!$P$41</f>
        <v>9000</v>
      </c>
      <c r="J9" s="42">
        <f>[17]MVTFEV24!$Q$41</f>
        <v>0</v>
      </c>
      <c r="K9" s="42">
        <f>[17]MVTFEV24!$R$41</f>
        <v>0</v>
      </c>
      <c r="L9" s="42">
        <f>[17]MVTFEV24!$V$41</f>
        <v>1000000</v>
      </c>
      <c r="M9" s="42">
        <f>[17]MVTFEV24!$J$41</f>
        <v>0</v>
      </c>
      <c r="N9" s="42">
        <f>[17]MVTFEV24!$AE$41</f>
        <v>0</v>
      </c>
      <c r="O9" s="3"/>
      <c r="P9" s="4">
        <f t="shared" si="0"/>
        <v>1947000</v>
      </c>
    </row>
    <row r="10" spans="1:16" ht="20" x14ac:dyDescent="0.4">
      <c r="A10" s="1" t="s">
        <v>17</v>
      </c>
      <c r="B10" s="42"/>
      <c r="C10" s="42"/>
      <c r="D10" s="42">
        <f>[17]MVTMARS24!$T$41</f>
        <v>92500</v>
      </c>
      <c r="E10" s="42">
        <f>[17]MVTMARS24!$L$41</f>
        <v>759000</v>
      </c>
      <c r="F10" s="42">
        <f>[17]MVTMARS24!$M$41</f>
        <v>32000</v>
      </c>
      <c r="G10" s="42">
        <f>[17]MVTMARS24!$N$41</f>
        <v>32000</v>
      </c>
      <c r="H10" s="42">
        <f>[17]MVTMARS24!$O$41</f>
        <v>128000</v>
      </c>
      <c r="I10" s="42">
        <f>[17]MVTMARS24!$P$41</f>
        <v>6000</v>
      </c>
      <c r="J10" s="42">
        <f>[17]MVTMARS24!$Q$41</f>
        <v>0</v>
      </c>
      <c r="K10" s="42">
        <f>[17]MVTMARS24!$R$41</f>
        <v>0</v>
      </c>
      <c r="L10" s="42">
        <f>[17]MVTMARS24!$V$41</f>
        <v>750000</v>
      </c>
      <c r="M10" s="42">
        <f>[17]MVTMARS24!$J$41</f>
        <v>0</v>
      </c>
      <c r="N10" s="42">
        <f>[17]MVTMARS24!$AE$41</f>
        <v>0</v>
      </c>
      <c r="O10" s="3"/>
      <c r="P10" s="4">
        <f t="shared" si="0"/>
        <v>1799500</v>
      </c>
    </row>
    <row r="11" spans="1:16" ht="20" x14ac:dyDescent="0.4">
      <c r="A11" s="1" t="s">
        <v>18</v>
      </c>
      <c r="B11" s="42"/>
      <c r="C11" s="42"/>
      <c r="D11" s="42">
        <f>[17]MVTAVRIL24!$T$41</f>
        <v>0</v>
      </c>
      <c r="E11" s="42">
        <f>[17]MVTAVRIL24!$L$41</f>
        <v>778500</v>
      </c>
      <c r="F11" s="42">
        <f>[17]MVTAVRIL24!$M$41</f>
        <v>32000</v>
      </c>
      <c r="G11" s="42">
        <f>[17]MVTAVRIL24!$N$41</f>
        <v>32000</v>
      </c>
      <c r="H11" s="42">
        <f>[17]MVTAVRIL24!$O$41</f>
        <v>128000</v>
      </c>
      <c r="I11" s="42">
        <f>[17]MVTAVRIL24!$P$41</f>
        <v>12000</v>
      </c>
      <c r="J11" s="42">
        <f>[17]MVTAVRIL24!$Q$41</f>
        <v>0</v>
      </c>
      <c r="K11" s="42">
        <f>[17]MVTAVRIL24!$R$41</f>
        <v>0</v>
      </c>
      <c r="L11" s="42">
        <f>[17]MVTAVRIL24!$V$41</f>
        <v>0</v>
      </c>
      <c r="M11" s="42">
        <f>[17]MVTAVRIL24!$J$41</f>
        <v>0</v>
      </c>
      <c r="N11" s="42">
        <f>[17]MVTAVRIL24!$AE$41</f>
        <v>0</v>
      </c>
      <c r="O11" s="3"/>
      <c r="P11" s="4">
        <f t="shared" si="0"/>
        <v>982500</v>
      </c>
    </row>
    <row r="12" spans="1:16" ht="20" x14ac:dyDescent="0.4">
      <c r="A12" s="1" t="s">
        <v>19</v>
      </c>
      <c r="B12" s="42"/>
      <c r="C12" s="42"/>
      <c r="D12" s="42">
        <f>[17]MVTMAI24!$T$41</f>
        <v>84000</v>
      </c>
      <c r="E12" s="42">
        <f>[17]MVTMAI24!$L$41</f>
        <v>725000</v>
      </c>
      <c r="F12" s="42">
        <f>[17]MVTMAI24!$M$41</f>
        <v>32000</v>
      </c>
      <c r="G12" s="42">
        <f>[17]MVTMAI24!$N$41</f>
        <v>32000</v>
      </c>
      <c r="H12" s="42">
        <f>[17]MVTMAI24!$O$41</f>
        <v>128000</v>
      </c>
      <c r="I12" s="42">
        <f>[17]MVTMAI24!$P$41</f>
        <v>9000</v>
      </c>
      <c r="J12" s="42">
        <f>[17]MVTMAI24!$Q$41</f>
        <v>0</v>
      </c>
      <c r="K12" s="42">
        <f>[17]MVTMAI24!$R$41</f>
        <v>0</v>
      </c>
      <c r="L12" s="42">
        <f>[17]MVTMAI24!$V$41</f>
        <v>1500000</v>
      </c>
      <c r="M12" s="42">
        <f>[17]MVTMAI24!$J$41</f>
        <v>0</v>
      </c>
      <c r="N12" s="42">
        <f>[17]MVTMAI24!$AE$41</f>
        <v>0</v>
      </c>
      <c r="O12" s="3"/>
      <c r="P12" s="4">
        <f t="shared" si="0"/>
        <v>2510000</v>
      </c>
    </row>
    <row r="13" spans="1:16" ht="20" x14ac:dyDescent="0.4">
      <c r="A13" s="1" t="s">
        <v>20</v>
      </c>
      <c r="B13" s="42"/>
      <c r="C13" s="42"/>
      <c r="D13" s="42">
        <f>[17]MVTJUIN24!$T$41</f>
        <v>110000</v>
      </c>
      <c r="E13" s="42">
        <f>[17]MVTJUIN24!$L$41</f>
        <v>724500</v>
      </c>
      <c r="F13" s="42">
        <f>[17]MVTJUIN24!$M$41</f>
        <v>32000</v>
      </c>
      <c r="G13" s="42">
        <f>[17]MVTJUIN24!$N$41</f>
        <v>32000</v>
      </c>
      <c r="H13" s="42">
        <f>[17]MVTJUIN24!$O$41</f>
        <v>128000</v>
      </c>
      <c r="I13" s="42">
        <f>[17]MVTJUIN24!$P$41</f>
        <v>6000</v>
      </c>
      <c r="J13" s="42">
        <f>[17]MVTJUIN24!$Q$41</f>
        <v>0</v>
      </c>
      <c r="K13" s="42">
        <f>[17]MVTJUIN24!$R$41</f>
        <v>0</v>
      </c>
      <c r="L13" s="42">
        <f>[17]MVTJUIN24!$V$41</f>
        <v>360000</v>
      </c>
      <c r="M13" s="42">
        <f>[17]MVTJUIN24!$J$41</f>
        <v>0</v>
      </c>
      <c r="N13" s="42">
        <f>[17]MVTJUIN24!$AE$41</f>
        <v>0</v>
      </c>
      <c r="O13" s="3"/>
      <c r="P13" s="4">
        <f t="shared" si="0"/>
        <v>1392500</v>
      </c>
    </row>
    <row r="14" spans="1:16" ht="20" x14ac:dyDescent="0.4">
      <c r="A14" s="1" t="s">
        <v>21</v>
      </c>
      <c r="B14" s="42"/>
      <c r="C14" s="42"/>
      <c r="D14" s="42">
        <f>[17]MVTJUIL24!$T$41</f>
        <v>128400</v>
      </c>
      <c r="E14" s="42">
        <f>[17]MVTJUIL24!$L$41</f>
        <v>1698100</v>
      </c>
      <c r="F14" s="42">
        <f>[17]MVTJUIL24!$M$41</f>
        <v>32000</v>
      </c>
      <c r="G14" s="42">
        <f>[17]MVTJUIL24!$N$41</f>
        <v>32000</v>
      </c>
      <c r="H14" s="42">
        <f>[17]MVTJUIL24!$O$41</f>
        <v>128000</v>
      </c>
      <c r="I14" s="42">
        <f>[17]MVTJUIL24!$P$41</f>
        <v>12000</v>
      </c>
      <c r="J14" s="42">
        <f>[17]MVTJUIL24!$Q$41</f>
        <v>0</v>
      </c>
      <c r="K14" s="42">
        <f>[17]MVTJUIL24!$R$41</f>
        <v>0</v>
      </c>
      <c r="L14" s="42">
        <f>[17]MVTJUIL24!$V$41</f>
        <v>1738500</v>
      </c>
      <c r="M14" s="42">
        <f>[17]MVTJUIL24!$J$41</f>
        <v>0</v>
      </c>
      <c r="N14" s="42">
        <f>[17]MVTJUIL24!$AE$41</f>
        <v>0</v>
      </c>
      <c r="O14" s="3"/>
      <c r="P14" s="4">
        <f t="shared" si="0"/>
        <v>3769000</v>
      </c>
    </row>
    <row r="15" spans="1:16" ht="20" x14ac:dyDescent="0.4">
      <c r="A15" s="1" t="s">
        <v>22</v>
      </c>
      <c r="B15" s="42"/>
      <c r="C15" s="42"/>
      <c r="D15" s="42">
        <f>[17]MVTAOUT24!$T$41</f>
        <v>20000</v>
      </c>
      <c r="E15" s="42">
        <f>[17]MVTAOUT24!$L$41</f>
        <v>658500</v>
      </c>
      <c r="F15" s="42">
        <f>[17]MVTAOUT24!$M$41</f>
        <v>31000</v>
      </c>
      <c r="G15" s="42">
        <f>[17]MVTAOUT24!$N$41</f>
        <v>31000</v>
      </c>
      <c r="H15" s="42">
        <f>[17]MVTAOUT24!$O$41</f>
        <v>124000</v>
      </c>
      <c r="I15" s="42">
        <f>[17]MVTAOUT24!$P$41</f>
        <v>3000</v>
      </c>
      <c r="J15" s="42">
        <f>[17]MVTAOUT24!$Q$41</f>
        <v>0</v>
      </c>
      <c r="K15" s="42">
        <f>[17]MVTAOUT24!$R$41</f>
        <v>0</v>
      </c>
      <c r="L15" s="42">
        <f>[17]MVTAOUT24!$V$41</f>
        <v>0</v>
      </c>
      <c r="M15" s="42">
        <f>[17]MVTAOUT24!$J$41</f>
        <v>0</v>
      </c>
      <c r="N15" s="42">
        <f>[17]MVTAOUT24!$AE$41</f>
        <v>0</v>
      </c>
      <c r="O15" s="3"/>
      <c r="P15" s="4">
        <f t="shared" si="0"/>
        <v>867500</v>
      </c>
    </row>
    <row r="16" spans="1:16" ht="20" x14ac:dyDescent="0.4">
      <c r="A16" s="1" t="s">
        <v>11</v>
      </c>
      <c r="B16" s="42"/>
      <c r="C16" s="42"/>
      <c r="D16" s="42">
        <f>[17]MVTSEPT24!$T$41</f>
        <v>20000</v>
      </c>
      <c r="E16" s="42">
        <f>[17]MVTSEPT24!$L$41</f>
        <v>1585250</v>
      </c>
      <c r="F16" s="42">
        <f>[17]MVTSEPT24!$M$41</f>
        <v>33000</v>
      </c>
      <c r="G16" s="42">
        <f>[17]MVTSEPT24!$N$41</f>
        <v>33000</v>
      </c>
      <c r="H16" s="42">
        <f>[17]MVTSEPT24!$O$41</f>
        <v>132000</v>
      </c>
      <c r="I16" s="42">
        <f>[17]MVTSEPT24!$P$41</f>
        <v>18000</v>
      </c>
      <c r="J16" s="42">
        <f>[17]MVTSEPT24!$Q$41</f>
        <v>0</v>
      </c>
      <c r="K16" s="42">
        <f>[17]MVTSEPT24!$R$41</f>
        <v>120000</v>
      </c>
      <c r="L16" s="42">
        <f>[17]MVTSEPT24!$V$41</f>
        <v>0</v>
      </c>
      <c r="M16" s="42">
        <f>[17]MVTSEPT24!$J$41</f>
        <v>0</v>
      </c>
      <c r="N16" s="42">
        <f>[17]MVTSEPT24!$AE$41</f>
        <v>380000</v>
      </c>
      <c r="O16" s="3"/>
      <c r="P16" s="4">
        <f t="shared" si="0"/>
        <v>2321250</v>
      </c>
    </row>
    <row r="17" spans="1:16" ht="20" x14ac:dyDescent="0.4">
      <c r="A17" s="1" t="s">
        <v>12</v>
      </c>
      <c r="B17" s="42"/>
      <c r="C17" s="42"/>
      <c r="D17" s="42">
        <f>[17]MVTOCT24!$T$41</f>
        <v>0</v>
      </c>
      <c r="E17" s="42">
        <f>[17]MVTOCT24!$L$41</f>
        <v>734000</v>
      </c>
      <c r="F17" s="42">
        <f>[17]MVTOCT24!$M$41</f>
        <v>32000</v>
      </c>
      <c r="G17" s="42">
        <f>[17]MVTOCT24!$N$41</f>
        <v>32000</v>
      </c>
      <c r="H17" s="42">
        <f>[17]MVTOCT24!$O$41</f>
        <v>128000</v>
      </c>
      <c r="I17" s="42">
        <f>[17]MVTOCT24!$P$41</f>
        <v>6000</v>
      </c>
      <c r="J17" s="42">
        <f>[17]MVTOCT24!$Q$41</f>
        <v>0</v>
      </c>
      <c r="K17" s="42">
        <f>[17]MVTOCT24!$R$41</f>
        <v>0</v>
      </c>
      <c r="L17" s="42">
        <f>[17]MVTOCT24!$V$41</f>
        <v>100000</v>
      </c>
      <c r="M17" s="42">
        <f>[17]MVTOCT24!$J$41</f>
        <v>0</v>
      </c>
      <c r="N17" s="42">
        <f>[17]MVTOCT24!$AE$41</f>
        <v>20000</v>
      </c>
      <c r="O17" s="3"/>
      <c r="P17" s="4">
        <f t="shared" si="0"/>
        <v>1052000</v>
      </c>
    </row>
    <row r="18" spans="1:16" ht="20" x14ac:dyDescent="0.4">
      <c r="A18" s="1" t="s">
        <v>13</v>
      </c>
      <c r="B18" s="42"/>
      <c r="C18" s="42"/>
      <c r="D18" s="42">
        <f>[17]MVTNOV24!$T$41</f>
        <v>10000</v>
      </c>
      <c r="E18" s="42">
        <f>[17]MVTNOV24!$L$41</f>
        <v>678500</v>
      </c>
      <c r="F18" s="42">
        <f>[17]MVTNOV24!$M$41</f>
        <v>32000</v>
      </c>
      <c r="G18" s="42">
        <f>[17]MVTNOV24!$N$41</f>
        <v>32000</v>
      </c>
      <c r="H18" s="42">
        <f>[17]MVTNOV24!$O$41</f>
        <v>128000</v>
      </c>
      <c r="I18" s="42">
        <f>[17]MVTNOV24!$P$41</f>
        <v>15000</v>
      </c>
      <c r="J18" s="42">
        <f>[17]MVTNOV24!$Q$41</f>
        <v>0</v>
      </c>
      <c r="K18" s="42">
        <f>[17]MVTNOV24!$R$41</f>
        <v>0</v>
      </c>
      <c r="L18" s="42">
        <f>[17]MVTNOV24!$V$41</f>
        <v>1190000</v>
      </c>
      <c r="M18" s="42">
        <f>[17]MVTNOV24!$J$41</f>
        <v>0</v>
      </c>
      <c r="N18" s="42">
        <f>[17]MVTNOV24!$AE$41</f>
        <v>0</v>
      </c>
      <c r="O18" s="3"/>
      <c r="P18" s="4">
        <f t="shared" si="0"/>
        <v>2085500</v>
      </c>
    </row>
    <row r="19" spans="1:16" ht="20" x14ac:dyDescent="0.4">
      <c r="A19" s="1" t="s">
        <v>14</v>
      </c>
      <c r="B19" s="42"/>
      <c r="C19" s="42"/>
      <c r="D19" s="42">
        <f>[17]MVTDEC24!$T$41</f>
        <v>147250</v>
      </c>
      <c r="E19" s="42">
        <f>[17]MVTDEC24!$L$41</f>
        <v>1337500</v>
      </c>
      <c r="F19" s="42">
        <f>[17]MVTDEC24!$M$41</f>
        <v>32000</v>
      </c>
      <c r="G19" s="42">
        <f>[17]MVTDEC24!$N$41</f>
        <v>32000</v>
      </c>
      <c r="H19" s="42">
        <f>[17]MVTDEC24!$O$41</f>
        <v>128000</v>
      </c>
      <c r="I19" s="42">
        <f>[17]MVTDEC24!$P$41</f>
        <v>0</v>
      </c>
      <c r="J19" s="42">
        <f>[17]MVTDEC24!$Q$41</f>
        <v>0</v>
      </c>
      <c r="K19" s="42">
        <f>[17]MVTDEC24!$R$41</f>
        <v>0</v>
      </c>
      <c r="L19" s="42">
        <f>[17]MVTDEC24!$V$41</f>
        <v>11817500</v>
      </c>
      <c r="M19" s="42">
        <f>[17]MVTDEC24!$J$41</f>
        <v>0</v>
      </c>
      <c r="N19" s="42">
        <f>[17]MVTDEC24!$AE$41</f>
        <v>371700</v>
      </c>
      <c r="O19" s="3">
        <f>[18]TONTRESUME23!$S$6+[19]TONTRESUME23!$S$6</f>
        <v>63707.983193277309</v>
      </c>
      <c r="P19" s="4">
        <f t="shared" si="0"/>
        <v>13929657.983193276</v>
      </c>
    </row>
    <row r="21" spans="1:16" ht="20" x14ac:dyDescent="0.4">
      <c r="A21" s="5" t="s">
        <v>23</v>
      </c>
      <c r="B21" s="4">
        <f t="shared" ref="B21:O21" si="1">SUM(B8:B20)</f>
        <v>0</v>
      </c>
      <c r="C21" s="4">
        <f t="shared" si="1"/>
        <v>0</v>
      </c>
      <c r="D21" s="4" t="e">
        <f>SUM(D7:D20)</f>
        <v>#REF!</v>
      </c>
      <c r="E21" s="4" t="e">
        <f t="shared" si="1"/>
        <v>#REF!</v>
      </c>
      <c r="F21" s="4" t="e">
        <f t="shared" si="1"/>
        <v>#REF!</v>
      </c>
      <c r="G21" s="4" t="e">
        <f t="shared" si="1"/>
        <v>#REF!</v>
      </c>
      <c r="H21" s="4" t="e">
        <f t="shared" si="1"/>
        <v>#REF!</v>
      </c>
      <c r="I21" s="4" t="e">
        <f t="shared" si="1"/>
        <v>#REF!</v>
      </c>
      <c r="J21" s="4" t="e">
        <f t="shared" si="1"/>
        <v>#REF!</v>
      </c>
      <c r="K21" s="4" t="e">
        <f t="shared" si="1"/>
        <v>#REF!</v>
      </c>
      <c r="L21" s="4" t="e">
        <f t="shared" si="1"/>
        <v>#REF!</v>
      </c>
      <c r="M21" s="4" t="e">
        <f t="shared" si="1"/>
        <v>#REF!</v>
      </c>
      <c r="N21" s="4" t="e">
        <f t="shared" si="1"/>
        <v>#REF!</v>
      </c>
      <c r="O21" s="4">
        <f t="shared" si="1"/>
        <v>63707.983193277309</v>
      </c>
      <c r="P21" s="4" t="e">
        <f>SUM(P8:P20)</f>
        <v>#REF!</v>
      </c>
    </row>
  </sheetData>
  <mergeCells count="1">
    <mergeCell ref="D2:J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3"/>
  <sheetViews>
    <sheetView workbookViewId="0">
      <pane ySplit="6" topLeftCell="A19" activePane="bottomLeft" state="frozen"/>
      <selection pane="bottomLeft" activeCell="D9" sqref="D9"/>
    </sheetView>
  </sheetViews>
  <sheetFormatPr baseColWidth="10" defaultRowHeight="14.5" x14ac:dyDescent="0.35"/>
  <cols>
    <col min="1" max="1" width="12.453125" bestFit="1" customWidth="1"/>
    <col min="2" max="2" width="19.81640625" customWidth="1"/>
    <col min="3" max="3" width="16.26953125" bestFit="1" customWidth="1"/>
    <col min="4" max="4" width="18.26953125" bestFit="1" customWidth="1"/>
    <col min="5" max="5" width="17.54296875" customWidth="1"/>
    <col min="6" max="6" width="16.26953125" bestFit="1" customWidth="1"/>
    <col min="7" max="8" width="13.54296875" bestFit="1" customWidth="1"/>
    <col min="9" max="9" width="16.26953125" bestFit="1" customWidth="1"/>
    <col min="10" max="10" width="18.26953125" bestFit="1" customWidth="1"/>
    <col min="11" max="12" width="16.26953125" customWidth="1"/>
    <col min="13" max="13" width="18.26953125" bestFit="1" customWidth="1"/>
  </cols>
  <sheetData>
    <row r="2" spans="1:13" ht="26" x14ac:dyDescent="0.6">
      <c r="C2" s="161" t="s">
        <v>24</v>
      </c>
      <c r="D2" s="162"/>
      <c r="E2" s="162"/>
      <c r="F2" s="162"/>
      <c r="G2" s="162"/>
      <c r="H2" s="162"/>
      <c r="I2" s="162"/>
      <c r="J2" s="41"/>
      <c r="K2" s="41"/>
      <c r="L2" s="60"/>
    </row>
    <row r="3" spans="1:13" x14ac:dyDescent="0.35">
      <c r="A3" s="1" t="s">
        <v>10</v>
      </c>
      <c r="B3" s="1" t="s">
        <v>162</v>
      </c>
    </row>
    <row r="5" spans="1:13" ht="15" thickBot="1" x14ac:dyDescent="0.4"/>
    <row r="6" spans="1:13" ht="29.5" thickTop="1" x14ac:dyDescent="0.4">
      <c r="A6" s="9" t="s">
        <v>8</v>
      </c>
      <c r="B6" s="6" t="s">
        <v>32</v>
      </c>
      <c r="C6" s="10" t="s">
        <v>1</v>
      </c>
      <c r="D6" s="11" t="s">
        <v>2</v>
      </c>
      <c r="E6" s="11" t="s">
        <v>3</v>
      </c>
      <c r="F6" s="11" t="s">
        <v>4</v>
      </c>
      <c r="G6" s="11" t="s">
        <v>5</v>
      </c>
      <c r="H6" s="11" t="s">
        <v>6</v>
      </c>
      <c r="I6" s="11" t="s">
        <v>7</v>
      </c>
      <c r="J6" s="43" t="s">
        <v>91</v>
      </c>
      <c r="K6" s="43" t="s">
        <v>57</v>
      </c>
      <c r="L6" s="43" t="s">
        <v>35</v>
      </c>
      <c r="M6" s="12" t="s">
        <v>23</v>
      </c>
    </row>
    <row r="7" spans="1:13" x14ac:dyDescent="0.35">
      <c r="A7" s="13" t="s">
        <v>9</v>
      </c>
      <c r="B7" s="88"/>
      <c r="C7" s="39"/>
      <c r="D7" s="39"/>
      <c r="E7" s="39"/>
      <c r="F7" s="39"/>
      <c r="G7" s="39"/>
      <c r="H7" s="39"/>
      <c r="I7" s="39"/>
      <c r="J7" s="40">
        <f>[17]MVTDEC23!$S$41</f>
        <v>15088500</v>
      </c>
      <c r="K7" s="89"/>
      <c r="L7" s="89"/>
      <c r="M7" s="15"/>
    </row>
    <row r="8" spans="1:13" ht="20" x14ac:dyDescent="0.4">
      <c r="A8" s="13" t="s">
        <v>15</v>
      </c>
      <c r="B8" s="88"/>
      <c r="C8" s="40"/>
      <c r="D8" s="40" t="e">
        <f>#REF!</f>
        <v>#REF!</v>
      </c>
      <c r="E8" s="40" t="e">
        <f>#REF!</f>
        <v>#REF!</v>
      </c>
      <c r="F8" s="40" t="e">
        <f>#REF!</f>
        <v>#REF!</v>
      </c>
      <c r="G8" s="40" t="e">
        <f>#REF!</f>
        <v>#REF!</v>
      </c>
      <c r="H8" s="40"/>
      <c r="I8" s="40" t="e">
        <f>#REF!</f>
        <v>#REF!</v>
      </c>
      <c r="J8" s="40" t="e">
        <f>#REF!</f>
        <v>#REF!</v>
      </c>
      <c r="K8" s="90"/>
      <c r="L8" s="40"/>
      <c r="M8" s="17" t="e">
        <f t="shared" ref="M8:M19" si="0">SUM(C8:K8)</f>
        <v>#REF!</v>
      </c>
    </row>
    <row r="9" spans="1:13" ht="20" x14ac:dyDescent="0.4">
      <c r="A9" s="13" t="s">
        <v>16</v>
      </c>
      <c r="B9" s="40"/>
      <c r="C9" s="40"/>
      <c r="D9" s="40">
        <f>[17]MVTFEV24!$AF$41</f>
        <v>27000</v>
      </c>
      <c r="E9" s="40">
        <f>[17]MVTFEV24!$AG$41</f>
        <v>0</v>
      </c>
      <c r="F9" s="40">
        <f>[17]MVTFEV24!$AI$41</f>
        <v>100000</v>
      </c>
      <c r="G9" s="40">
        <f>[17]MVTFEV24!$AA$41</f>
        <v>0</v>
      </c>
      <c r="H9" s="40"/>
      <c r="I9" s="40">
        <f>[17]MVTFEV24!$AH$41</f>
        <v>100000</v>
      </c>
      <c r="J9" s="40">
        <f>[17]MVTFEV24!$V$41</f>
        <v>1000000</v>
      </c>
      <c r="K9" s="90"/>
      <c r="L9" s="40"/>
      <c r="M9" s="17">
        <f t="shared" si="0"/>
        <v>1227000</v>
      </c>
    </row>
    <row r="10" spans="1:13" ht="20" x14ac:dyDescent="0.4">
      <c r="A10" s="13" t="s">
        <v>17</v>
      </c>
      <c r="B10" s="88"/>
      <c r="C10" s="40"/>
      <c r="D10" s="40">
        <f>[17]MVTMARS24!$AF$41</f>
        <v>48000</v>
      </c>
      <c r="E10" s="40">
        <f>[17]MVTMARS24!$AG$41</f>
        <v>0</v>
      </c>
      <c r="F10" s="40">
        <f>[17]MVTMARS24!$AI$41</f>
        <v>100000</v>
      </c>
      <c r="G10" s="40">
        <f>[17]MVTMARS24!$AA$41</f>
        <v>0</v>
      </c>
      <c r="H10" s="40"/>
      <c r="I10" s="40">
        <f>[17]MVTMARS24!$AH$41</f>
        <v>0</v>
      </c>
      <c r="J10" s="40">
        <f>[17]MVTMARS24!$V$41</f>
        <v>750000</v>
      </c>
      <c r="K10" s="90"/>
      <c r="L10" s="40"/>
      <c r="M10" s="17">
        <f t="shared" si="0"/>
        <v>898000</v>
      </c>
    </row>
    <row r="11" spans="1:13" ht="20" x14ac:dyDescent="0.4">
      <c r="A11" s="13" t="s">
        <v>18</v>
      </c>
      <c r="B11" s="88"/>
      <c r="C11" s="40"/>
      <c r="D11" s="40">
        <f>[17]MVTAVRIL24!$AF$41</f>
        <v>21000</v>
      </c>
      <c r="E11" s="40">
        <f>[17]MVTAVRIL24!$AG$41</f>
        <v>100000</v>
      </c>
      <c r="F11" s="40">
        <f>[17]MVTAVRIL24!$AI$41</f>
        <v>100000</v>
      </c>
      <c r="G11" s="40">
        <f>[17]MVTAVRIL24!$AA$41</f>
        <v>0</v>
      </c>
      <c r="H11" s="40"/>
      <c r="I11" s="40">
        <f>[17]MVTAVRIL24!$AH$41</f>
        <v>0</v>
      </c>
      <c r="J11" s="40">
        <f>[17]MVTAVRIL24!$V$41</f>
        <v>0</v>
      </c>
      <c r="K11" s="90"/>
      <c r="L11" s="40"/>
      <c r="M11" s="17">
        <f t="shared" si="0"/>
        <v>221000</v>
      </c>
    </row>
    <row r="12" spans="1:13" ht="20" x14ac:dyDescent="0.4">
      <c r="A12" s="13" t="s">
        <v>19</v>
      </c>
      <c r="B12" s="88"/>
      <c r="C12" s="40"/>
      <c r="D12" s="40">
        <f>[17]MVTMAI24!$AF$41</f>
        <v>19000</v>
      </c>
      <c r="E12" s="40">
        <f>[17]MVTMAI24!$AG$41</f>
        <v>0</v>
      </c>
      <c r="F12" s="40">
        <f>[17]MVTMAI24!$AI$41</f>
        <v>100000</v>
      </c>
      <c r="G12" s="40">
        <f>[17]MVTMAI24!$AA$41</f>
        <v>0</v>
      </c>
      <c r="H12" s="40"/>
      <c r="I12" s="40">
        <f>[17]MVTMAI24!$AH$41</f>
        <v>0</v>
      </c>
      <c r="J12" s="40">
        <f>[17]MVTMAI24!$V$41</f>
        <v>1500000</v>
      </c>
      <c r="K12" s="90"/>
      <c r="L12" s="40"/>
      <c r="M12" s="17">
        <f t="shared" si="0"/>
        <v>1619000</v>
      </c>
    </row>
    <row r="13" spans="1:13" ht="20" x14ac:dyDescent="0.4">
      <c r="A13" s="13" t="s">
        <v>20</v>
      </c>
      <c r="B13" s="88"/>
      <c r="C13" s="40"/>
      <c r="D13" s="40">
        <f>[17]MVTJUIN24!$AF$41</f>
        <v>12000</v>
      </c>
      <c r="E13" s="40">
        <f>[17]MVTJUIN24!$AG$41</f>
        <v>0</v>
      </c>
      <c r="F13" s="40">
        <f>[17]MVTJUIN24!$AI$41</f>
        <v>100000</v>
      </c>
      <c r="G13" s="40">
        <f>[17]MVTJUIN24!$AA$41</f>
        <v>0</v>
      </c>
      <c r="H13" s="40"/>
      <c r="I13" s="40">
        <f>[17]MVTJUIN24!$AH$41</f>
        <v>0</v>
      </c>
      <c r="J13" s="40">
        <f>[17]MVTJUIN24!$V$41</f>
        <v>360000</v>
      </c>
      <c r="K13" s="90"/>
      <c r="L13" s="40"/>
      <c r="M13" s="17">
        <f t="shared" si="0"/>
        <v>472000</v>
      </c>
    </row>
    <row r="14" spans="1:13" ht="20" x14ac:dyDescent="0.4">
      <c r="A14" s="13" t="s">
        <v>21</v>
      </c>
      <c r="B14" s="88"/>
      <c r="C14" s="18"/>
      <c r="D14" s="40">
        <f>[17]MVTJUIL24!$AF$41</f>
        <v>42000</v>
      </c>
      <c r="E14" s="40">
        <f>[17]MVTJUIL24!$AG$41</f>
        <v>288500</v>
      </c>
      <c r="F14" s="40">
        <f>[17]MVTJUIL24!$AI$41</f>
        <v>100000</v>
      </c>
      <c r="G14" s="40">
        <f>[17]MVTJUIL24!$AA$41</f>
        <v>0</v>
      </c>
      <c r="H14" s="40"/>
      <c r="I14" s="40">
        <f>[17]MVTJUIL24!$AH$41</f>
        <v>0</v>
      </c>
      <c r="J14" s="40">
        <f>[17]MVTJUIL24!$V$41</f>
        <v>1738500</v>
      </c>
      <c r="K14" s="90"/>
      <c r="L14" s="40"/>
      <c r="M14" s="17">
        <f t="shared" si="0"/>
        <v>2169000</v>
      </c>
    </row>
    <row r="15" spans="1:13" ht="20" x14ac:dyDescent="0.4">
      <c r="A15" s="13" t="s">
        <v>22</v>
      </c>
      <c r="B15" s="88"/>
      <c r="C15" s="40"/>
      <c r="D15" s="40">
        <f>[17]MVTAOUT24!$AF$41</f>
        <v>6000</v>
      </c>
      <c r="E15" s="40">
        <f>[17]MVTAOUT24!$AG$41</f>
        <v>0</v>
      </c>
      <c r="F15" s="40">
        <f>[17]MVTAOUT24!$AI$41</f>
        <v>100000</v>
      </c>
      <c r="G15" s="40">
        <f>[17]MVTAOUT24!$AA$41</f>
        <v>0</v>
      </c>
      <c r="H15" s="40"/>
      <c r="I15" s="40">
        <f>[17]MVTAOUT24!$AH$41</f>
        <v>0</v>
      </c>
      <c r="J15" s="40">
        <f>[17]MVTAOUT24!$V$41</f>
        <v>0</v>
      </c>
      <c r="K15" s="90"/>
      <c r="L15" s="40"/>
      <c r="M15" s="17">
        <f t="shared" si="0"/>
        <v>106000</v>
      </c>
    </row>
    <row r="16" spans="1:13" ht="20" x14ac:dyDescent="0.4">
      <c r="A16" s="13" t="s">
        <v>11</v>
      </c>
      <c r="B16" s="88"/>
      <c r="C16" s="40"/>
      <c r="D16" s="40">
        <f>[17]MVTSEPT24!$AF$41</f>
        <v>6000</v>
      </c>
      <c r="E16" s="40">
        <f>[17]MVTSEPT24!$AG$41</f>
        <v>0</v>
      </c>
      <c r="F16" s="40">
        <f>[17]MVTSEPT24!$AI$41</f>
        <v>100000</v>
      </c>
      <c r="G16" s="40">
        <f>[17]MVTSEPT24!$AA$41</f>
        <v>0</v>
      </c>
      <c r="H16" s="40"/>
      <c r="I16" s="40">
        <f>[17]MVTSEPT24!$AH$41</f>
        <v>0</v>
      </c>
      <c r="J16" s="40">
        <f>[17]MVTSEPT24!$V$41</f>
        <v>0</v>
      </c>
      <c r="K16" s="90"/>
      <c r="L16" s="40"/>
      <c r="M16" s="17">
        <f t="shared" si="0"/>
        <v>106000</v>
      </c>
    </row>
    <row r="17" spans="1:13" ht="20" x14ac:dyDescent="0.4">
      <c r="A17" s="13" t="s">
        <v>12</v>
      </c>
      <c r="B17" s="88"/>
      <c r="C17" s="40"/>
      <c r="D17" s="40">
        <f>[17]MVTOCT24!$AF$41</f>
        <v>6000</v>
      </c>
      <c r="E17" s="40">
        <f>[17]MVTOCT24!$AG$41</f>
        <v>321500</v>
      </c>
      <c r="F17" s="40">
        <f>[17]MVTOCT24!$AI$41</f>
        <v>100000</v>
      </c>
      <c r="G17" s="40">
        <f>[17]MVTOCT24!$AA$41</f>
        <v>0</v>
      </c>
      <c r="H17" s="40"/>
      <c r="I17" s="40">
        <f>[17]MVTOCT24!$AH$41</f>
        <v>0</v>
      </c>
      <c r="J17" s="40">
        <f>[17]MVTOCT24!$V$41</f>
        <v>100000</v>
      </c>
      <c r="K17" s="90"/>
      <c r="L17" s="40"/>
      <c r="M17" s="17">
        <f t="shared" si="0"/>
        <v>527500</v>
      </c>
    </row>
    <row r="18" spans="1:13" ht="20" x14ac:dyDescent="0.4">
      <c r="A18" s="13" t="s">
        <v>13</v>
      </c>
      <c r="B18" s="88"/>
      <c r="C18" s="40"/>
      <c r="D18" s="40">
        <f>[17]MVTNOV24!$AF$41</f>
        <v>6000</v>
      </c>
      <c r="E18" s="40">
        <f>[17]MVTNOV24!$AG$41</f>
        <v>50000</v>
      </c>
      <c r="F18" s="40">
        <f>[17]MVTNOV24!$AI$41</f>
        <v>106000</v>
      </c>
      <c r="G18" s="40">
        <f>[17]MVTNOV24!$AA$41</f>
        <v>0</v>
      </c>
      <c r="H18" s="40"/>
      <c r="I18" s="40">
        <f>[17]MVTNOV24!$AH$41</f>
        <v>100000</v>
      </c>
      <c r="J18" s="40">
        <f>[17]MVTNOV24!$V$41</f>
        <v>1190000</v>
      </c>
      <c r="K18" s="90"/>
      <c r="L18" s="40"/>
      <c r="M18" s="17">
        <f t="shared" si="0"/>
        <v>1452000</v>
      </c>
    </row>
    <row r="19" spans="1:13" ht="20" x14ac:dyDescent="0.4">
      <c r="A19" s="13" t="s">
        <v>14</v>
      </c>
      <c r="B19" s="88"/>
      <c r="C19" s="40"/>
      <c r="D19" s="40">
        <f>[17]MVTDEC24!$AF$41</f>
        <v>31000</v>
      </c>
      <c r="E19" s="40">
        <f>[17]MVTDEC24!$AG$41</f>
        <v>0</v>
      </c>
      <c r="F19" s="40">
        <f>[17]MVTDEC24!$AI$41</f>
        <v>100000</v>
      </c>
      <c r="G19" s="40">
        <f>[17]MVTDEC24!$AA$41</f>
        <v>0</v>
      </c>
      <c r="H19" s="40"/>
      <c r="I19" s="40">
        <f>[17]MVTDEC24!$AH$41</f>
        <v>0</v>
      </c>
      <c r="J19" s="40">
        <f>[17]MVTDEC24!$V$41</f>
        <v>11817500</v>
      </c>
      <c r="K19" s="90"/>
      <c r="L19" s="40"/>
      <c r="M19" s="17">
        <f t="shared" si="0"/>
        <v>11948500</v>
      </c>
    </row>
    <row r="20" spans="1:13" ht="20" x14ac:dyDescent="0.4">
      <c r="A20" s="13"/>
      <c r="C20" s="16"/>
      <c r="D20" s="16"/>
      <c r="E20" s="16"/>
      <c r="F20" s="16"/>
      <c r="G20" s="14"/>
      <c r="H20" s="14"/>
      <c r="I20" s="16"/>
      <c r="J20" s="45"/>
      <c r="K20" s="45"/>
      <c r="L20" s="45"/>
      <c r="M20" s="17"/>
    </row>
    <row r="21" spans="1:13" ht="20" x14ac:dyDescent="0.4">
      <c r="A21" s="19"/>
      <c r="B21" s="4"/>
      <c r="C21" s="14"/>
      <c r="D21" s="14"/>
      <c r="E21" s="14"/>
      <c r="F21" s="14"/>
      <c r="G21" s="14"/>
      <c r="H21" s="14"/>
      <c r="I21" s="14"/>
      <c r="J21" s="44"/>
      <c r="K21" s="44"/>
      <c r="L21" s="44"/>
      <c r="M21" s="15"/>
    </row>
    <row r="22" spans="1:13" ht="20.5" thickBot="1" x14ac:dyDescent="0.45">
      <c r="A22" s="91" t="s">
        <v>23</v>
      </c>
      <c r="B22" s="92">
        <f t="shared" ref="B22:M22" si="1">SUM(B8:B21)</f>
        <v>0</v>
      </c>
      <c r="C22" s="92">
        <f t="shared" si="1"/>
        <v>0</v>
      </c>
      <c r="D22" s="92" t="e">
        <f t="shared" si="1"/>
        <v>#REF!</v>
      </c>
      <c r="E22" s="92" t="e">
        <f t="shared" si="1"/>
        <v>#REF!</v>
      </c>
      <c r="F22" s="92" t="e">
        <f t="shared" si="1"/>
        <v>#REF!</v>
      </c>
      <c r="G22" s="92" t="e">
        <f t="shared" si="1"/>
        <v>#REF!</v>
      </c>
      <c r="H22" s="92">
        <f t="shared" si="1"/>
        <v>0</v>
      </c>
      <c r="I22" s="92" t="e">
        <f t="shared" si="1"/>
        <v>#REF!</v>
      </c>
      <c r="J22" s="92" t="e">
        <f>SUM(J7:J21)</f>
        <v>#REF!</v>
      </c>
      <c r="K22" s="92">
        <f t="shared" si="1"/>
        <v>0</v>
      </c>
      <c r="L22" s="92">
        <f t="shared" si="1"/>
        <v>0</v>
      </c>
      <c r="M22" s="93" t="e">
        <f t="shared" si="1"/>
        <v>#REF!</v>
      </c>
    </row>
    <row r="23" spans="1:13" ht="15" thickTop="1" x14ac:dyDescent="0.35"/>
  </sheetData>
  <mergeCells count="1">
    <mergeCell ref="C2:I2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workbookViewId="0">
      <selection activeCell="B2" sqref="B2"/>
    </sheetView>
  </sheetViews>
  <sheetFormatPr baseColWidth="10" defaultRowHeight="14.5" x14ac:dyDescent="0.35"/>
  <cols>
    <col min="2" max="2" width="26.7265625" customWidth="1"/>
    <col min="3" max="3" width="19.1796875" bestFit="1" customWidth="1"/>
    <col min="4" max="4" width="18.26953125" bestFit="1" customWidth="1"/>
    <col min="5" max="5" width="17.7265625" customWidth="1"/>
    <col min="6" max="6" width="18.269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3" spans="1:6" ht="26.5" thickBot="1" x14ac:dyDescent="0.4">
      <c r="A3" s="163" t="s">
        <v>107</v>
      </c>
      <c r="B3" s="164"/>
      <c r="C3" s="164"/>
      <c r="D3" s="164"/>
      <c r="E3" s="164"/>
      <c r="F3" s="164"/>
    </row>
    <row r="4" spans="1:6" ht="37.5" thickTop="1" x14ac:dyDescent="0.45">
      <c r="A4" s="21" t="s">
        <v>108</v>
      </c>
      <c r="B4" s="23" t="s">
        <v>26</v>
      </c>
      <c r="C4" s="22" t="s">
        <v>27</v>
      </c>
      <c r="D4" s="23" t="s">
        <v>28</v>
      </c>
      <c r="E4" s="23" t="s">
        <v>29</v>
      </c>
      <c r="F4" s="24" t="s">
        <v>30</v>
      </c>
    </row>
    <row r="5" spans="1:6" x14ac:dyDescent="0.35">
      <c r="A5" s="143">
        <v>1</v>
      </c>
      <c r="B5" s="61" t="s">
        <v>193</v>
      </c>
      <c r="C5" s="61">
        <v>30596797</v>
      </c>
      <c r="D5" s="61">
        <f>DETAILFICHECASSATION!L44</f>
        <v>5700000</v>
      </c>
      <c r="E5" s="40">
        <f>+'DETAIL PRETENCIRCULATION'!C46</f>
        <v>17320000</v>
      </c>
      <c r="F5" s="26">
        <f>C5+D5-E5</f>
        <v>18976797</v>
      </c>
    </row>
    <row r="6" spans="1:6" x14ac:dyDescent="0.35">
      <c r="A6" s="143">
        <v>2</v>
      </c>
      <c r="B6" s="61" t="s">
        <v>2</v>
      </c>
      <c r="C6" s="61">
        <v>2293228</v>
      </c>
      <c r="D6" s="61">
        <f>DETAILFPNDSROULT!C46</f>
        <v>416000</v>
      </c>
      <c r="E6" s="40">
        <f>DETAILFPNDSROULT!F46</f>
        <v>266000</v>
      </c>
      <c r="F6" s="26">
        <f t="shared" ref="F6:F16" si="0">C6+D6-E6</f>
        <v>2443228</v>
      </c>
    </row>
    <row r="7" spans="1:6" x14ac:dyDescent="0.35">
      <c r="A7" s="143">
        <v>3</v>
      </c>
      <c r="B7" s="61" t="s">
        <v>33</v>
      </c>
      <c r="C7" s="61">
        <v>462960</v>
      </c>
      <c r="D7" s="61">
        <f>DETAILFRAISEXCEPTIONNEL!C46</f>
        <v>416000</v>
      </c>
      <c r="E7" s="40">
        <f>DETAILFRAISEXCEPTIONNEL!F46</f>
        <v>200000</v>
      </c>
      <c r="F7" s="26">
        <f t="shared" si="0"/>
        <v>678960</v>
      </c>
    </row>
    <row r="8" spans="1:6" x14ac:dyDescent="0.35">
      <c r="A8" s="143">
        <v>4</v>
      </c>
      <c r="B8" s="61" t="s">
        <v>34</v>
      </c>
      <c r="C8" s="61">
        <v>1654762</v>
      </c>
      <c r="D8" s="61">
        <f>DETAILFONDSMUTUEL!E44</f>
        <v>1160000</v>
      </c>
      <c r="E8" s="40">
        <f>DETAILFONDSMUTUEL!H44</f>
        <v>1060000</v>
      </c>
      <c r="F8" s="26">
        <f t="shared" si="0"/>
        <v>1754762</v>
      </c>
    </row>
    <row r="9" spans="1:6" x14ac:dyDescent="0.35">
      <c r="A9" s="143">
        <v>5</v>
      </c>
      <c r="B9" s="61" t="s">
        <v>6</v>
      </c>
      <c r="C9" s="61">
        <v>830000</v>
      </c>
      <c r="D9" s="61">
        <f>DETAILINSCRIPTION!C46</f>
        <v>25000</v>
      </c>
      <c r="E9" s="40">
        <f>DETAILINSCRIPTION!F46</f>
        <v>0</v>
      </c>
      <c r="F9" s="26">
        <f t="shared" si="0"/>
        <v>855000</v>
      </c>
    </row>
    <row r="10" spans="1:6" x14ac:dyDescent="0.35">
      <c r="A10" s="143">
        <v>6</v>
      </c>
      <c r="B10" s="61" t="s">
        <v>194</v>
      </c>
      <c r="C10" s="61">
        <v>940025</v>
      </c>
      <c r="D10" s="61">
        <f>DETAILPENALITES!C46</f>
        <v>104000</v>
      </c>
      <c r="E10" s="40">
        <f>DETAILPENALITES!H46</f>
        <v>0</v>
      </c>
      <c r="F10" s="26">
        <f t="shared" si="0"/>
        <v>1044025</v>
      </c>
    </row>
    <row r="11" spans="1:6" x14ac:dyDescent="0.35">
      <c r="A11" s="143">
        <v>7</v>
      </c>
      <c r="B11" s="14" t="s">
        <v>196</v>
      </c>
      <c r="C11" s="61">
        <v>10750</v>
      </c>
      <c r="D11" s="61">
        <f>DETAILPENALITES!D46</f>
        <v>5000</v>
      </c>
      <c r="E11" s="40">
        <f>DETAILPENALITES!I46</f>
        <v>0</v>
      </c>
      <c r="F11" s="26">
        <f t="shared" si="0"/>
        <v>15750</v>
      </c>
    </row>
    <row r="12" spans="1:6" x14ac:dyDescent="0.35">
      <c r="A12" s="143">
        <v>8</v>
      </c>
      <c r="B12" s="61" t="s">
        <v>4</v>
      </c>
      <c r="C12" s="61">
        <v>1962525</v>
      </c>
      <c r="D12" s="61">
        <f>DETAILCOLLATION!C46</f>
        <v>1664000</v>
      </c>
      <c r="E12" s="40">
        <f>DETAILCOLLATION!F46</f>
        <v>1270000</v>
      </c>
      <c r="F12" s="26">
        <f t="shared" si="0"/>
        <v>2356525</v>
      </c>
    </row>
    <row r="13" spans="1:6" x14ac:dyDescent="0.35">
      <c r="A13" s="143">
        <v>9</v>
      </c>
      <c r="B13" s="61" t="s">
        <v>195</v>
      </c>
      <c r="C13" s="61">
        <v>135828</v>
      </c>
      <c r="D13" s="61"/>
      <c r="E13" s="40">
        <f>DETAILAGIOS!B21</f>
        <v>32207</v>
      </c>
      <c r="F13" s="26">
        <f t="shared" ref="F13" si="1">C13+D13-E13</f>
        <v>103621</v>
      </c>
    </row>
    <row r="14" spans="1:6" x14ac:dyDescent="0.35">
      <c r="A14" s="143">
        <v>10</v>
      </c>
      <c r="B14" s="61" t="s">
        <v>35</v>
      </c>
      <c r="C14" s="61">
        <v>371000</v>
      </c>
      <c r="D14" s="61">
        <f>DETAILFOYER!C46</f>
        <v>475000</v>
      </c>
      <c r="E14" s="40">
        <f>DETAILFOYER!F46</f>
        <v>6871000</v>
      </c>
      <c r="F14" s="26">
        <f t="shared" si="0"/>
        <v>-6025000</v>
      </c>
    </row>
    <row r="15" spans="1:6" x14ac:dyDescent="0.35">
      <c r="A15" s="143">
        <v>11</v>
      </c>
      <c r="B15" s="61" t="s">
        <v>179</v>
      </c>
      <c r="C15" s="61">
        <v>-15300000</v>
      </c>
      <c r="D15" s="61"/>
      <c r="E15" s="40">
        <f>+DETAILAUTREDEPENSE!C31</f>
        <v>430000</v>
      </c>
      <c r="F15" s="26">
        <f t="shared" si="0"/>
        <v>-15730000</v>
      </c>
    </row>
    <row r="16" spans="1:6" x14ac:dyDescent="0.35">
      <c r="A16" s="143">
        <v>12</v>
      </c>
      <c r="B16" s="61" t="s">
        <v>180</v>
      </c>
      <c r="C16" s="61">
        <v>1398000</v>
      </c>
      <c r="D16" s="61"/>
      <c r="E16" s="40"/>
      <c r="F16" s="26">
        <f t="shared" si="0"/>
        <v>1398000</v>
      </c>
    </row>
    <row r="17" spans="1:8" x14ac:dyDescent="0.35">
      <c r="A17" s="143">
        <v>13</v>
      </c>
      <c r="B17" s="61" t="s">
        <v>197</v>
      </c>
      <c r="C17" s="61"/>
      <c r="D17" s="61"/>
      <c r="E17" s="40"/>
      <c r="F17" s="26">
        <f>C17+D17-E17</f>
        <v>0</v>
      </c>
    </row>
    <row r="18" spans="1:8" x14ac:dyDescent="0.35">
      <c r="A18" s="143"/>
      <c r="B18" s="61"/>
      <c r="C18" s="61"/>
      <c r="D18" s="61"/>
      <c r="E18" s="40"/>
      <c r="F18" s="26">
        <f>C18+D18-E18</f>
        <v>0</v>
      </c>
    </row>
    <row r="19" spans="1:8" x14ac:dyDescent="0.35">
      <c r="A19" s="19"/>
      <c r="B19" s="33"/>
      <c r="C19" s="25"/>
      <c r="D19" s="25"/>
      <c r="E19" s="40"/>
      <c r="F19" s="26"/>
    </row>
    <row r="20" spans="1:8" ht="20.5" thickBot="1" x14ac:dyDescent="0.45">
      <c r="A20" s="67"/>
      <c r="B20" s="68" t="s">
        <v>23</v>
      </c>
      <c r="C20" s="69">
        <f>SUM(C5:C19)</f>
        <v>25355875</v>
      </c>
      <c r="D20" s="69">
        <f t="shared" ref="D20:F20" si="2">SUM(D5:D19)</f>
        <v>9965000</v>
      </c>
      <c r="E20" s="69">
        <f t="shared" si="2"/>
        <v>27449207</v>
      </c>
      <c r="F20" s="87">
        <f t="shared" si="2"/>
        <v>7871668</v>
      </c>
    </row>
    <row r="21" spans="1:8" ht="15" thickTop="1" x14ac:dyDescent="0.35"/>
    <row r="24" spans="1:8" ht="23.5" x14ac:dyDescent="0.55000000000000004">
      <c r="B24" s="158" t="s">
        <v>119</v>
      </c>
      <c r="C24" s="159"/>
      <c r="D24" s="159"/>
      <c r="E24" s="159"/>
      <c r="F24" s="159"/>
      <c r="G24" s="70"/>
    </row>
    <row r="25" spans="1:8" x14ac:dyDescent="0.35">
      <c r="A25" s="70"/>
      <c r="B25" s="71"/>
      <c r="C25" s="72"/>
      <c r="D25" s="72"/>
      <c r="E25" s="73"/>
      <c r="F25" s="72"/>
      <c r="G25" s="27"/>
    </row>
    <row r="26" spans="1:8" x14ac:dyDescent="0.35">
      <c r="A26" s="70"/>
      <c r="B26" s="71"/>
      <c r="C26" s="72"/>
      <c r="D26" s="72"/>
      <c r="E26" s="73"/>
      <c r="F26" s="72"/>
      <c r="G26" s="27"/>
    </row>
    <row r="27" spans="1:8" ht="15" thickBot="1" x14ac:dyDescent="0.4">
      <c r="A27" s="70"/>
      <c r="B27" s="71"/>
      <c r="C27" s="72">
        <v>2024</v>
      </c>
      <c r="D27" s="72">
        <v>2025</v>
      </c>
      <c r="E27" s="73"/>
      <c r="F27" s="72"/>
      <c r="G27" s="27"/>
    </row>
    <row r="28" spans="1:8" ht="15" thickTop="1" x14ac:dyDescent="0.35">
      <c r="A28" s="74">
        <v>1</v>
      </c>
      <c r="B28" s="75" t="s">
        <v>198</v>
      </c>
      <c r="C28" s="76">
        <v>0</v>
      </c>
      <c r="D28" s="77">
        <f>+'BILAN 2024'!D33</f>
        <v>0</v>
      </c>
      <c r="E28" s="73"/>
      <c r="F28" s="72"/>
      <c r="G28" s="27"/>
    </row>
    <row r="29" spans="1:8" x14ac:dyDescent="0.35">
      <c r="A29" s="19">
        <v>2</v>
      </c>
      <c r="B29" s="14" t="s">
        <v>121</v>
      </c>
      <c r="C29" s="78">
        <v>640005</v>
      </c>
      <c r="D29" s="78"/>
      <c r="E29" s="73"/>
      <c r="F29" s="72"/>
      <c r="G29" s="27"/>
      <c r="H29" s="27"/>
    </row>
    <row r="30" spans="1:8" x14ac:dyDescent="0.35">
      <c r="A30" s="19">
        <v>3</v>
      </c>
      <c r="B30" s="14" t="s">
        <v>42</v>
      </c>
      <c r="C30" s="61">
        <v>5265069</v>
      </c>
      <c r="D30" s="78"/>
      <c r="E30" s="73"/>
      <c r="F30" s="72"/>
      <c r="G30" s="27"/>
    </row>
    <row r="31" spans="1:8" x14ac:dyDescent="0.35">
      <c r="A31" s="19">
        <v>4</v>
      </c>
      <c r="B31" s="14" t="s">
        <v>122</v>
      </c>
      <c r="C31" s="61">
        <f>'BILAN 2024'!C36</f>
        <v>744700</v>
      </c>
      <c r="D31" s="78"/>
      <c r="E31" s="73"/>
      <c r="F31" s="72"/>
      <c r="G31" s="27"/>
    </row>
    <row r="32" spans="1:8" x14ac:dyDescent="0.35">
      <c r="A32" s="19">
        <v>6</v>
      </c>
      <c r="B32" s="14" t="s">
        <v>124</v>
      </c>
      <c r="C32" s="61">
        <f>'BILAN 2024'!C38</f>
        <v>154000</v>
      </c>
      <c r="D32" s="78"/>
      <c r="E32" s="72"/>
      <c r="F32" s="72"/>
      <c r="G32" s="27"/>
    </row>
    <row r="33" spans="1:7" x14ac:dyDescent="0.35">
      <c r="A33" s="19">
        <v>7</v>
      </c>
      <c r="B33" s="14" t="s">
        <v>125</v>
      </c>
      <c r="C33" s="61">
        <v>20222684</v>
      </c>
      <c r="D33" s="78">
        <f>+'DETAIL PRETENCIRCULATION'!C46</f>
        <v>17320000</v>
      </c>
      <c r="E33" s="72"/>
      <c r="F33" s="72"/>
      <c r="G33" s="27"/>
    </row>
    <row r="34" spans="1:7" x14ac:dyDescent="0.35">
      <c r="A34" s="19"/>
      <c r="B34" s="14" t="s">
        <v>199</v>
      </c>
      <c r="C34" s="78">
        <v>150000</v>
      </c>
      <c r="D34" s="78"/>
      <c r="E34" s="73"/>
      <c r="F34" s="72"/>
      <c r="G34" s="27"/>
    </row>
    <row r="35" spans="1:7" x14ac:dyDescent="0.35">
      <c r="A35" s="62"/>
      <c r="B35" s="126"/>
      <c r="C35" s="64"/>
      <c r="D35" s="66"/>
      <c r="E35" s="73"/>
      <c r="F35" s="72"/>
      <c r="G35" s="27"/>
    </row>
    <row r="36" spans="1:7" ht="15" thickBot="1" x14ac:dyDescent="0.4">
      <c r="A36" s="67"/>
      <c r="B36" s="57" t="s">
        <v>23</v>
      </c>
      <c r="C36" s="38">
        <f>SUM(C28:C34)</f>
        <v>27176458</v>
      </c>
      <c r="D36" s="32">
        <f>SUM(D28:D34)</f>
        <v>17320000</v>
      </c>
      <c r="E36" s="79"/>
      <c r="F36" s="72"/>
      <c r="G36" s="30"/>
    </row>
    <row r="37" spans="1:7" ht="15" thickTop="1" x14ac:dyDescent="0.35"/>
  </sheetData>
  <mergeCells count="2">
    <mergeCell ref="A3:F3"/>
    <mergeCell ref="B24:F2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73"/>
  <sheetViews>
    <sheetView zoomScale="104" zoomScaleNormal="104" workbookViewId="0">
      <pane xSplit="2" ySplit="5" topLeftCell="K45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L44" sqref="L44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4" width="16.81640625" customWidth="1"/>
    <col min="15" max="15" width="20.7265625" customWidth="1"/>
    <col min="16" max="16" width="15" bestFit="1" customWidth="1"/>
    <col min="17" max="17" width="17.54296875" style="46" bestFit="1" customWidth="1"/>
    <col min="18" max="18" width="16.54296875" customWidth="1"/>
    <col min="19" max="19" width="13.54296875" customWidth="1"/>
    <col min="20" max="20" width="14.08984375" customWidth="1"/>
    <col min="22" max="22" width="14.08984375" customWidth="1"/>
  </cols>
  <sheetData>
    <row r="1" spans="1:22" x14ac:dyDescent="0.35">
      <c r="A1" s="1" t="s">
        <v>94</v>
      </c>
      <c r="B1" s="1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</row>
    <row r="2" spans="1:22" x14ac:dyDescent="0.35">
      <c r="A2" s="1" t="s">
        <v>10</v>
      </c>
      <c r="B2" s="1">
        <v>2025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</row>
    <row r="3" spans="1:22" x14ac:dyDescent="0.35">
      <c r="A3" s="1"/>
      <c r="B3" s="42"/>
      <c r="C3" s="42"/>
      <c r="D3" s="4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42"/>
    </row>
    <row r="4" spans="1:22" ht="26.5" thickBot="1" x14ac:dyDescent="0.65">
      <c r="B4" s="47"/>
      <c r="C4" s="47"/>
      <c r="D4" s="47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48"/>
      <c r="R4" s="47"/>
    </row>
    <row r="5" spans="1:22" ht="57" thickTop="1" x14ac:dyDescent="0.35">
      <c r="A5" s="49" t="s">
        <v>96</v>
      </c>
      <c r="B5" s="50" t="s">
        <v>52</v>
      </c>
      <c r="C5" s="50" t="s">
        <v>32</v>
      </c>
      <c r="D5" s="50" t="s">
        <v>152</v>
      </c>
      <c r="E5" s="51" t="s">
        <v>97</v>
      </c>
      <c r="F5" s="50" t="s">
        <v>1</v>
      </c>
      <c r="G5" s="51" t="s">
        <v>98</v>
      </c>
      <c r="H5" s="51" t="s">
        <v>99</v>
      </c>
      <c r="I5" s="51" t="s">
        <v>201</v>
      </c>
      <c r="J5" s="50" t="s">
        <v>51</v>
      </c>
      <c r="K5" s="51" t="s">
        <v>56</v>
      </c>
      <c r="L5" s="51" t="s">
        <v>55</v>
      </c>
      <c r="M5" s="51" t="s">
        <v>176</v>
      </c>
      <c r="N5" s="51" t="s">
        <v>100</v>
      </c>
      <c r="O5" s="51" t="s">
        <v>101</v>
      </c>
      <c r="P5" s="51" t="s">
        <v>102</v>
      </c>
      <c r="Q5" s="51" t="s">
        <v>184</v>
      </c>
      <c r="R5" s="51" t="s">
        <v>54</v>
      </c>
      <c r="S5" s="52" t="s">
        <v>200</v>
      </c>
      <c r="T5" s="51" t="s">
        <v>202</v>
      </c>
      <c r="U5" s="51" t="s">
        <v>203</v>
      </c>
      <c r="V5" s="155" t="s">
        <v>92</v>
      </c>
    </row>
    <row r="6" spans="1:22" x14ac:dyDescent="0.35">
      <c r="A6" s="13" t="s">
        <v>90</v>
      </c>
      <c r="B6" s="33" t="str">
        <f>VLOOKUP($A$6,[12]LISTADHERENT!$A$5:$K$43,3,0)</f>
        <v>ASELBY</v>
      </c>
      <c r="C6" s="25">
        <f>VLOOKUP($A6,[13]MVTRESUME25!$A$6:$AL$45,3,0)</f>
        <v>0</v>
      </c>
      <c r="D6" s="25">
        <f>VLOOKUP($A6,[13]MVTRESUME25!$A$6:$AL$45,4,0)</f>
        <v>1023134</v>
      </c>
      <c r="E6" s="25">
        <v>82902</v>
      </c>
      <c r="F6" s="25">
        <f>VLOOKUP($A6,[13]MVTRESUME25!$A$6:$AL$45,12,0)</f>
        <v>80000</v>
      </c>
      <c r="G6" s="25"/>
      <c r="H6" s="25"/>
      <c r="I6" s="25">
        <f>+D6+E6+F6+G6+H6</f>
        <v>1186036</v>
      </c>
      <c r="J6" s="25">
        <f>VLOOKUP($A6,[13]MVTRESUME25!$A$6:$AL$45,10,0)</f>
        <v>0</v>
      </c>
      <c r="K6" s="25"/>
      <c r="L6" s="25"/>
      <c r="M6" s="25">
        <f>VLOOKUP($A6,[13]MVTDEC25!$A$6:$AL$45,19,0)</f>
        <v>0</v>
      </c>
      <c r="N6" s="25">
        <f>J6+K6+L6+M6</f>
        <v>0</v>
      </c>
      <c r="O6" s="25">
        <f>I6-N6-S6</f>
        <v>1186036</v>
      </c>
      <c r="P6" s="25"/>
      <c r="Q6" s="25">
        <f>O6-P6-S6</f>
        <v>1186036</v>
      </c>
      <c r="R6" s="25"/>
      <c r="S6" s="29"/>
      <c r="T6" s="25"/>
      <c r="U6" s="25"/>
      <c r="V6" s="25">
        <v>82902</v>
      </c>
    </row>
    <row r="7" spans="1:22" x14ac:dyDescent="0.35">
      <c r="A7" s="13" t="s">
        <v>62</v>
      </c>
      <c r="B7" s="33" t="str">
        <f>VLOOKUP(A7,[12]LISTADHERENT!$A$5:$K$43,3,0)</f>
        <v>BAKOP ACHILLE</v>
      </c>
      <c r="C7" s="25">
        <f>VLOOKUP($A7,[13]MVTRESUME25!$A$6:$AL$45,3,0)</f>
        <v>800000</v>
      </c>
      <c r="D7" s="25">
        <f>VLOOKUP($A7,[13]MVTRESUME25!$A$6:$AL$45,4,0)</f>
        <v>18598</v>
      </c>
      <c r="E7" s="25">
        <v>68535</v>
      </c>
      <c r="F7" s="25">
        <f>VLOOKUP($A7,[13]MVTRESUME25!$A$6:$AL$45,12,0)</f>
        <v>223000</v>
      </c>
      <c r="G7" s="25"/>
      <c r="H7" s="25"/>
      <c r="I7" s="25">
        <f t="shared" ref="I7:I42" si="0">+D7+E7+F7+G7+H7</f>
        <v>310133</v>
      </c>
      <c r="J7" s="25">
        <f>VLOOKUP($A7,[13]MVTRESUME25!$A$6:$AL$45,10,0)</f>
        <v>0</v>
      </c>
      <c r="K7" s="25">
        <v>30000</v>
      </c>
      <c r="L7" s="25">
        <v>100000</v>
      </c>
      <c r="M7" s="25">
        <f>VLOOKUP($A7,[13]MVTRESUME25!$A$6:$AL$45,23,0)</f>
        <v>0</v>
      </c>
      <c r="N7" s="25">
        <f>J7+K7+L7+M7</f>
        <v>130000</v>
      </c>
      <c r="O7" s="25">
        <f>I7-N7</f>
        <v>180133</v>
      </c>
      <c r="P7" s="25">
        <f>T7</f>
        <v>80000</v>
      </c>
      <c r="Q7" s="25">
        <f t="shared" ref="Q7:Q42" si="1">O7-P7-S7</f>
        <v>133</v>
      </c>
      <c r="R7" s="25">
        <f>C7+L7</f>
        <v>900000</v>
      </c>
      <c r="S7" s="144">
        <v>100000</v>
      </c>
      <c r="T7" s="25">
        <v>80000</v>
      </c>
      <c r="U7" s="25"/>
      <c r="V7" s="25">
        <v>68535</v>
      </c>
    </row>
    <row r="8" spans="1:22" x14ac:dyDescent="0.35">
      <c r="A8" s="13" t="s">
        <v>63</v>
      </c>
      <c r="B8" s="33" t="str">
        <f>VLOOKUP(A8,[12]LISTADHERENT!$A$5:$K$43,3,0)</f>
        <v>BOUTCHOUANG WILLIAM</v>
      </c>
      <c r="C8" s="25">
        <f>VLOOKUP($A8,[13]MVTRESUME25!$A$6:$AL$45,3,0)</f>
        <v>800000</v>
      </c>
      <c r="D8" s="25">
        <f>VLOOKUP($A8,[13]MVTRESUME25!$A$6:$AL$45,4,0)</f>
        <v>132669</v>
      </c>
      <c r="E8" s="25">
        <v>77823</v>
      </c>
      <c r="F8" s="25">
        <f>VLOOKUP($A8,[13]MVTRESUME25!$A$6:$AL$45,12,0)</f>
        <v>228000</v>
      </c>
      <c r="G8" s="25"/>
      <c r="H8" s="25"/>
      <c r="I8" s="25">
        <f t="shared" si="0"/>
        <v>438492</v>
      </c>
      <c r="J8" s="25">
        <f>VLOOKUP($A8,[13]MVTRESUME25!$A$6:$AL$45,10,0)</f>
        <v>0</v>
      </c>
      <c r="K8" s="25">
        <v>30000</v>
      </c>
      <c r="L8" s="25">
        <v>100000</v>
      </c>
      <c r="M8" s="25">
        <f>VLOOKUP($A8,[13]MVTRESUME25!$A$6:$AL$45,23,0)</f>
        <v>0</v>
      </c>
      <c r="N8" s="25">
        <f t="shared" ref="N8:N11" si="2">J8+K8+L8+M8</f>
        <v>130000</v>
      </c>
      <c r="O8" s="25">
        <f t="shared" ref="O8:O42" si="3">I8-N8</f>
        <v>308492</v>
      </c>
      <c r="P8" s="25">
        <f t="shared" ref="P8:P11" si="4">T8</f>
        <v>250000</v>
      </c>
      <c r="Q8" s="25">
        <f t="shared" si="1"/>
        <v>58492</v>
      </c>
      <c r="R8" s="25">
        <f t="shared" ref="R8:R42" si="5">C8+L8</f>
        <v>900000</v>
      </c>
      <c r="S8" s="29"/>
      <c r="T8" s="25">
        <v>250000</v>
      </c>
      <c r="U8" s="25"/>
      <c r="V8" s="25">
        <v>77823</v>
      </c>
    </row>
    <row r="9" spans="1:22" x14ac:dyDescent="0.35">
      <c r="A9" s="13" t="s">
        <v>64</v>
      </c>
      <c r="B9" s="33" t="str">
        <f>VLOOKUP(A9,[12]LISTADHERENT!$A$5:$K$43,3,0)</f>
        <v xml:space="preserve">DJOMO JEAN PAUL </v>
      </c>
      <c r="C9" s="25">
        <f>VLOOKUP($A9,[13]MVTRESUME25!$A$6:$AL$45,3,0)</f>
        <v>800000</v>
      </c>
      <c r="D9" s="25">
        <f>VLOOKUP($A9,[13]MVTRESUME25!$A$6:$AL$45,4,0)</f>
        <v>6643</v>
      </c>
      <c r="E9" s="25">
        <v>67612</v>
      </c>
      <c r="F9" s="25">
        <f>VLOOKUP($A9,[13]MVTRESUME25!$A$6:$AL$45,12,0)</f>
        <v>228000</v>
      </c>
      <c r="G9" s="25"/>
      <c r="H9" s="25"/>
      <c r="I9" s="25">
        <f t="shared" si="0"/>
        <v>302255</v>
      </c>
      <c r="J9" s="25">
        <f>VLOOKUP($A9,[13]MVTRESUME25!$A$6:$AL$45,10,0)</f>
        <v>5000</v>
      </c>
      <c r="K9" s="25">
        <v>30000</v>
      </c>
      <c r="L9" s="25">
        <v>100000</v>
      </c>
      <c r="M9" s="25">
        <f>VLOOKUP($A9,[13]MVTRESUME25!$A$6:$AL$45,23,0)</f>
        <v>0</v>
      </c>
      <c r="N9" s="25">
        <f>J9+K9+L9+M9</f>
        <v>135000</v>
      </c>
      <c r="O9" s="25">
        <f t="shared" si="3"/>
        <v>167255</v>
      </c>
      <c r="P9" s="25">
        <f t="shared" si="4"/>
        <v>0</v>
      </c>
      <c r="Q9" s="25">
        <f t="shared" si="1"/>
        <v>167255</v>
      </c>
      <c r="R9" s="25">
        <f t="shared" si="5"/>
        <v>900000</v>
      </c>
      <c r="S9" s="29"/>
      <c r="T9" s="25"/>
      <c r="U9" s="25"/>
      <c r="V9" s="25">
        <v>67612</v>
      </c>
    </row>
    <row r="10" spans="1:22" x14ac:dyDescent="0.35">
      <c r="A10" s="13" t="s">
        <v>103</v>
      </c>
      <c r="B10" s="33" t="str">
        <f>VLOOKUP(A10,[12]LISTADHERENT!$A$5:$K$43,3,0)</f>
        <v>DJOMOU TCHAPDA</v>
      </c>
      <c r="C10" s="25">
        <f>VLOOKUP($A10,[13]MVTRESUME25!$A$6:$AL$45,3,0)</f>
        <v>800000</v>
      </c>
      <c r="D10" s="25">
        <f>VLOOKUP($A10,[13]MVTRESUME25!$A$6:$AL$45,4,0)</f>
        <v>7246</v>
      </c>
      <c r="E10" s="25">
        <v>67876</v>
      </c>
      <c r="F10" s="25">
        <f>VLOOKUP($A10,[13]MVTRESUME25!$A$6:$AL$45,12,0)</f>
        <v>235500</v>
      </c>
      <c r="G10" s="25"/>
      <c r="H10" s="25"/>
      <c r="I10" s="25">
        <f t="shared" si="0"/>
        <v>310622</v>
      </c>
      <c r="J10" s="25">
        <f>VLOOKUP($A10,[13]MVTRESUME25!$A$6:$AL$45,10,0)</f>
        <v>0</v>
      </c>
      <c r="K10" s="25">
        <v>30000</v>
      </c>
      <c r="L10" s="25">
        <v>100000</v>
      </c>
      <c r="M10" s="25">
        <f>VLOOKUP($A10,[13]MVTRESUME25!$A$6:$AL$45,23,0)</f>
        <v>0</v>
      </c>
      <c r="N10" s="25">
        <f t="shared" si="2"/>
        <v>130000</v>
      </c>
      <c r="O10" s="25">
        <f t="shared" si="3"/>
        <v>180622</v>
      </c>
      <c r="P10" s="25">
        <f t="shared" si="4"/>
        <v>70000</v>
      </c>
      <c r="Q10" s="25">
        <f t="shared" si="1"/>
        <v>10622</v>
      </c>
      <c r="R10" s="25">
        <f t="shared" si="5"/>
        <v>900000</v>
      </c>
      <c r="S10" s="144">
        <v>100000</v>
      </c>
      <c r="T10" s="25">
        <v>70000</v>
      </c>
      <c r="U10" s="25"/>
      <c r="V10" s="25">
        <v>67876</v>
      </c>
    </row>
    <row r="11" spans="1:22" x14ac:dyDescent="0.35">
      <c r="A11" s="13" t="s">
        <v>65</v>
      </c>
      <c r="B11" s="33" t="str">
        <f>VLOOKUP(A11,[12]LISTADHERENT!$A$5:$K$43,3,0)</f>
        <v>DJOUKWE NANGUEN GUY BLAISE</v>
      </c>
      <c r="C11" s="25">
        <f>VLOOKUP($A11,[13]MVTRESUME25!$A$6:$AL$45,3,0)</f>
        <v>800000</v>
      </c>
      <c r="D11" s="25">
        <f>VLOOKUP($A11,[13]MVTRESUME25!$A$6:$AL$45,4,0)</f>
        <v>6032</v>
      </c>
      <c r="E11" s="25">
        <v>68550</v>
      </c>
      <c r="F11" s="25">
        <f>VLOOKUP($A11,[13]MVTRESUME25!$A$6:$AL$45,12,0)</f>
        <v>478375</v>
      </c>
      <c r="G11" s="25"/>
      <c r="H11" s="25"/>
      <c r="I11" s="25">
        <f t="shared" si="0"/>
        <v>552957</v>
      </c>
      <c r="J11" s="25">
        <f>VLOOKUP($A11,[13]MVTRESUME25!$A$6:$AL$45,10,0)</f>
        <v>0</v>
      </c>
      <c r="K11" s="25">
        <v>30000</v>
      </c>
      <c r="L11" s="25">
        <v>100000</v>
      </c>
      <c r="M11" s="25">
        <f>VLOOKUP($A11,[13]MVTRESUME25!$A$6:$AL$45,23,0)</f>
        <v>0</v>
      </c>
      <c r="N11" s="25">
        <f t="shared" si="2"/>
        <v>130000</v>
      </c>
      <c r="O11" s="25">
        <f t="shared" si="3"/>
        <v>422957</v>
      </c>
      <c r="P11" s="25">
        <f t="shared" si="4"/>
        <v>400000</v>
      </c>
      <c r="Q11" s="25">
        <f t="shared" si="1"/>
        <v>-18043</v>
      </c>
      <c r="R11" s="25">
        <f t="shared" si="5"/>
        <v>900000</v>
      </c>
      <c r="S11" s="144">
        <v>41000</v>
      </c>
      <c r="T11" s="25">
        <v>400000</v>
      </c>
      <c r="U11" s="25"/>
      <c r="V11" s="25">
        <v>68550</v>
      </c>
    </row>
    <row r="12" spans="1:22" x14ac:dyDescent="0.35">
      <c r="A12" s="13" t="s">
        <v>66</v>
      </c>
      <c r="B12" s="33" t="str">
        <f>VLOOKUP(A12,[12]LISTADHERENT!$A$5:$K$43,3,0)</f>
        <v>DJUOMBESSY ANTOINE</v>
      </c>
      <c r="C12" s="25">
        <f>VLOOKUP($A12,[13]MVTRESUME25!$A$6:$AL$45,3,0)</f>
        <v>800000</v>
      </c>
      <c r="D12" s="25">
        <f>VLOOKUP($A12,[13]MVTRESUME25!$A$6:$AL$45,4,0)</f>
        <v>14486</v>
      </c>
      <c r="E12" s="25">
        <v>85054</v>
      </c>
      <c r="F12" s="25">
        <f>VLOOKUP($A12,[13]MVTRESUME25!$A$6:$AL$45,12,0)</f>
        <v>1208500</v>
      </c>
      <c r="G12" s="25"/>
      <c r="H12" s="25"/>
      <c r="I12" s="25">
        <f t="shared" si="0"/>
        <v>1308040</v>
      </c>
      <c r="J12" s="25">
        <f>VLOOKUP($A12,[13]MVTRESUME25!$A$6:$AL$45,10,0)</f>
        <v>0</v>
      </c>
      <c r="K12" s="25">
        <v>30000</v>
      </c>
      <c r="L12" s="25">
        <v>100000</v>
      </c>
      <c r="M12" s="25">
        <f>VLOOKUP($A12,[13]MVTRESUME25!$A$6:$AL$45,23,0)</f>
        <v>0</v>
      </c>
      <c r="N12" s="25">
        <f>J12+K12+L12</f>
        <v>130000</v>
      </c>
      <c r="O12" s="25">
        <f t="shared" si="3"/>
        <v>1178040</v>
      </c>
      <c r="P12" s="25">
        <v>400000</v>
      </c>
      <c r="Q12" s="25">
        <f t="shared" si="1"/>
        <v>678040</v>
      </c>
      <c r="R12" s="25">
        <f t="shared" si="5"/>
        <v>900000</v>
      </c>
      <c r="S12" s="144">
        <v>100000</v>
      </c>
      <c r="T12" s="25"/>
      <c r="U12" s="25">
        <v>400000</v>
      </c>
      <c r="V12" s="25">
        <v>85054</v>
      </c>
    </row>
    <row r="13" spans="1:22" x14ac:dyDescent="0.35">
      <c r="A13" s="13" t="s">
        <v>87</v>
      </c>
      <c r="B13" s="33" t="str">
        <f>VLOOKUP(A13,[12]LISTADHERENT!$A$5:$K$43,3,0)</f>
        <v>DOMOU FABIEN</v>
      </c>
      <c r="C13" s="25">
        <f>VLOOKUP($A13,[13]MVTRESUME25!$A$6:$AL$45,3,0)</f>
        <v>800000</v>
      </c>
      <c r="D13" s="25">
        <f>VLOOKUP($A13,[13]MVTRESUME25!$A$6:$AL$45,4,0)</f>
        <v>6365</v>
      </c>
      <c r="E13" s="25">
        <v>67590</v>
      </c>
      <c r="F13" s="25">
        <f>VLOOKUP($A13,[13]MVTRESUME25!$A$6:$AL$45,12,0)</f>
        <v>228000</v>
      </c>
      <c r="G13" s="25"/>
      <c r="H13" s="25"/>
      <c r="I13" s="25">
        <f t="shared" si="0"/>
        <v>301955</v>
      </c>
      <c r="J13" s="25">
        <f>VLOOKUP($A13,[13]MVTRESUME25!$A$6:$AL$45,10,0)</f>
        <v>0</v>
      </c>
      <c r="K13" s="25">
        <v>30000</v>
      </c>
      <c r="L13" s="25">
        <v>100000</v>
      </c>
      <c r="M13" s="25">
        <f>VLOOKUP($A13,[13]MVTRESUME25!$A$6:$AL$45,23,0)</f>
        <v>0</v>
      </c>
      <c r="N13" s="25">
        <f t="shared" ref="N13:N42" si="6">J13+K13+L13</f>
        <v>130000</v>
      </c>
      <c r="O13" s="25">
        <f t="shared" si="3"/>
        <v>171955</v>
      </c>
      <c r="P13" s="25">
        <f>+T13</f>
        <v>170000</v>
      </c>
      <c r="Q13" s="25">
        <f t="shared" si="1"/>
        <v>1955</v>
      </c>
      <c r="R13" s="25">
        <f t="shared" si="5"/>
        <v>900000</v>
      </c>
      <c r="S13" s="29"/>
      <c r="T13" s="25">
        <v>170000</v>
      </c>
      <c r="U13" s="25"/>
      <c r="V13" s="25">
        <v>67590</v>
      </c>
    </row>
    <row r="14" spans="1:22" x14ac:dyDescent="0.35">
      <c r="A14" s="13" t="s">
        <v>67</v>
      </c>
      <c r="B14" s="33" t="str">
        <f>VLOOKUP(A14,[12]LISTADHERENT!$A$5:$K$43,3,0)</f>
        <v>DONHOU DAVID</v>
      </c>
      <c r="C14" s="25">
        <f>VLOOKUP($A14,[13]MVTRESUME25!$A$6:$AL$45,3,0)</f>
        <v>800000</v>
      </c>
      <c r="D14" s="25">
        <f>VLOOKUP($A14,[13]MVTRESUME25!$A$6:$AL$45,4,0)</f>
        <v>702391</v>
      </c>
      <c r="E14" s="25">
        <v>123976</v>
      </c>
      <c r="F14" s="25">
        <f>VLOOKUP($A14,[13]MVTRESUME25!$A$6:$AL$45,12,0)</f>
        <v>225000</v>
      </c>
      <c r="G14" s="25"/>
      <c r="H14" s="25"/>
      <c r="I14" s="25">
        <f t="shared" si="0"/>
        <v>1051367</v>
      </c>
      <c r="J14" s="25">
        <f>VLOOKUP($A14,[13]MVTRESUME25!$A$6:$AL$45,10,0)</f>
        <v>0</v>
      </c>
      <c r="K14" s="25">
        <v>30000</v>
      </c>
      <c r="L14" s="25">
        <v>100000</v>
      </c>
      <c r="M14" s="25">
        <f>VLOOKUP($A14,[13]MVTRESUME25!$A$6:$AL$45,23,0)</f>
        <v>0</v>
      </c>
      <c r="N14" s="25">
        <f t="shared" si="6"/>
        <v>130000</v>
      </c>
      <c r="O14" s="25">
        <f t="shared" si="3"/>
        <v>921367</v>
      </c>
      <c r="P14" s="25">
        <f t="shared" ref="P14:P42" si="7">+T14</f>
        <v>0</v>
      </c>
      <c r="Q14" s="25">
        <f t="shared" si="1"/>
        <v>921367</v>
      </c>
      <c r="R14" s="25">
        <f t="shared" si="5"/>
        <v>900000</v>
      </c>
      <c r="S14" s="29"/>
      <c r="T14" s="25"/>
      <c r="U14" s="25"/>
      <c r="V14" s="25">
        <v>123976</v>
      </c>
    </row>
    <row r="15" spans="1:22" ht="14.25" customHeight="1" x14ac:dyDescent="0.35">
      <c r="A15" s="13" t="s">
        <v>181</v>
      </c>
      <c r="B15" s="33" t="str">
        <f>VLOOKUP(A15,[12]LISTADHERENT!$A$5:$K$43,3,0)</f>
        <v>FAMPOU PAUL</v>
      </c>
      <c r="C15" s="25">
        <f>VLOOKUP($A15,[13]MVTRESUME25!$A$6:$AL$45,3,0)</f>
        <v>0</v>
      </c>
      <c r="D15" s="25">
        <f>VLOOKUP($A15,[13]MVTRESUME25!$A$6:$AL$45,4,0)</f>
        <v>0</v>
      </c>
      <c r="E15" s="25">
        <v>3119</v>
      </c>
      <c r="F15" s="25">
        <f>VLOOKUP($A15,[13]MVTRESUME25!$A$6:$AL$45,12,0)</f>
        <v>1027000</v>
      </c>
      <c r="G15" s="25"/>
      <c r="H15" s="25"/>
      <c r="I15" s="25">
        <f t="shared" si="0"/>
        <v>1030119</v>
      </c>
      <c r="J15" s="25">
        <f>VLOOKUP($A15,[13]MVTRESUME25!$A$6:$AL$45,10,0)</f>
        <v>0</v>
      </c>
      <c r="K15" s="25">
        <v>30000</v>
      </c>
      <c r="L15" s="25">
        <f>100000+800000</f>
        <v>900000</v>
      </c>
      <c r="M15" s="25">
        <f>VLOOKUP($A15,[13]MVTRESUME25!$A$6:$AL$45,23,0)</f>
        <v>0</v>
      </c>
      <c r="N15" s="25">
        <f t="shared" si="6"/>
        <v>930000</v>
      </c>
      <c r="O15" s="25">
        <f t="shared" si="3"/>
        <v>100119</v>
      </c>
      <c r="P15" s="25">
        <f t="shared" si="7"/>
        <v>60000</v>
      </c>
      <c r="Q15" s="25">
        <f>O15-P15-S15</f>
        <v>40119</v>
      </c>
      <c r="R15" s="25">
        <f>C15+L15</f>
        <v>900000</v>
      </c>
      <c r="S15" s="29"/>
      <c r="T15" s="25">
        <v>60000</v>
      </c>
      <c r="U15" s="25"/>
      <c r="V15" s="25">
        <v>3119</v>
      </c>
    </row>
    <row r="16" spans="1:22" x14ac:dyDescent="0.35">
      <c r="A16" s="13" t="s">
        <v>68</v>
      </c>
      <c r="B16" s="33" t="str">
        <f>VLOOKUP(A16,[12]LISTADHERENT!$A$5:$K$43,3,0)</f>
        <v>HENGUE PAUL OMER</v>
      </c>
      <c r="C16" s="25">
        <f>VLOOKUP($A16,[13]MVTRESUME25!$A$6:$AL$45,3,0)</f>
        <v>800000</v>
      </c>
      <c r="D16" s="25">
        <f>VLOOKUP($A16,[13]MVTRESUME25!$A$6:$AL$45,4,0)</f>
        <v>7143</v>
      </c>
      <c r="E16" s="25">
        <v>67538</v>
      </c>
      <c r="F16" s="25">
        <f>VLOOKUP($A16,[13]MVTRESUME25!$A$6:$AL$45,12,0)</f>
        <v>249000</v>
      </c>
      <c r="G16" s="25"/>
      <c r="H16" s="25"/>
      <c r="I16" s="25">
        <f t="shared" si="0"/>
        <v>323681</v>
      </c>
      <c r="J16" s="25">
        <f>VLOOKUP($A16,[13]MVTRESUME25!$A$6:$AL$45,10,0)</f>
        <v>0</v>
      </c>
      <c r="K16" s="25">
        <v>30000</v>
      </c>
      <c r="L16" s="25">
        <v>100000</v>
      </c>
      <c r="M16" s="25">
        <f>VLOOKUP($A16,[13]MVTRESUME25!$A$6:$AL$45,23,0)</f>
        <v>0</v>
      </c>
      <c r="N16" s="25">
        <f t="shared" si="6"/>
        <v>130000</v>
      </c>
      <c r="O16" s="25">
        <f t="shared" si="3"/>
        <v>193681</v>
      </c>
      <c r="P16" s="25">
        <f t="shared" si="7"/>
        <v>0</v>
      </c>
      <c r="Q16" s="25">
        <f t="shared" si="1"/>
        <v>193681</v>
      </c>
      <c r="R16" s="25">
        <f t="shared" si="5"/>
        <v>900000</v>
      </c>
      <c r="S16" s="29"/>
      <c r="T16" s="25"/>
      <c r="U16" s="25"/>
      <c r="V16" s="25">
        <v>67538</v>
      </c>
    </row>
    <row r="17" spans="1:22" s="2" customFormat="1" ht="13.5" customHeight="1" x14ac:dyDescent="0.35">
      <c r="A17" s="13" t="s">
        <v>69</v>
      </c>
      <c r="B17" s="33" t="str">
        <f>VLOOKUP(A17,[12]LISTADHERENT!$A$5:$K$43,3,0)</f>
        <v>HOTCHO BENJAMIN</v>
      </c>
      <c r="C17" s="25">
        <f>VLOOKUP($A17,[13]MVTRESUME25!$A$6:$AL$45,3,0)</f>
        <v>800000</v>
      </c>
      <c r="D17" s="25">
        <f>VLOOKUP($A17,[13]MVTRESUME25!$A$6:$AL$45,4,0)</f>
        <v>6301</v>
      </c>
      <c r="E17" s="25">
        <v>71266</v>
      </c>
      <c r="F17" s="25">
        <f>VLOOKUP($A17,[13]MVTRESUME25!$A$6:$AL$45,12,0)</f>
        <v>512500</v>
      </c>
      <c r="G17" s="25"/>
      <c r="H17" s="25"/>
      <c r="I17" s="25">
        <f t="shared" si="0"/>
        <v>590067</v>
      </c>
      <c r="J17" s="25">
        <f>VLOOKUP($A17,[13]MVTRESUME25!$A$6:$AL$45,10,0)</f>
        <v>0</v>
      </c>
      <c r="K17" s="25">
        <v>30000</v>
      </c>
      <c r="L17" s="25">
        <v>100000</v>
      </c>
      <c r="M17" s="25">
        <f>VLOOKUP($A17,[13]MVTRESUME25!$A$6:$AL$45,23,0)</f>
        <v>400000</v>
      </c>
      <c r="N17" s="25">
        <f t="shared" si="6"/>
        <v>130000</v>
      </c>
      <c r="O17" s="25">
        <f t="shared" si="3"/>
        <v>460067</v>
      </c>
      <c r="P17" s="25">
        <f t="shared" si="7"/>
        <v>150000</v>
      </c>
      <c r="Q17" s="25">
        <f t="shared" si="1"/>
        <v>10067</v>
      </c>
      <c r="R17" s="25">
        <f t="shared" si="5"/>
        <v>900000</v>
      </c>
      <c r="S17" s="144">
        <v>300000</v>
      </c>
      <c r="T17" s="25">
        <v>150000</v>
      </c>
      <c r="U17" s="25"/>
      <c r="V17" s="25">
        <v>71266</v>
      </c>
    </row>
    <row r="18" spans="1:22" s="2" customFormat="1" x14ac:dyDescent="0.35">
      <c r="A18" s="13" t="s">
        <v>70</v>
      </c>
      <c r="B18" s="33" t="str">
        <f>VLOOKUP(A18,[12]LISTADHERENT!$A$5:$K$43,3,0)</f>
        <v>KOUAMOU MOISE</v>
      </c>
      <c r="C18" s="25">
        <f>VLOOKUP($A18,[13]MVTRESUME25!$A$6:$AL$45,3,0)</f>
        <v>800000</v>
      </c>
      <c r="D18" s="25">
        <f>VLOOKUP($A18,[13]MVTRESUME25!$A$6:$AL$45,4,0)</f>
        <v>6353</v>
      </c>
      <c r="E18" s="25">
        <v>67588</v>
      </c>
      <c r="F18" s="25">
        <f>VLOOKUP($A18,[13]MVTRESUME25!$A$6:$AL$45,12,0)</f>
        <v>225000</v>
      </c>
      <c r="G18" s="25"/>
      <c r="H18" s="25"/>
      <c r="I18" s="25">
        <f t="shared" si="0"/>
        <v>298941</v>
      </c>
      <c r="J18" s="25">
        <f>VLOOKUP($A18,[13]MVTRESUME25!$A$6:$AL$45,10,0)</f>
        <v>0</v>
      </c>
      <c r="K18" s="25">
        <v>30000</v>
      </c>
      <c r="L18" s="25">
        <v>100000</v>
      </c>
      <c r="M18" s="25">
        <f>VLOOKUP($A18,[13]MVTRESUME25!$A$6:$AL$45,23,0)</f>
        <v>525000</v>
      </c>
      <c r="N18" s="25">
        <f t="shared" si="6"/>
        <v>130000</v>
      </c>
      <c r="O18" s="25">
        <f>I18-N18</f>
        <v>168941</v>
      </c>
      <c r="P18" s="25">
        <f t="shared" si="7"/>
        <v>25000</v>
      </c>
      <c r="Q18" s="25">
        <f>O18-P18-S18-193500</f>
        <v>-49559</v>
      </c>
      <c r="R18" s="25">
        <f t="shared" si="5"/>
        <v>900000</v>
      </c>
      <c r="S18" s="29"/>
      <c r="T18" s="25">
        <v>25000</v>
      </c>
      <c r="U18" s="25"/>
      <c r="V18" s="25">
        <v>67588</v>
      </c>
    </row>
    <row r="19" spans="1:22" x14ac:dyDescent="0.35">
      <c r="A19" s="13" t="s">
        <v>71</v>
      </c>
      <c r="B19" s="33" t="str">
        <f>VLOOKUP(A19,[12]LISTADHERENT!$A$5:$K$43,3,0)</f>
        <v>KOUATCHO MESSACK</v>
      </c>
      <c r="C19" s="25">
        <f>VLOOKUP($A19,[13]MVTRESUME25!$A$6:$AL$45,3,0)</f>
        <v>800000</v>
      </c>
      <c r="D19" s="25">
        <f>VLOOKUP($A19,[13]MVTRESUME25!$A$6:$AL$45,4,0)</f>
        <v>9944</v>
      </c>
      <c r="E19" s="25">
        <v>68999</v>
      </c>
      <c r="F19" s="25">
        <f>VLOOKUP($A19,[13]MVTRESUME25!$A$6:$AL$45,12,0)</f>
        <v>333500</v>
      </c>
      <c r="G19" s="25"/>
      <c r="H19" s="25"/>
      <c r="I19" s="25">
        <f t="shared" si="0"/>
        <v>412443</v>
      </c>
      <c r="J19" s="25">
        <f>VLOOKUP($A19,[13]MVTRESUME25!$A$6:$AL$45,10,0)</f>
        <v>0</v>
      </c>
      <c r="K19" s="25">
        <v>30000</v>
      </c>
      <c r="L19" s="25">
        <v>100000</v>
      </c>
      <c r="M19" s="25">
        <f>VLOOKUP($A19,[13]MVTRESUME25!$A$6:$AL$45,23,0)</f>
        <v>0</v>
      </c>
      <c r="N19" s="25">
        <f t="shared" si="6"/>
        <v>130000</v>
      </c>
      <c r="O19" s="25">
        <f t="shared" si="3"/>
        <v>282443</v>
      </c>
      <c r="P19" s="25">
        <f t="shared" si="7"/>
        <v>0</v>
      </c>
      <c r="Q19" s="25">
        <f>O19-P19-S19-290000</f>
        <v>-7557</v>
      </c>
      <c r="R19" s="25">
        <f t="shared" si="5"/>
        <v>900000</v>
      </c>
      <c r="S19" s="29"/>
      <c r="T19" s="25"/>
      <c r="U19" s="25"/>
      <c r="V19" s="25">
        <v>68999</v>
      </c>
    </row>
    <row r="20" spans="1:22" x14ac:dyDescent="0.35">
      <c r="A20" s="13" t="s">
        <v>72</v>
      </c>
      <c r="B20" s="33" t="str">
        <f>VLOOKUP(A20,[12]LISTADHERENT!$A$5:$K$43,3,0)</f>
        <v>LOWE JEAN</v>
      </c>
      <c r="C20" s="25">
        <f>VLOOKUP($A20,[13]MVTRESUME25!$A$6:$AL$45,3,0)</f>
        <v>0</v>
      </c>
      <c r="D20" s="25">
        <f>VLOOKUP($A20,[13]MVTRESUME25!$A$6:$AL$45,4,0)</f>
        <v>676217</v>
      </c>
      <c r="E20" s="25">
        <v>7128</v>
      </c>
      <c r="F20" s="25">
        <f>VLOOKUP($A20,[13]MVTRESUME25!$A$6:$AL$45,12,0)</f>
        <v>500000</v>
      </c>
      <c r="G20" s="25"/>
      <c r="H20" s="25"/>
      <c r="I20" s="25">
        <f t="shared" ref="I20" si="8">+D20+E20+F20+G20+H20</f>
        <v>1183345</v>
      </c>
      <c r="J20" s="25">
        <f>VLOOKUP($A20,[13]MVTRESUME25!$A$6:$AL$45,10,0)</f>
        <v>0</v>
      </c>
      <c r="K20" s="25">
        <f>20000+30000</f>
        <v>50000</v>
      </c>
      <c r="L20" s="25">
        <f>100000+800000</f>
        <v>900000</v>
      </c>
      <c r="M20" s="25">
        <f>VLOOKUP($A20,[13]MVTRESUME25!$A$6:$AL$45,23,0)</f>
        <v>0</v>
      </c>
      <c r="N20" s="25">
        <f t="shared" si="6"/>
        <v>950000</v>
      </c>
      <c r="O20" s="25">
        <f t="shared" si="3"/>
        <v>233345</v>
      </c>
      <c r="P20" s="25">
        <f t="shared" si="7"/>
        <v>0</v>
      </c>
      <c r="Q20" s="25">
        <f>O20-P20-S20</f>
        <v>233345</v>
      </c>
      <c r="R20" s="25">
        <f>C20+L20</f>
        <v>900000</v>
      </c>
      <c r="S20" s="29"/>
      <c r="T20" s="25"/>
      <c r="U20" s="25"/>
      <c r="V20" s="25">
        <v>7128</v>
      </c>
    </row>
    <row r="21" spans="1:22" x14ac:dyDescent="0.35">
      <c r="A21" s="13" t="s">
        <v>163</v>
      </c>
      <c r="B21" s="33" t="str">
        <f>VLOOKUP(A21,[12]LISTADHERENT!$A$5:$K$43,3,0)</f>
        <v>MASSEUNGOUE DAGOBERT</v>
      </c>
      <c r="C21" s="25">
        <f>VLOOKUP($A21,[13]MVTRESUME25!$A$6:$AL$45,3,0)</f>
        <v>0</v>
      </c>
      <c r="D21" s="25">
        <f>VLOOKUP($A21,[13]MVTRESUME25!$A$6:$AL$45,4,0)</f>
        <v>198625</v>
      </c>
      <c r="E21" s="25">
        <v>27363</v>
      </c>
      <c r="F21" s="25">
        <f>VLOOKUP($A21,[13]MVTRESUME25!$A$6:$AL$45,12,0)-198625</f>
        <v>828000</v>
      </c>
      <c r="G21" s="25"/>
      <c r="H21" s="25"/>
      <c r="I21" s="25">
        <f t="shared" si="0"/>
        <v>1053988</v>
      </c>
      <c r="J21" s="25">
        <f>VLOOKUP($A21,[13]MVTRESUME25!$A$6:$AL$45,10,0)</f>
        <v>0</v>
      </c>
      <c r="K21" s="25">
        <v>30000</v>
      </c>
      <c r="L21" s="25">
        <v>100000</v>
      </c>
      <c r="M21" s="25">
        <f>VLOOKUP($A21,[13]MVTRESUME25!$A$6:$AL$45,23,0)</f>
        <v>0</v>
      </c>
      <c r="N21" s="25">
        <f t="shared" si="6"/>
        <v>130000</v>
      </c>
      <c r="O21" s="25">
        <f t="shared" si="3"/>
        <v>923988</v>
      </c>
      <c r="P21" s="25">
        <f t="shared" si="7"/>
        <v>50000</v>
      </c>
      <c r="Q21" s="25">
        <f>O21-P21-S21-800000</f>
        <v>23988</v>
      </c>
      <c r="R21" s="25">
        <f>C21+L21+800000</f>
        <v>900000</v>
      </c>
      <c r="S21" s="144">
        <v>50000</v>
      </c>
      <c r="T21" s="25">
        <v>50000</v>
      </c>
      <c r="U21" s="25"/>
      <c r="V21" s="25">
        <v>27363</v>
      </c>
    </row>
    <row r="22" spans="1:22" x14ac:dyDescent="0.35">
      <c r="A22" s="13" t="s">
        <v>86</v>
      </c>
      <c r="B22" s="33" t="str">
        <f>VLOOKUP(A22,[12]LISTADHERENT!$A$5:$K$43,3,0)</f>
        <v>MBOGNING TUGMA GUY</v>
      </c>
      <c r="C22" s="25">
        <f>VLOOKUP($A22,[13]MVTRESUME25!$A$6:$AL$45,3,0)</f>
        <v>800000</v>
      </c>
      <c r="D22" s="25">
        <f>VLOOKUP($A22,[13]MVTRESUME25!$A$6:$AL$45,4,0)</f>
        <v>8501</v>
      </c>
      <c r="E22" s="25">
        <v>67774</v>
      </c>
      <c r="F22" s="25">
        <f>VLOOKUP($A22,[13]MVTRESUME25!$A$6:$AL$45,12,0)</f>
        <v>232900</v>
      </c>
      <c r="G22" s="25"/>
      <c r="H22" s="25"/>
      <c r="I22" s="25">
        <f t="shared" si="0"/>
        <v>309175</v>
      </c>
      <c r="J22" s="25">
        <f>VLOOKUP($A22,[13]MVTRESUME25!$A$6:$AL$45,10,0)</f>
        <v>0</v>
      </c>
      <c r="K22" s="25">
        <v>30000</v>
      </c>
      <c r="L22" s="25">
        <v>100000</v>
      </c>
      <c r="M22" s="25">
        <f>VLOOKUP($A22,[13]MVTRESUME25!$A$6:$AL$45,23,0)</f>
        <v>0</v>
      </c>
      <c r="N22" s="25">
        <f t="shared" si="6"/>
        <v>130000</v>
      </c>
      <c r="O22" s="25">
        <f t="shared" si="3"/>
        <v>179175</v>
      </c>
      <c r="P22" s="25">
        <f t="shared" si="7"/>
        <v>100000</v>
      </c>
      <c r="Q22" s="25">
        <f t="shared" si="1"/>
        <v>29175</v>
      </c>
      <c r="R22" s="25">
        <f t="shared" si="5"/>
        <v>900000</v>
      </c>
      <c r="S22" s="144">
        <v>50000</v>
      </c>
      <c r="T22" s="25">
        <v>100000</v>
      </c>
      <c r="U22" s="25"/>
      <c r="V22" s="25">
        <v>67774</v>
      </c>
    </row>
    <row r="23" spans="1:22" x14ac:dyDescent="0.35">
      <c r="A23" s="13" t="s">
        <v>81</v>
      </c>
      <c r="B23" s="33" t="str">
        <f>VLOOKUP(A23,[12]LISTADHERENT!$A$5:$K$43,3,0)</f>
        <v>NANGUEN MARTIN</v>
      </c>
      <c r="C23" s="25">
        <f>VLOOKUP($A23,[13]MVTRESUME25!$A$6:$AL$45,3,0)</f>
        <v>800000</v>
      </c>
      <c r="D23" s="25">
        <f>VLOOKUP($A23,[13]MVTRESUME25!$A$6:$AL$45,4,0)</f>
        <v>7819</v>
      </c>
      <c r="E23" s="25">
        <v>67707</v>
      </c>
      <c r="F23" s="25">
        <f>VLOOKUP($A23,[13]MVTRESUME25!$A$6:$AL$45,12,0)</f>
        <v>228000</v>
      </c>
      <c r="G23" s="25"/>
      <c r="H23" s="25"/>
      <c r="I23" s="25">
        <f t="shared" si="0"/>
        <v>303526</v>
      </c>
      <c r="J23" s="25">
        <f>VLOOKUP($A23,[13]MVTRESUME25!$A$6:$AL$45,10,0)</f>
        <v>0</v>
      </c>
      <c r="K23" s="25">
        <v>30000</v>
      </c>
      <c r="L23" s="25">
        <v>100000</v>
      </c>
      <c r="M23" s="25">
        <f>VLOOKUP($A23,[13]MVTRESUME25!$A$6:$AL$45,23,0)</f>
        <v>0</v>
      </c>
      <c r="N23" s="25">
        <f t="shared" si="6"/>
        <v>130000</v>
      </c>
      <c r="O23" s="25">
        <f t="shared" si="3"/>
        <v>173526</v>
      </c>
      <c r="P23" s="25">
        <f t="shared" si="7"/>
        <v>100000</v>
      </c>
      <c r="Q23" s="25">
        <f t="shared" si="1"/>
        <v>73526</v>
      </c>
      <c r="R23" s="25">
        <f t="shared" si="5"/>
        <v>900000</v>
      </c>
      <c r="S23" s="29"/>
      <c r="T23" s="25">
        <v>100000</v>
      </c>
      <c r="U23" s="25"/>
      <c r="V23" s="25">
        <v>67707</v>
      </c>
    </row>
    <row r="24" spans="1:22" x14ac:dyDescent="0.35">
      <c r="A24" s="13" t="s">
        <v>73</v>
      </c>
      <c r="B24" s="33" t="str">
        <f>VLOOKUP(A24,[12]LISTADHERENT!$A$5:$K$43,3,0)</f>
        <v>NANKAM APPOLINAIRE</v>
      </c>
      <c r="C24" s="25">
        <f>VLOOKUP($A24,[13]MVTRESUME25!$A$6:$AL$45,3,0)</f>
        <v>800000</v>
      </c>
      <c r="D24" s="25">
        <f>VLOOKUP($A24,[13]MVTRESUME25!$A$6:$AL$45,4,0)</f>
        <v>249258</v>
      </c>
      <c r="E24" s="25">
        <v>94250</v>
      </c>
      <c r="F24" s="25">
        <f>VLOOKUP($A24,[13]MVTRESUME25!$A$6:$AL$45,12,0)</f>
        <v>686500</v>
      </c>
      <c r="G24" s="25"/>
      <c r="H24" s="25"/>
      <c r="I24" s="25">
        <f t="shared" si="0"/>
        <v>1030008</v>
      </c>
      <c r="J24" s="25">
        <f>VLOOKUP($A24,[13]MVTRESUME25!$A$6:$AL$45,10,0)</f>
        <v>0</v>
      </c>
      <c r="K24" s="25">
        <v>30000</v>
      </c>
      <c r="L24" s="25">
        <v>100000</v>
      </c>
      <c r="M24" s="25">
        <f>VLOOKUP($A24,[13]MVTRESUME25!$A$6:$AL$45,23,0)</f>
        <v>0</v>
      </c>
      <c r="N24" s="25">
        <f t="shared" si="6"/>
        <v>130000</v>
      </c>
      <c r="O24" s="25">
        <f t="shared" si="3"/>
        <v>900008</v>
      </c>
      <c r="P24" s="25">
        <f t="shared" si="7"/>
        <v>0</v>
      </c>
      <c r="Q24" s="25">
        <f>O24-P24-S24-900000</f>
        <v>8</v>
      </c>
      <c r="R24" s="25">
        <f t="shared" si="5"/>
        <v>900000</v>
      </c>
      <c r="S24" s="29"/>
      <c r="T24" s="25"/>
      <c r="U24" s="25"/>
      <c r="V24" s="25">
        <v>94250</v>
      </c>
    </row>
    <row r="25" spans="1:22" x14ac:dyDescent="0.35">
      <c r="A25" s="13" t="s">
        <v>74</v>
      </c>
      <c r="B25" s="33" t="str">
        <f>VLOOKUP(A25,[12]LISTADHERENT!$A$5:$K$43,3,0)</f>
        <v>NDJOMO ETIENNE</v>
      </c>
      <c r="C25" s="25">
        <f>VLOOKUP($A25,[13]MVTRESUME25!$A$6:$AL$45,3,0)</f>
        <v>800000</v>
      </c>
      <c r="D25" s="25">
        <f>VLOOKUP($A25,[13]MVTRESUME25!$A$6:$AL$45,4,0)</f>
        <v>256158</v>
      </c>
      <c r="E25" s="25">
        <v>89015</v>
      </c>
      <c r="F25" s="25">
        <f>VLOOKUP($A25,[13]MVTRESUME25!$A$6:$AL$45,12,0)</f>
        <v>348000</v>
      </c>
      <c r="G25" s="25"/>
      <c r="H25" s="25"/>
      <c r="I25" s="25">
        <f t="shared" si="0"/>
        <v>693173</v>
      </c>
      <c r="J25" s="25">
        <f>VLOOKUP($A25,[13]MVTRESUME25!$A$6:$AL$45,10,0)</f>
        <v>0</v>
      </c>
      <c r="K25" s="25">
        <v>30000</v>
      </c>
      <c r="L25" s="25">
        <v>100000</v>
      </c>
      <c r="M25" s="25">
        <f>VLOOKUP($A25,[13]MVTRESUME25!$A$6:$AL$45,23,0)</f>
        <v>0</v>
      </c>
      <c r="N25" s="25">
        <f t="shared" si="6"/>
        <v>130000</v>
      </c>
      <c r="O25" s="25">
        <f t="shared" si="3"/>
        <v>563173</v>
      </c>
      <c r="P25" s="25">
        <f t="shared" si="7"/>
        <v>300000</v>
      </c>
      <c r="Q25" s="25">
        <f t="shared" si="1"/>
        <v>163173</v>
      </c>
      <c r="R25" s="25">
        <f t="shared" si="5"/>
        <v>900000</v>
      </c>
      <c r="S25" s="144">
        <v>100000</v>
      </c>
      <c r="T25" s="25">
        <v>300000</v>
      </c>
      <c r="U25" s="25"/>
      <c r="V25" s="25">
        <v>89015</v>
      </c>
    </row>
    <row r="26" spans="1:22" x14ac:dyDescent="0.35">
      <c r="A26" s="13" t="s">
        <v>75</v>
      </c>
      <c r="B26" s="33" t="str">
        <f>VLOOKUP(A26,[12]LISTADHERENT!$A$5:$K$43,3,0)</f>
        <v>NGONDIEP CLAUDE</v>
      </c>
      <c r="C26" s="25">
        <f>VLOOKUP($A26,[13]MVTRESUME25!$A$6:$AL$45,3,0)</f>
        <v>800000</v>
      </c>
      <c r="D26" s="25">
        <f>VLOOKUP($A26,[13]MVTRESUME25!$A$6:$AL$45,4,0)</f>
        <v>353356</v>
      </c>
      <c r="E26" s="25">
        <v>97473</v>
      </c>
      <c r="F26" s="25">
        <f>VLOOKUP($A26,[13]MVTRESUME25!$A$6:$AL$45,12,0)</f>
        <v>407000</v>
      </c>
      <c r="G26" s="25"/>
      <c r="H26" s="25"/>
      <c r="I26" s="25">
        <f t="shared" si="0"/>
        <v>857829</v>
      </c>
      <c r="J26" s="25">
        <f>VLOOKUP($A26,[13]MVTRESUME25!$A$6:$AL$45,10,0)</f>
        <v>0</v>
      </c>
      <c r="K26" s="25">
        <v>30000</v>
      </c>
      <c r="L26" s="25">
        <v>100000</v>
      </c>
      <c r="M26" s="25">
        <f>VLOOKUP($A26,[13]MVTRESUME25!$A$6:$AL$45,23,0)</f>
        <v>1000000</v>
      </c>
      <c r="N26" s="25">
        <f t="shared" si="6"/>
        <v>130000</v>
      </c>
      <c r="O26" s="25">
        <f t="shared" si="3"/>
        <v>727829</v>
      </c>
      <c r="P26" s="25">
        <f t="shared" si="7"/>
        <v>25000</v>
      </c>
      <c r="Q26" s="25">
        <f t="shared" si="1"/>
        <v>602829</v>
      </c>
      <c r="R26" s="25">
        <f t="shared" si="5"/>
        <v>900000</v>
      </c>
      <c r="S26" s="144">
        <v>100000</v>
      </c>
      <c r="T26" s="25">
        <v>25000</v>
      </c>
      <c r="U26" s="25"/>
      <c r="V26" s="25">
        <v>97473</v>
      </c>
    </row>
    <row r="27" spans="1:22" s="2" customFormat="1" x14ac:dyDescent="0.35">
      <c r="A27" s="13" t="s">
        <v>77</v>
      </c>
      <c r="B27" s="33" t="str">
        <f>VLOOKUP(A27,[12]LISTADHERENT!$A$5:$K$43,3,0)</f>
        <v>NGUIEMEGNI MATHIEU BLAISE</v>
      </c>
      <c r="C27" s="25">
        <f>VLOOKUP($A27,[13]MVTRESUME25!$A$6:$AL$45,3,0)</f>
        <v>800000</v>
      </c>
      <c r="D27" s="25">
        <f>VLOOKUP($A27,[13]MVTRESUME25!$A$6:$AL$45,4,0)</f>
        <v>9175</v>
      </c>
      <c r="E27" s="25">
        <v>67616</v>
      </c>
      <c r="F27" s="25">
        <f>VLOOKUP($A27,[13]MVTRESUME25!$A$6:$AL$45,12,0)</f>
        <v>215000</v>
      </c>
      <c r="G27" s="25"/>
      <c r="H27" s="25"/>
      <c r="I27" s="25">
        <f t="shared" si="0"/>
        <v>291791</v>
      </c>
      <c r="J27" s="25">
        <f>VLOOKUP($A27,[13]MVTRESUME25!$A$6:$AL$45,10,0)</f>
        <v>0</v>
      </c>
      <c r="K27" s="25">
        <v>30000</v>
      </c>
      <c r="L27" s="25">
        <v>100000</v>
      </c>
      <c r="M27" s="25">
        <f>VLOOKUP($A27,[13]MVTRESUME25!$A$6:$AL$45,23,0)</f>
        <v>1050000</v>
      </c>
      <c r="N27" s="25">
        <f t="shared" si="6"/>
        <v>130000</v>
      </c>
      <c r="O27" s="25">
        <f>I27-N27</f>
        <v>161791</v>
      </c>
      <c r="P27" s="25">
        <f t="shared" si="7"/>
        <v>90000</v>
      </c>
      <c r="Q27" s="25">
        <f t="shared" si="1"/>
        <v>-178209</v>
      </c>
      <c r="R27" s="25">
        <f t="shared" si="5"/>
        <v>900000</v>
      </c>
      <c r="S27" s="144">
        <v>250000</v>
      </c>
      <c r="T27" s="25">
        <v>90000</v>
      </c>
      <c r="U27" s="25"/>
      <c r="V27" s="25">
        <v>67616</v>
      </c>
    </row>
    <row r="28" spans="1:22" x14ac:dyDescent="0.35">
      <c r="A28" s="13" t="s">
        <v>78</v>
      </c>
      <c r="B28" s="33" t="str">
        <f>VLOOKUP(A28,[12]LISTADHERENT!$A$5:$K$43,3,0)</f>
        <v>NKAMGANG JUSTIN DEJOLIE</v>
      </c>
      <c r="C28" s="25">
        <f>VLOOKUP($A28,[13]MVTRESUME25!$A$6:$AL$45,3,0)</f>
        <v>800000</v>
      </c>
      <c r="D28" s="25">
        <f>VLOOKUP($A28,[13]MVTRESUME25!$A$6:$AL$45,4,0)</f>
        <v>10531</v>
      </c>
      <c r="E28" s="25">
        <v>68118</v>
      </c>
      <c r="F28" s="25">
        <f>VLOOKUP($A28,[13]MVTRESUME25!$A$6:$AL$45,12,0)</f>
        <v>235000</v>
      </c>
      <c r="G28" s="25"/>
      <c r="H28" s="25"/>
      <c r="I28" s="25">
        <f t="shared" si="0"/>
        <v>313649</v>
      </c>
      <c r="J28" s="25">
        <f>VLOOKUP($A28,[13]MVTRESUME25!$A$6:$AL$45,10,0)</f>
        <v>0</v>
      </c>
      <c r="K28" s="25">
        <v>30000</v>
      </c>
      <c r="L28" s="25">
        <v>100000</v>
      </c>
      <c r="M28" s="25">
        <f>VLOOKUP($A28,[13]MVTRESUME25!$A$6:$AL$45,23,0)</f>
        <v>0</v>
      </c>
      <c r="N28" s="25">
        <f t="shared" si="6"/>
        <v>130000</v>
      </c>
      <c r="O28" s="25">
        <f t="shared" si="3"/>
        <v>183649</v>
      </c>
      <c r="P28" s="25">
        <f t="shared" si="7"/>
        <v>130000</v>
      </c>
      <c r="Q28" s="25">
        <f t="shared" si="1"/>
        <v>3649</v>
      </c>
      <c r="R28" s="25">
        <f t="shared" si="5"/>
        <v>900000</v>
      </c>
      <c r="S28" s="144">
        <v>50000</v>
      </c>
      <c r="T28" s="25">
        <v>130000</v>
      </c>
      <c r="U28" s="25"/>
      <c r="V28" s="25">
        <v>68118</v>
      </c>
    </row>
    <row r="29" spans="1:22" x14ac:dyDescent="0.35">
      <c r="A29" s="13" t="s">
        <v>104</v>
      </c>
      <c r="B29" s="33" t="str">
        <f>VLOOKUP(A29,[12]LISTADHERENT!$A$5:$K$43,3,0)</f>
        <v>NOUBE ETIENNE</v>
      </c>
      <c r="C29" s="25">
        <f>VLOOKUP($A29,[13]MVTRESUME25!$A$6:$AL$45,3,0)</f>
        <v>800000</v>
      </c>
      <c r="D29" s="25">
        <f>VLOOKUP($A29,[13]MVTRESUME25!$A$6:$AL$45,4,0)</f>
        <v>-17159</v>
      </c>
      <c r="E29" s="25">
        <v>65684</v>
      </c>
      <c r="F29" s="25">
        <f>VLOOKUP($A29,[13]MVTRESUME25!$A$6:$AL$45,12,0)</f>
        <v>228000</v>
      </c>
      <c r="G29" s="25"/>
      <c r="H29" s="25"/>
      <c r="I29" s="25">
        <f t="shared" si="0"/>
        <v>276525</v>
      </c>
      <c r="J29" s="25">
        <f>VLOOKUP($A29,[13]MVTRESUME25!$A$6:$AL$45,10,0)</f>
        <v>0</v>
      </c>
      <c r="K29" s="25">
        <v>30000</v>
      </c>
      <c r="L29" s="25">
        <v>100000</v>
      </c>
      <c r="M29" s="25">
        <f>VLOOKUP($A29,[13]MVTRESUME25!$A$6:$AL$45,23,0)</f>
        <v>0</v>
      </c>
      <c r="N29" s="25">
        <f t="shared" si="6"/>
        <v>130000</v>
      </c>
      <c r="O29" s="25">
        <f t="shared" si="3"/>
        <v>146525</v>
      </c>
      <c r="P29" s="25">
        <f t="shared" si="7"/>
        <v>70000</v>
      </c>
      <c r="Q29" s="25">
        <f t="shared" si="1"/>
        <v>51525</v>
      </c>
      <c r="R29" s="25">
        <f t="shared" si="5"/>
        <v>900000</v>
      </c>
      <c r="S29" s="144">
        <v>25000</v>
      </c>
      <c r="T29" s="25">
        <v>70000</v>
      </c>
      <c r="U29" s="25"/>
      <c r="V29" s="25">
        <v>65684</v>
      </c>
    </row>
    <row r="30" spans="1:22" s="2" customFormat="1" x14ac:dyDescent="0.35">
      <c r="A30" s="13" t="s">
        <v>79</v>
      </c>
      <c r="B30" s="33" t="str">
        <f>VLOOKUP(A30,[12]LISTADHERENT!$A$5:$K$43,3,0)</f>
        <v>PATEGO NJOSSU GUSTAVE</v>
      </c>
      <c r="C30" s="25">
        <f>VLOOKUP($A30,[13]MVTRESUME25!$A$6:$AL$45,3,0)</f>
        <v>800000</v>
      </c>
      <c r="D30" s="25">
        <f>VLOOKUP($A30,[13]MVTRESUME25!$A$6:$AL$45,4,0)</f>
        <v>133342</v>
      </c>
      <c r="E30" s="25">
        <v>77878</v>
      </c>
      <c r="F30" s="25">
        <f>VLOOKUP($A30,[13]MVTRESUME25!$A$6:$AL$45,12,0)</f>
        <v>228000</v>
      </c>
      <c r="G30" s="25"/>
      <c r="H30" s="25"/>
      <c r="I30" s="25">
        <f t="shared" si="0"/>
        <v>439220</v>
      </c>
      <c r="J30" s="25">
        <f>VLOOKUP($A30,[13]MVTRESUME25!$A$6:$AL$45,10,0)</f>
        <v>0</v>
      </c>
      <c r="K30" s="25">
        <v>30000</v>
      </c>
      <c r="L30" s="25">
        <v>100000</v>
      </c>
      <c r="M30" s="25">
        <f>VLOOKUP($A30,[13]MVTRESUME25!$A$6:$AL$45,23,0)</f>
        <v>0</v>
      </c>
      <c r="N30" s="25">
        <f t="shared" si="6"/>
        <v>130000</v>
      </c>
      <c r="O30" s="25">
        <f t="shared" si="3"/>
        <v>309220</v>
      </c>
      <c r="P30" s="25">
        <f t="shared" si="7"/>
        <v>0</v>
      </c>
      <c r="Q30" s="25">
        <f t="shared" si="1"/>
        <v>9220</v>
      </c>
      <c r="R30" s="25">
        <f t="shared" si="5"/>
        <v>900000</v>
      </c>
      <c r="S30" s="144">
        <v>300000</v>
      </c>
      <c r="T30" s="25"/>
      <c r="U30" s="25"/>
      <c r="V30" s="25">
        <v>77878</v>
      </c>
    </row>
    <row r="31" spans="1:22" x14ac:dyDescent="0.35">
      <c r="A31" s="13" t="s">
        <v>127</v>
      </c>
      <c r="B31" s="33" t="str">
        <f>VLOOKUP(A31,[12]LISTADHERENT!$A$5:$K$43,3,0)</f>
        <v>SEUMO POLYCARPE</v>
      </c>
      <c r="C31" s="25">
        <f>VLOOKUP($A31,[13]MVTRESUME25!$A$6:$AL$45,3,0)</f>
        <v>800000</v>
      </c>
      <c r="D31" s="25">
        <f>VLOOKUP($A31,[13]MVTRESUME25!$A$6:$AL$45,4,0)</f>
        <v>-9977</v>
      </c>
      <c r="E31" s="25">
        <v>66266</v>
      </c>
      <c r="F31" s="25">
        <f>VLOOKUP($A31,[13]MVTRESUME25!$A$6:$AL$45,12,0)</f>
        <v>229000</v>
      </c>
      <c r="G31" s="25"/>
      <c r="H31" s="25"/>
      <c r="I31" s="25">
        <f t="shared" si="0"/>
        <v>285289</v>
      </c>
      <c r="J31" s="25">
        <f>VLOOKUP($A31,[13]MVTRESUME25!$A$6:$AL$45,10,0)</f>
        <v>0</v>
      </c>
      <c r="K31" s="25">
        <v>30000</v>
      </c>
      <c r="L31" s="25">
        <v>100000</v>
      </c>
      <c r="M31" s="25">
        <f>VLOOKUP($A31,[13]MVTRESUME25!$A$6:$AL$45,23,0)</f>
        <v>955000</v>
      </c>
      <c r="N31" s="25">
        <f t="shared" si="6"/>
        <v>130000</v>
      </c>
      <c r="O31" s="25">
        <f>I31-N31</f>
        <v>155289</v>
      </c>
      <c r="P31" s="25">
        <f t="shared" si="7"/>
        <v>30000</v>
      </c>
      <c r="Q31" s="25">
        <f>O31-P31-S31-100000</f>
        <v>289</v>
      </c>
      <c r="R31" s="25">
        <f t="shared" si="5"/>
        <v>900000</v>
      </c>
      <c r="S31" s="144">
        <v>25000</v>
      </c>
      <c r="T31" s="25">
        <v>30000</v>
      </c>
      <c r="U31" s="25"/>
      <c r="V31" s="25">
        <v>66266</v>
      </c>
    </row>
    <row r="32" spans="1:22" x14ac:dyDescent="0.35">
      <c r="A32" s="13" t="s">
        <v>89</v>
      </c>
      <c r="B32" s="33" t="str">
        <f>VLOOKUP(A32,[12]LISTADHERENT!$A$5:$K$43,3,0)</f>
        <v>SIME BRICE</v>
      </c>
      <c r="C32" s="25">
        <f>VLOOKUP($A32,[13]MVTRESUME25!$A$6:$AL$45,3,0)</f>
        <v>800000</v>
      </c>
      <c r="D32" s="25">
        <f>VLOOKUP($A32,[13]MVTRESUME25!$A$6:$AL$45,4,0)</f>
        <v>79106</v>
      </c>
      <c r="E32" s="25">
        <v>73483</v>
      </c>
      <c r="F32" s="25">
        <f>VLOOKUP($A32,[13]MVTRESUME25!$A$6:$AL$45,12,0)</f>
        <v>228000</v>
      </c>
      <c r="G32" s="25"/>
      <c r="H32" s="25"/>
      <c r="I32" s="25">
        <f t="shared" si="0"/>
        <v>380589</v>
      </c>
      <c r="J32" s="25">
        <f>VLOOKUP($A32,[13]MVTRESUME25!$A$6:$AL$45,10,0)</f>
        <v>0</v>
      </c>
      <c r="K32" s="25">
        <v>30000</v>
      </c>
      <c r="L32" s="25">
        <v>100000</v>
      </c>
      <c r="M32" s="25">
        <f>VLOOKUP($A32,[13]MVTRESUME25!$A$6:$AL$45,23,0)</f>
        <v>0</v>
      </c>
      <c r="N32" s="25">
        <f t="shared" si="6"/>
        <v>130000</v>
      </c>
      <c r="O32" s="25">
        <f t="shared" si="3"/>
        <v>250589</v>
      </c>
      <c r="P32" s="25">
        <f t="shared" si="7"/>
        <v>0</v>
      </c>
      <c r="Q32" s="25">
        <f>O32-P32-S32</f>
        <v>589</v>
      </c>
      <c r="R32" s="25">
        <f t="shared" si="5"/>
        <v>900000</v>
      </c>
      <c r="S32" s="144">
        <v>250000</v>
      </c>
      <c r="T32" s="25"/>
      <c r="U32" s="25"/>
      <c r="V32" s="25">
        <v>73483</v>
      </c>
    </row>
    <row r="33" spans="1:22" x14ac:dyDescent="0.35">
      <c r="A33" s="13" t="s">
        <v>182</v>
      </c>
      <c r="B33" s="33" t="str">
        <f>VLOOKUP(A33,[12]LISTADHERENT!$A$5:$K$43,3,0)</f>
        <v>SIMO FONGANG ERIC</v>
      </c>
      <c r="C33" s="25">
        <f>VLOOKUP($A33,[13]MVTRESUME25!$A$6:$AL$45,3,0)</f>
        <v>0</v>
      </c>
      <c r="D33" s="25">
        <f>VLOOKUP($A33,[13]MVTRESUME25!$A$6:$AL$45,4,0)</f>
        <v>153468</v>
      </c>
      <c r="E33" s="25">
        <v>0</v>
      </c>
      <c r="F33" s="25">
        <f>VLOOKUP($A33,[13]MVTRESUME25!$A$6:$AL$45,12,0)</f>
        <v>520500</v>
      </c>
      <c r="G33" s="25"/>
      <c r="H33" s="25"/>
      <c r="I33" s="25">
        <f t="shared" si="0"/>
        <v>673968</v>
      </c>
      <c r="J33" s="25">
        <f>VLOOKUP($A33,[13]MVTRESUME25!$A$6:$AL$45,10,0)</f>
        <v>0</v>
      </c>
      <c r="K33" s="25">
        <v>30000</v>
      </c>
      <c r="L33" s="25"/>
      <c r="M33" s="25">
        <f>VLOOKUP($A33,[13]MVTRESUME25!$A$6:$AL$45,23,0)</f>
        <v>0</v>
      </c>
      <c r="N33" s="25">
        <f t="shared" si="6"/>
        <v>30000</v>
      </c>
      <c r="O33" s="25">
        <f t="shared" si="3"/>
        <v>643968</v>
      </c>
      <c r="P33" s="25">
        <f t="shared" si="7"/>
        <v>0</v>
      </c>
      <c r="Q33" s="25">
        <f t="shared" si="1"/>
        <v>643968</v>
      </c>
      <c r="R33" s="25">
        <f t="shared" si="5"/>
        <v>0</v>
      </c>
      <c r="S33" s="29"/>
      <c r="T33" s="25"/>
      <c r="U33" s="25"/>
      <c r="V33" s="25">
        <v>0</v>
      </c>
    </row>
    <row r="34" spans="1:22" x14ac:dyDescent="0.35">
      <c r="A34" s="13" t="s">
        <v>80</v>
      </c>
      <c r="B34" s="33" t="str">
        <f>VLOOKUP(A34,[12]LISTADHERENT!$A$5:$K$43,3,0)</f>
        <v>SIMO PIERRE</v>
      </c>
      <c r="C34" s="25">
        <f>VLOOKUP($A34,[13]MVTRESUME25!$A$6:$AL$45,3,0)</f>
        <v>800000</v>
      </c>
      <c r="D34" s="25">
        <f>VLOOKUP($A34,[13]MVTRESUME25!$A$6:$AL$45,4,0)</f>
        <v>46691</v>
      </c>
      <c r="E34" s="25">
        <v>70753</v>
      </c>
      <c r="F34" s="25">
        <f>VLOOKUP($A34,[13]MVTRESUME25!$A$6:$AL$45,12,0)</f>
        <v>215000</v>
      </c>
      <c r="G34" s="25"/>
      <c r="H34" s="25"/>
      <c r="I34" s="25">
        <f t="shared" si="0"/>
        <v>332444</v>
      </c>
      <c r="J34" s="25">
        <f>VLOOKUP($A34,[13]MVTRESUME25!$A$6:$AL$45,10,0)</f>
        <v>0</v>
      </c>
      <c r="K34" s="25"/>
      <c r="L34" s="25"/>
      <c r="M34" s="25">
        <v>0</v>
      </c>
      <c r="N34" s="25">
        <f t="shared" si="6"/>
        <v>0</v>
      </c>
      <c r="O34" s="25">
        <f t="shared" si="3"/>
        <v>332444</v>
      </c>
      <c r="P34" s="25">
        <f t="shared" si="7"/>
        <v>0</v>
      </c>
      <c r="Q34" s="25">
        <f>O34-P34-S34-332444</f>
        <v>0</v>
      </c>
      <c r="R34" s="25">
        <f>C34+L34-800000</f>
        <v>0</v>
      </c>
      <c r="S34" s="29"/>
      <c r="T34" s="25"/>
      <c r="U34" s="25"/>
      <c r="V34" s="25">
        <v>70753</v>
      </c>
    </row>
    <row r="35" spans="1:22" x14ac:dyDescent="0.35">
      <c r="A35" s="13" t="s">
        <v>82</v>
      </c>
      <c r="B35" s="33" t="str">
        <f>VLOOKUP(A35,[12]LISTADHERENT!$A$5:$K$43,3,0)</f>
        <v>TCHOUAMOU MATHIEU</v>
      </c>
      <c r="C35" s="25">
        <f>VLOOKUP($A35,[13]MVTRESUME25!$A$6:$AL$45,3,0)</f>
        <v>800000</v>
      </c>
      <c r="D35" s="25">
        <f>VLOOKUP($A35,[13]MVTRESUME25!$A$6:$AL$45,4,0)</f>
        <v>6050</v>
      </c>
      <c r="E35" s="25">
        <v>67564</v>
      </c>
      <c r="F35" s="25">
        <f>VLOOKUP($A35,[13]MVTRESUME25!$A$6:$AL$45,12,0)</f>
        <v>228000</v>
      </c>
      <c r="G35" s="25"/>
      <c r="H35" s="25"/>
      <c r="I35" s="25">
        <f t="shared" si="0"/>
        <v>301614</v>
      </c>
      <c r="J35" s="25">
        <f>VLOOKUP($A35,[13]MVTRESUME25!$A$6:$AL$45,10,0)</f>
        <v>0</v>
      </c>
      <c r="K35" s="25">
        <v>30000</v>
      </c>
      <c r="L35" s="25">
        <v>100000</v>
      </c>
      <c r="M35" s="25">
        <v>0</v>
      </c>
      <c r="N35" s="25">
        <f t="shared" si="6"/>
        <v>130000</v>
      </c>
      <c r="O35" s="25">
        <f t="shared" si="3"/>
        <v>171614</v>
      </c>
      <c r="P35" s="25">
        <f t="shared" si="7"/>
        <v>140000</v>
      </c>
      <c r="Q35" s="25">
        <f t="shared" si="1"/>
        <v>6614</v>
      </c>
      <c r="R35" s="25">
        <f t="shared" si="5"/>
        <v>900000</v>
      </c>
      <c r="S35" s="144">
        <v>25000</v>
      </c>
      <c r="T35" s="25">
        <v>140000</v>
      </c>
      <c r="U35" s="25"/>
      <c r="V35" s="25">
        <v>67564</v>
      </c>
    </row>
    <row r="36" spans="1:22" x14ac:dyDescent="0.35">
      <c r="A36" s="13" t="s">
        <v>164</v>
      </c>
      <c r="B36" s="33" t="str">
        <f>VLOOKUP(A36,[12]LISTADHERENT!$A$5:$K$43,3,0)</f>
        <v>TCHOUATEU AUGUSTIN</v>
      </c>
      <c r="C36" s="25">
        <f>VLOOKUP($A36,[13]MVTRESUME25!$A$6:$AL$45,3,0)</f>
        <v>800000</v>
      </c>
      <c r="D36" s="25">
        <f>VLOOKUP($A36,[13]MVTRESUME25!$A$6:$AL$45,4,0)</f>
        <v>-3392</v>
      </c>
      <c r="E36" s="25">
        <v>66799</v>
      </c>
      <c r="F36" s="25">
        <f>VLOOKUP($A36,[13]MVTRESUME25!$A$6:$AL$45,12,0)</f>
        <v>228000</v>
      </c>
      <c r="G36" s="25"/>
      <c r="H36" s="25"/>
      <c r="I36" s="25">
        <f t="shared" si="0"/>
        <v>291407</v>
      </c>
      <c r="J36" s="25">
        <f>VLOOKUP($A36,[13]MVTRESUME25!$A$6:$AL$45,10,0)</f>
        <v>0</v>
      </c>
      <c r="K36" s="25">
        <v>30000</v>
      </c>
      <c r="L36" s="25">
        <v>100000</v>
      </c>
      <c r="M36" s="25">
        <f>VLOOKUP($A36,[13]MVTRESUME25!$A$6:$AL$45,23,0)</f>
        <v>0</v>
      </c>
      <c r="N36" s="25">
        <f t="shared" si="6"/>
        <v>130000</v>
      </c>
      <c r="O36" s="25">
        <f t="shared" si="3"/>
        <v>161407</v>
      </c>
      <c r="P36" s="25">
        <f t="shared" si="7"/>
        <v>160000</v>
      </c>
      <c r="Q36" s="25">
        <f t="shared" si="1"/>
        <v>1407</v>
      </c>
      <c r="R36" s="25">
        <f t="shared" si="5"/>
        <v>900000</v>
      </c>
      <c r="S36" s="29"/>
      <c r="T36" s="25">
        <v>160000</v>
      </c>
      <c r="U36" s="25"/>
      <c r="V36" s="25">
        <v>66799</v>
      </c>
    </row>
    <row r="37" spans="1:22" x14ac:dyDescent="0.35">
      <c r="A37" s="13" t="s">
        <v>83</v>
      </c>
      <c r="B37" s="33" t="str">
        <f>VLOOKUP(A37,[12]LISTADHERENT!$A$5:$K$43,3,0)</f>
        <v>TCHOUTOU NANA CLAUDE</v>
      </c>
      <c r="C37" s="25">
        <f>VLOOKUP($A37,[13]MVTRESUME25!$A$6:$AL$45,3,0)</f>
        <v>0</v>
      </c>
      <c r="D37" s="25">
        <f>VLOOKUP($A37,[13]MVTRESUME25!$A$6:$AL$45,4,0)</f>
        <v>487750</v>
      </c>
      <c r="E37" s="25">
        <v>0</v>
      </c>
      <c r="F37" s="25">
        <f>VLOOKUP($A37,[13]MVTRESUME25!$A$6:$AL$45,12,0)</f>
        <v>442500</v>
      </c>
      <c r="G37" s="25"/>
      <c r="H37" s="25"/>
      <c r="I37" s="25">
        <f t="shared" si="0"/>
        <v>930250</v>
      </c>
      <c r="J37" s="25">
        <f>VLOOKUP($A37,[13]MVTRESUME25!$A$6:$AL$45,10,0)</f>
        <v>0</v>
      </c>
      <c r="K37" s="25">
        <v>30000</v>
      </c>
      <c r="L37" s="25">
        <v>900000</v>
      </c>
      <c r="M37" s="25">
        <f>VLOOKUP($A37,[13]MVTRESUME25!$A$6:$AL$45,23,0)</f>
        <v>0</v>
      </c>
      <c r="N37" s="25">
        <f t="shared" si="6"/>
        <v>930000</v>
      </c>
      <c r="O37" s="25">
        <f t="shared" si="3"/>
        <v>250</v>
      </c>
      <c r="P37" s="25">
        <f t="shared" si="7"/>
        <v>0</v>
      </c>
      <c r="Q37" s="25">
        <f>O37-P37-S37</f>
        <v>250</v>
      </c>
      <c r="R37" s="25">
        <f>C37+L37</f>
        <v>900000</v>
      </c>
      <c r="S37" s="29"/>
      <c r="T37" s="25"/>
      <c r="U37" s="25"/>
      <c r="V37" s="25">
        <v>0</v>
      </c>
    </row>
    <row r="38" spans="1:22" x14ac:dyDescent="0.35">
      <c r="A38" s="13" t="s">
        <v>183</v>
      </c>
      <c r="B38" s="33" t="str">
        <f>VLOOKUP(A38,[12]LISTADHERENT!$A$5:$K$43,3,0)</f>
        <v>TIEYAM ERNEST</v>
      </c>
      <c r="C38" s="25">
        <f>VLOOKUP($A38,[13]MVTRESUME25!$A$6:$AL$45,3,0)</f>
        <v>0</v>
      </c>
      <c r="D38" s="25">
        <f>VLOOKUP($A38,[13]MVTRESUME25!$A$6:$AL$45,4,0)</f>
        <v>0</v>
      </c>
      <c r="E38" s="25">
        <v>0</v>
      </c>
      <c r="F38" s="25">
        <f>VLOOKUP($A38,[13]MVTRESUME25!$A$6:$AL$45,12,0)</f>
        <v>507500</v>
      </c>
      <c r="G38" s="25"/>
      <c r="H38" s="25"/>
      <c r="I38" s="25">
        <f t="shared" si="0"/>
        <v>507500</v>
      </c>
      <c r="J38" s="25">
        <f>VLOOKUP($A38,[13]MVTRESUME25!$A$6:$AL$45,10,0)</f>
        <v>0</v>
      </c>
      <c r="K38" s="25"/>
      <c r="L38" s="25"/>
      <c r="M38" s="25">
        <f>VLOOKUP($A38,[13]MVTRESUME25!$A$6:$AL$45,23,0)</f>
        <v>0</v>
      </c>
      <c r="N38" s="25">
        <f t="shared" si="6"/>
        <v>0</v>
      </c>
      <c r="O38" s="25">
        <f t="shared" si="3"/>
        <v>507500</v>
      </c>
      <c r="P38" s="25">
        <f t="shared" si="7"/>
        <v>0</v>
      </c>
      <c r="Q38" s="25">
        <f>O38-P38-S38-507500</f>
        <v>0</v>
      </c>
      <c r="R38" s="25">
        <f t="shared" si="5"/>
        <v>0</v>
      </c>
      <c r="S38" s="29"/>
      <c r="T38" s="25"/>
      <c r="U38" s="25"/>
      <c r="V38" s="25">
        <v>0</v>
      </c>
    </row>
    <row r="39" spans="1:22" x14ac:dyDescent="0.35">
      <c r="A39" s="13" t="s">
        <v>128</v>
      </c>
      <c r="B39" s="33" t="str">
        <f>VLOOKUP(A39,[12]LISTADHERENT!$A$5:$K$43,3,0)</f>
        <v>YANTCHOU GERVAIS</v>
      </c>
      <c r="C39" s="25">
        <f>VLOOKUP($A39,[13]MVTRESUME25!$A$6:$AL$45,3,0)</f>
        <v>800000</v>
      </c>
      <c r="D39" s="25">
        <f>VLOOKUP($A39,[13]MVTRESUME25!$A$6:$AL$45,4,0)</f>
        <v>-32497</v>
      </c>
      <c r="E39" s="25">
        <v>64571</v>
      </c>
      <c r="F39" s="25">
        <f>VLOOKUP($A39,[13]MVTRESUME25!$A$6:$AL$45,12,0)</f>
        <v>238000</v>
      </c>
      <c r="G39" s="25"/>
      <c r="H39" s="25"/>
      <c r="I39" s="25">
        <f t="shared" si="0"/>
        <v>270074</v>
      </c>
      <c r="J39" s="25">
        <f>VLOOKUP($A39,[13]MVTRESUME25!$A$6:$AL$45,10,0)</f>
        <v>0</v>
      </c>
      <c r="K39" s="25">
        <v>30000</v>
      </c>
      <c r="L39" s="25">
        <v>100000</v>
      </c>
      <c r="M39" s="25">
        <f>VLOOKUP($A39,[13]MVTRESUME25!$A$6:$AL$45,23,0)</f>
        <v>0</v>
      </c>
      <c r="N39" s="25">
        <f t="shared" si="6"/>
        <v>130000</v>
      </c>
      <c r="O39" s="25">
        <f t="shared" si="3"/>
        <v>140074</v>
      </c>
      <c r="P39" s="25">
        <f t="shared" si="7"/>
        <v>50000</v>
      </c>
      <c r="Q39" s="25">
        <f t="shared" si="1"/>
        <v>40074</v>
      </c>
      <c r="R39" s="25">
        <f t="shared" si="5"/>
        <v>900000</v>
      </c>
      <c r="S39" s="144">
        <v>50000</v>
      </c>
      <c r="T39" s="25">
        <v>50000</v>
      </c>
      <c r="U39" s="25"/>
      <c r="V39" s="25">
        <v>64571</v>
      </c>
    </row>
    <row r="40" spans="1:22" x14ac:dyDescent="0.35">
      <c r="A40" s="13" t="s">
        <v>84</v>
      </c>
      <c r="B40" s="33" t="str">
        <f>VLOOKUP(A40,[12]LISTADHERENT!$A$5:$K$43,3,0)</f>
        <v>YEPMOU JEAN JACQUES</v>
      </c>
      <c r="C40" s="25">
        <f>VLOOKUP($A40,[13]MVTRESUME25!$A$6:$AL$45,3,0)</f>
        <v>800000</v>
      </c>
      <c r="D40" s="25">
        <f>VLOOKUP($A40,[13]MVTRESUME25!$A$6:$AL$45,4,0)</f>
        <v>739643</v>
      </c>
      <c r="E40" s="25">
        <v>126907</v>
      </c>
      <c r="F40" s="25">
        <f>VLOOKUP($A40,[13]MVTRESUME25!$A$6:$AL$45,12,0)</f>
        <v>219000</v>
      </c>
      <c r="G40" s="25"/>
      <c r="H40" s="25"/>
      <c r="I40" s="25">
        <f t="shared" si="0"/>
        <v>1085550</v>
      </c>
      <c r="J40" s="25">
        <f>VLOOKUP($A40,[13]MVTRESUME25!$A$6:$AL$45,10,0)</f>
        <v>0</v>
      </c>
      <c r="K40" s="25">
        <v>30000</v>
      </c>
      <c r="L40" s="25">
        <v>100000</v>
      </c>
      <c r="M40" s="25">
        <f>VLOOKUP($A40,[13]MVTRESUME25!$A$6:$AL$45,23,0)</f>
        <v>0</v>
      </c>
      <c r="N40" s="25">
        <f t="shared" si="6"/>
        <v>130000</v>
      </c>
      <c r="O40" s="25">
        <f t="shared" si="3"/>
        <v>955550</v>
      </c>
      <c r="P40" s="25">
        <f t="shared" si="7"/>
        <v>0</v>
      </c>
      <c r="Q40" s="25">
        <f t="shared" si="1"/>
        <v>955550</v>
      </c>
      <c r="R40" s="25">
        <f t="shared" si="5"/>
        <v>900000</v>
      </c>
      <c r="S40" s="29"/>
      <c r="T40" s="25"/>
      <c r="U40" s="25"/>
      <c r="V40" s="25">
        <v>126907</v>
      </c>
    </row>
    <row r="41" spans="1:22" x14ac:dyDescent="0.35">
      <c r="A41" s="13" t="s">
        <v>165</v>
      </c>
      <c r="B41" s="33" t="str">
        <f>VLOOKUP(A41,[12]LISTADHERENT!$A$5:$K$43,3,0)</f>
        <v>YIALA ALAIN OSCAR</v>
      </c>
      <c r="C41" s="25">
        <f>VLOOKUP($A41,[13]MVTRESUME25!$A$6:$AL$45,3,0)</f>
        <v>800000</v>
      </c>
      <c r="D41" s="25">
        <f>VLOOKUP($A41,[13]MVTRESUME25!$A$6:$AL$45,4,0)</f>
        <v>241</v>
      </c>
      <c r="E41" s="25">
        <v>67093</v>
      </c>
      <c r="F41" s="25">
        <f>VLOOKUP($A41,[13]MVTRESUME25!$A$6:$AL$45,12,0)</f>
        <v>228000</v>
      </c>
      <c r="G41" s="25"/>
      <c r="H41" s="25"/>
      <c r="I41" s="25">
        <f t="shared" si="0"/>
        <v>295334</v>
      </c>
      <c r="J41" s="25">
        <f>VLOOKUP($A41,[13]MVTRESUME25!$A$6:$AL$45,10,0)</f>
        <v>0</v>
      </c>
      <c r="K41" s="25">
        <v>30000</v>
      </c>
      <c r="L41" s="25">
        <v>100000</v>
      </c>
      <c r="M41" s="25">
        <f>VLOOKUP($A41,[13]MVTRESUME25!$A$6:$AL$45,23,0)</f>
        <v>0</v>
      </c>
      <c r="N41" s="25">
        <f t="shared" si="6"/>
        <v>130000</v>
      </c>
      <c r="O41" s="25">
        <f t="shared" si="3"/>
        <v>165334</v>
      </c>
      <c r="P41" s="25">
        <f t="shared" si="7"/>
        <v>70000</v>
      </c>
      <c r="Q41" s="25">
        <f t="shared" si="1"/>
        <v>-4666</v>
      </c>
      <c r="R41" s="25">
        <f t="shared" si="5"/>
        <v>900000</v>
      </c>
      <c r="S41" s="144">
        <v>100000</v>
      </c>
      <c r="T41" s="25">
        <v>70000</v>
      </c>
      <c r="U41" s="25"/>
      <c r="V41" s="25">
        <v>67093</v>
      </c>
    </row>
    <row r="42" spans="1:22" x14ac:dyDescent="0.35">
      <c r="A42" s="13" t="s">
        <v>85</v>
      </c>
      <c r="B42" s="33" t="str">
        <f>VLOOKUP(A42,[12]LISTADHERENT!$A$5:$K$43,3,0)</f>
        <v>YOUMBI EMMANUEL</v>
      </c>
      <c r="C42" s="25">
        <f>VLOOKUP($A42,[13]MVTRESUME25!$A$6:$AL$45,3,0)</f>
        <v>800000</v>
      </c>
      <c r="D42" s="25">
        <f>VLOOKUP($A42,[13]MVTRESUME25!$A$6:$AL$45,4,0)</f>
        <v>1296586</v>
      </c>
      <c r="E42" s="25">
        <v>172130</v>
      </c>
      <c r="F42" s="25">
        <f>VLOOKUP($A42,[13]MVTRESUME25!$A$6:$AL$45,12,0)</f>
        <v>228000</v>
      </c>
      <c r="G42" s="25"/>
      <c r="H42" s="25"/>
      <c r="I42" s="25">
        <f t="shared" si="0"/>
        <v>1696716</v>
      </c>
      <c r="J42" s="25">
        <f>VLOOKUP($A42,[13]MVTRESUME25!$A$6:$AL$45,10,0)</f>
        <v>0</v>
      </c>
      <c r="K42" s="25">
        <v>30000</v>
      </c>
      <c r="L42" s="25">
        <v>100000</v>
      </c>
      <c r="M42" s="25">
        <f>VLOOKUP($A42,[13]MVTRESUME25!$A$6:$AL$45,23,0)</f>
        <v>0</v>
      </c>
      <c r="N42" s="25">
        <f t="shared" si="6"/>
        <v>130000</v>
      </c>
      <c r="O42" s="25">
        <f t="shared" si="3"/>
        <v>1566716</v>
      </c>
      <c r="P42" s="25">
        <f t="shared" si="7"/>
        <v>0</v>
      </c>
      <c r="Q42" s="25">
        <f t="shared" si="1"/>
        <v>1566716</v>
      </c>
      <c r="R42" s="25">
        <f t="shared" si="5"/>
        <v>900000</v>
      </c>
      <c r="S42" s="29"/>
      <c r="V42" s="25">
        <v>172130</v>
      </c>
    </row>
    <row r="43" spans="1:22" x14ac:dyDescent="0.35">
      <c r="A43" s="13"/>
      <c r="B43" s="3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15"/>
    </row>
    <row r="44" spans="1:22" ht="18" thickBot="1" x14ac:dyDescent="0.4">
      <c r="A44" s="84" t="s">
        <v>23</v>
      </c>
      <c r="B44" s="85"/>
      <c r="C44" s="86">
        <f>SUM(C6:C42)</f>
        <v>24000000</v>
      </c>
      <c r="D44" s="86">
        <f>SUM(D6:D42)</f>
        <v>6596797</v>
      </c>
      <c r="E44" s="86">
        <f t="shared" ref="E44:V44" si="9">SUM(E6:E42)</f>
        <v>2494000</v>
      </c>
      <c r="F44" s="86">
        <f t="shared" si="9"/>
        <v>13129275</v>
      </c>
      <c r="G44" s="86">
        <f t="shared" si="9"/>
        <v>0</v>
      </c>
      <c r="H44" s="86">
        <f t="shared" si="9"/>
        <v>0</v>
      </c>
      <c r="I44" s="86">
        <f t="shared" si="9"/>
        <v>22220072</v>
      </c>
      <c r="J44" s="86">
        <f t="shared" si="9"/>
        <v>5000</v>
      </c>
      <c r="K44" s="86">
        <f t="shared" si="9"/>
        <v>1040000</v>
      </c>
      <c r="L44" s="86">
        <f t="shared" si="9"/>
        <v>5700000</v>
      </c>
      <c r="M44" s="86">
        <f t="shared" si="9"/>
        <v>3930000</v>
      </c>
      <c r="N44" s="86">
        <f t="shared" si="9"/>
        <v>6745000</v>
      </c>
      <c r="O44" s="86">
        <f t="shared" si="9"/>
        <v>15475072</v>
      </c>
      <c r="P44" s="86">
        <f t="shared" si="9"/>
        <v>2920000</v>
      </c>
      <c r="Q44" s="86">
        <f t="shared" si="9"/>
        <v>7415628</v>
      </c>
      <c r="R44" s="86">
        <f t="shared" si="9"/>
        <v>29700000</v>
      </c>
      <c r="S44" s="140">
        <f t="shared" si="9"/>
        <v>2016000</v>
      </c>
      <c r="T44" s="140">
        <f t="shared" si="9"/>
        <v>2520000</v>
      </c>
      <c r="U44" s="140">
        <f t="shared" si="9"/>
        <v>400000</v>
      </c>
      <c r="V44" s="140">
        <f t="shared" si="9"/>
        <v>2494000</v>
      </c>
    </row>
    <row r="45" spans="1:22" ht="15" thickTop="1" x14ac:dyDescent="0.35">
      <c r="A45" s="137"/>
      <c r="B45" s="138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9"/>
    </row>
    <row r="46" spans="1:22" x14ac:dyDescent="0.35">
      <c r="A46" s="13"/>
      <c r="B46" s="33" t="s">
        <v>178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14"/>
    </row>
    <row r="47" spans="1:22" x14ac:dyDescent="0.35">
      <c r="A47" s="13"/>
      <c r="B47" s="33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14"/>
    </row>
    <row r="48" spans="1:22" x14ac:dyDescent="0.35">
      <c r="A48" s="13"/>
      <c r="B48" s="3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14"/>
    </row>
    <row r="49" spans="1:19" x14ac:dyDescent="0.35">
      <c r="A49" s="13" t="s">
        <v>105</v>
      </c>
      <c r="B49" s="33" t="str">
        <f>VLOOKUP(A49,[14]LISTADHERENT!A$5:H$60,3,0)</f>
        <v>HODIEP JULES</v>
      </c>
      <c r="C49" s="25">
        <f>VLOOKUP(A49,[15]FONDSCAISSE!$A$2:$H$51,8,0)</f>
        <v>80000</v>
      </c>
      <c r="D49" s="33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53"/>
      <c r="P49" s="53"/>
      <c r="Q49" s="53"/>
      <c r="R49" s="25">
        <f>C49</f>
        <v>80000</v>
      </c>
      <c r="S49" s="14"/>
    </row>
    <row r="50" spans="1:19" x14ac:dyDescent="0.35">
      <c r="A50" s="13" t="s">
        <v>76</v>
      </c>
      <c r="B50" s="33" t="str">
        <f>VLOOKUP(A50,[14]LISTADHERENT!A$5:H$60,3,0)</f>
        <v>NGONGANG JEAN THEODORE</v>
      </c>
      <c r="C50" s="25">
        <f>VLOOKUP(A50,[15]FONDSCAISSE!$A$2:$H$51,8,0)</f>
        <v>227663</v>
      </c>
      <c r="D50" s="33"/>
      <c r="E50" s="25"/>
      <c r="F50" s="54"/>
      <c r="G50" s="25"/>
      <c r="H50" s="25"/>
      <c r="I50" s="25"/>
      <c r="J50" s="25"/>
      <c r="K50" s="25"/>
      <c r="L50" s="25"/>
      <c r="M50" s="25"/>
      <c r="N50" s="25"/>
      <c r="O50" s="53"/>
      <c r="P50" s="53"/>
      <c r="Q50" s="53"/>
      <c r="R50" s="25">
        <f>C50</f>
        <v>227663</v>
      </c>
      <c r="S50" s="14"/>
    </row>
    <row r="51" spans="1:19" x14ac:dyDescent="0.35">
      <c r="A51" s="13" t="s">
        <v>106</v>
      </c>
      <c r="B51" s="33" t="str">
        <f>VLOOKUP(A51,[14]LISTADHERENT!A$5:H$60,3,0)</f>
        <v>NDOMBOU JEAN CLAUDE</v>
      </c>
      <c r="C51" s="25">
        <f>VLOOKUP(A51,[15]FONDSCAISSE!$A$2:$H$51,8,0)</f>
        <v>480000</v>
      </c>
      <c r="D51" s="33"/>
      <c r="E51" s="25"/>
      <c r="F51" s="54"/>
      <c r="G51" s="25"/>
      <c r="H51" s="25"/>
      <c r="I51" s="25"/>
      <c r="J51" s="25"/>
      <c r="K51" s="25"/>
      <c r="L51" s="25"/>
      <c r="M51" s="25"/>
      <c r="N51" s="25"/>
      <c r="O51" s="53"/>
      <c r="P51" s="53"/>
      <c r="Q51" s="53"/>
      <c r="R51" s="25">
        <f>C51</f>
        <v>480000</v>
      </c>
      <c r="S51" s="14"/>
    </row>
    <row r="52" spans="1:19" x14ac:dyDescent="0.35">
      <c r="A52" s="13" t="s">
        <v>88</v>
      </c>
      <c r="B52" s="33" t="str">
        <f>VLOOKUP(A52,[14]LISTADHERENT!A$5:H$60,3,0)</f>
        <v>NGANHOU JEAN</v>
      </c>
      <c r="C52" s="25">
        <f>VLOOKUP(A52,[15]FONDSCAISSE!$A$2:$H$51,8,0)</f>
        <v>130000</v>
      </c>
      <c r="D52" s="3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53"/>
      <c r="P52" s="53"/>
      <c r="Q52" s="53"/>
      <c r="R52" s="25">
        <f>C52</f>
        <v>130000</v>
      </c>
      <c r="S52" s="14"/>
    </row>
    <row r="53" spans="1:19" x14ac:dyDescent="0.35">
      <c r="A53" s="55"/>
      <c r="B53" s="33"/>
      <c r="C53" s="25"/>
      <c r="D53" s="33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53"/>
      <c r="P53" s="53"/>
      <c r="Q53" s="53"/>
      <c r="R53" s="33"/>
      <c r="S53" s="14"/>
    </row>
    <row r="54" spans="1:19" x14ac:dyDescent="0.35">
      <c r="A54" s="55"/>
      <c r="B54" s="33"/>
      <c r="C54" s="25"/>
      <c r="D54" s="33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53"/>
      <c r="P54" s="53"/>
      <c r="Q54" s="53"/>
      <c r="R54" s="33"/>
      <c r="S54" s="14"/>
    </row>
    <row r="55" spans="1:19" x14ac:dyDescent="0.35">
      <c r="A55" s="55"/>
      <c r="B55" s="33"/>
      <c r="C55" s="25"/>
      <c r="D55" s="33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53"/>
      <c r="P55" s="53"/>
      <c r="Q55" s="53"/>
      <c r="R55" s="33"/>
      <c r="S55" s="14"/>
    </row>
    <row r="56" spans="1:19" x14ac:dyDescent="0.35">
      <c r="A56" s="55"/>
      <c r="B56" s="33"/>
      <c r="C56" s="25"/>
      <c r="D56" s="33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53"/>
      <c r="P56" s="53"/>
      <c r="Q56" s="53"/>
      <c r="R56" s="33"/>
      <c r="S56" s="14"/>
    </row>
    <row r="57" spans="1:19" ht="22.5" customHeight="1" x14ac:dyDescent="0.35">
      <c r="A57" s="56"/>
      <c r="B57" s="33"/>
      <c r="C57" s="33"/>
      <c r="D57" s="33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53"/>
      <c r="P57" s="53"/>
      <c r="Q57" s="53"/>
      <c r="R57" s="33"/>
      <c r="S57" s="14"/>
    </row>
    <row r="58" spans="1:19" ht="18" thickBot="1" x14ac:dyDescent="0.4">
      <c r="A58" s="31" t="s">
        <v>23</v>
      </c>
      <c r="B58" s="57"/>
      <c r="C58" s="58">
        <f>SUM(C6:C57)</f>
        <v>48917663</v>
      </c>
      <c r="D58" s="58">
        <f t="shared" ref="D58:R58" si="10">SUM(D6:D57)</f>
        <v>13193594</v>
      </c>
      <c r="E58" s="58">
        <f t="shared" si="10"/>
        <v>4988000</v>
      </c>
      <c r="F58" s="58">
        <f t="shared" si="10"/>
        <v>26258550</v>
      </c>
      <c r="G58" s="58">
        <f t="shared" si="10"/>
        <v>0</v>
      </c>
      <c r="H58" s="58">
        <f t="shared" si="10"/>
        <v>0</v>
      </c>
      <c r="I58" s="58">
        <f t="shared" si="10"/>
        <v>44440144</v>
      </c>
      <c r="J58" s="58">
        <f t="shared" si="10"/>
        <v>10000</v>
      </c>
      <c r="K58" s="58">
        <f t="shared" si="10"/>
        <v>2080000</v>
      </c>
      <c r="L58" s="58">
        <f t="shared" si="10"/>
        <v>11400000</v>
      </c>
      <c r="M58" s="58"/>
      <c r="N58" s="58">
        <f t="shared" si="10"/>
        <v>13490000</v>
      </c>
      <c r="O58" s="58">
        <f t="shared" si="10"/>
        <v>30950144</v>
      </c>
      <c r="P58" s="58">
        <f t="shared" si="10"/>
        <v>5840000</v>
      </c>
      <c r="Q58" s="58">
        <f t="shared" si="10"/>
        <v>14831256</v>
      </c>
      <c r="R58" s="58">
        <f t="shared" si="10"/>
        <v>60317663</v>
      </c>
      <c r="S58" s="136"/>
    </row>
    <row r="59" spans="1:19" ht="15" thickTop="1" x14ac:dyDescent="0.35">
      <c r="F59" s="135"/>
    </row>
    <row r="60" spans="1:19" x14ac:dyDescent="0.35">
      <c r="E60" s="27"/>
      <c r="F60" s="27"/>
      <c r="G60" s="27"/>
      <c r="H60" s="27"/>
      <c r="I60" s="27"/>
      <c r="P60" s="3"/>
    </row>
    <row r="61" spans="1:19" x14ac:dyDescent="0.35">
      <c r="P61" s="3"/>
    </row>
    <row r="62" spans="1:19" x14ac:dyDescent="0.35">
      <c r="P62" s="3"/>
    </row>
    <row r="63" spans="1:19" x14ac:dyDescent="0.35">
      <c r="P63" s="3"/>
    </row>
    <row r="64" spans="1:19" x14ac:dyDescent="0.35">
      <c r="P64" s="3"/>
    </row>
    <row r="65" spans="16:16" x14ac:dyDescent="0.35">
      <c r="P65" s="3"/>
    </row>
    <row r="66" spans="16:16" x14ac:dyDescent="0.35">
      <c r="P66" s="3"/>
    </row>
    <row r="67" spans="16:16" x14ac:dyDescent="0.35">
      <c r="P67" s="3"/>
    </row>
    <row r="68" spans="16:16" x14ac:dyDescent="0.35">
      <c r="P68" s="3"/>
    </row>
    <row r="69" spans="16:16" x14ac:dyDescent="0.35">
      <c r="P69" s="3"/>
    </row>
    <row r="70" spans="16:16" x14ac:dyDescent="0.35">
      <c r="P70" s="3"/>
    </row>
    <row r="71" spans="16:16" x14ac:dyDescent="0.35">
      <c r="P71" s="3"/>
    </row>
    <row r="72" spans="16:16" x14ac:dyDescent="0.35">
      <c r="P72" s="3"/>
    </row>
    <row r="73" spans="16:16" x14ac:dyDescent="0.35">
      <c r="P73" s="3"/>
    </row>
  </sheetData>
  <autoFilter ref="A5:Q48" xr:uid="{00000000-0009-0000-0000-000007000000}">
    <sortState ref="A5:L52">
      <sortCondition ref="B5:B52"/>
    </sortState>
  </autoFilter>
  <mergeCells count="1">
    <mergeCell ref="E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tabSelected="1" workbookViewId="0">
      <selection activeCell="G13" sqref="G13"/>
    </sheetView>
  </sheetViews>
  <sheetFormatPr baseColWidth="10" defaultRowHeight="14.5" x14ac:dyDescent="0.35"/>
  <cols>
    <col min="1" max="1" width="13.81640625" bestFit="1" customWidth="1"/>
    <col min="2" max="2" width="47.453125" bestFit="1" customWidth="1"/>
    <col min="3" max="4" width="18.26953125" bestFit="1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2025</v>
      </c>
    </row>
    <row r="4" spans="1:8" ht="26" x14ac:dyDescent="0.35">
      <c r="A4" s="163" t="s">
        <v>119</v>
      </c>
      <c r="B4" s="164"/>
      <c r="C4" s="164"/>
      <c r="D4" s="164"/>
      <c r="E4" s="164"/>
      <c r="F4" s="164"/>
      <c r="G4" s="70"/>
    </row>
    <row r="5" spans="1:8" ht="15" thickBot="1" x14ac:dyDescent="0.4">
      <c r="A5" s="70"/>
      <c r="B5" s="71"/>
      <c r="C5" s="72"/>
      <c r="D5" s="72"/>
      <c r="E5" s="73"/>
      <c r="F5" s="72"/>
      <c r="G5" s="27"/>
    </row>
    <row r="6" spans="1:8" ht="15.75" customHeight="1" thickTop="1" x14ac:dyDescent="0.35">
      <c r="A6" s="167" t="s">
        <v>108</v>
      </c>
      <c r="B6" s="165" t="s">
        <v>26</v>
      </c>
      <c r="C6" s="101">
        <v>2024</v>
      </c>
      <c r="D6" s="102">
        <v>2025</v>
      </c>
      <c r="E6" s="73"/>
      <c r="F6" s="72"/>
      <c r="G6" s="27"/>
    </row>
    <row r="7" spans="1:8" ht="20" x14ac:dyDescent="0.35">
      <c r="A7" s="168"/>
      <c r="B7" s="166"/>
      <c r="C7" s="104" t="s">
        <v>130</v>
      </c>
      <c r="D7" s="105" t="s">
        <v>130</v>
      </c>
      <c r="E7" s="73"/>
      <c r="F7" s="72"/>
      <c r="G7" s="27"/>
    </row>
    <row r="8" spans="1:8" ht="21" x14ac:dyDescent="0.5">
      <c r="A8" s="103">
        <f>'BILAN 2024'!A33</f>
        <v>1</v>
      </c>
      <c r="B8" s="96" t="str">
        <f>'BILAN 2024'!B33</f>
        <v>COMPTE CCA AU 30/12/2022</v>
      </c>
      <c r="C8" s="97">
        <f>'BILAN 2024'!C33</f>
        <v>4337431</v>
      </c>
      <c r="D8" s="98">
        <f>'BILAN 2024'!D33</f>
        <v>0</v>
      </c>
      <c r="E8" s="73"/>
      <c r="F8" s="72"/>
      <c r="G8" s="27"/>
    </row>
    <row r="9" spans="1:8" ht="21" x14ac:dyDescent="0.5">
      <c r="A9" s="103">
        <f>'BILAN 2024'!A34</f>
        <v>2</v>
      </c>
      <c r="B9" s="96" t="str">
        <f>'BILAN 2024'!B34</f>
        <v>COMPTE MC²(NON ACTUALISE)</v>
      </c>
      <c r="C9" s="97">
        <f>'BILAN 2024'!C34</f>
        <v>630005</v>
      </c>
      <c r="D9" s="98">
        <f>'BILAN 2024'!D34</f>
        <v>640005</v>
      </c>
      <c r="E9" s="73"/>
      <c r="F9" s="72"/>
      <c r="G9" s="27"/>
      <c r="H9" s="27"/>
    </row>
    <row r="10" spans="1:8" ht="21" x14ac:dyDescent="0.5">
      <c r="A10" s="103">
        <f>'BILAN 2024'!A35</f>
        <v>3</v>
      </c>
      <c r="B10" s="96" t="str">
        <f>'BILAN 2024'!B35</f>
        <v>COMPTE AFRILAND</v>
      </c>
      <c r="C10" s="97">
        <f>'BILAN 2024'!C35</f>
        <v>1423702</v>
      </c>
      <c r="D10" s="98">
        <f>'BILAN 2024'!D35</f>
        <v>5265069</v>
      </c>
      <c r="E10" s="73"/>
      <c r="F10" s="72"/>
      <c r="G10" s="27"/>
    </row>
    <row r="11" spans="1:8" ht="21" x14ac:dyDescent="0.5">
      <c r="A11" s="103">
        <f>'BILAN 2024'!A36</f>
        <v>4</v>
      </c>
      <c r="B11" s="96" t="str">
        <f>'BILAN 2024'!B36</f>
        <v>DETTE PREFINANCEMENT LA'AGWEU</v>
      </c>
      <c r="C11" s="97">
        <f>'BILAN 2024'!C36</f>
        <v>744700</v>
      </c>
      <c r="D11" s="98">
        <f>'BILAN 2024'!D36</f>
        <v>0</v>
      </c>
      <c r="E11" s="73"/>
      <c r="F11" s="72"/>
      <c r="G11" s="27"/>
    </row>
    <row r="12" spans="1:8" ht="21" x14ac:dyDescent="0.5">
      <c r="A12" s="103">
        <f>'BILAN 2024'!A37</f>
        <v>5</v>
      </c>
      <c r="B12" s="96" t="str">
        <f>'BILAN 2024'!B37</f>
        <v>DETTE MR KOUATCHO</v>
      </c>
      <c r="C12" s="97">
        <f>'BILAN 2024'!C37</f>
        <v>0</v>
      </c>
      <c r="D12" s="98">
        <f>'BILAN 2024'!D37</f>
        <v>0</v>
      </c>
      <c r="E12" s="72"/>
      <c r="F12" s="72"/>
      <c r="G12" s="27"/>
    </row>
    <row r="13" spans="1:8" ht="21" x14ac:dyDescent="0.5">
      <c r="A13" s="103">
        <f>'BILAN 2024'!A38</f>
        <v>6</v>
      </c>
      <c r="B13" s="96" t="str">
        <f>'BILAN 2024'!B38</f>
        <v>RESTE A RECUPERE AU CONSEIL</v>
      </c>
      <c r="C13" s="97">
        <f>'BILAN 2024'!C38</f>
        <v>154000</v>
      </c>
      <c r="D13" s="98">
        <f>'BILAN 2024'!D38</f>
        <v>0</v>
      </c>
      <c r="E13" s="72"/>
      <c r="F13" s="72"/>
      <c r="G13" s="27"/>
    </row>
    <row r="14" spans="1:8" ht="21" x14ac:dyDescent="0.5">
      <c r="A14" s="103">
        <f>'BILAN 2024'!A39</f>
        <v>7</v>
      </c>
      <c r="B14" s="96" t="str">
        <f>'BILAN 2024'!B39</f>
        <v>FONDS EN CIRCULATION</v>
      </c>
      <c r="C14" s="97">
        <f>'BILAN 2024'!C39</f>
        <v>18658500</v>
      </c>
      <c r="D14" s="98">
        <f>'BILAN 2024'!D39</f>
        <v>19060901.371297143</v>
      </c>
      <c r="E14" s="72"/>
      <c r="F14" s="72"/>
      <c r="G14" s="27"/>
    </row>
    <row r="15" spans="1:8" ht="21" x14ac:dyDescent="0.5">
      <c r="A15" s="103">
        <f>'BILAN 2024'!A40</f>
        <v>8</v>
      </c>
      <c r="B15" s="96" t="str">
        <f>'BILAN 2024'!B40</f>
        <v>DETTES TONTINES</v>
      </c>
      <c r="C15" s="97">
        <f>'BILAN 2024'!C40</f>
        <v>656618</v>
      </c>
      <c r="D15" s="98">
        <f>'BILAN 2024'!D40</f>
        <v>0</v>
      </c>
      <c r="E15" s="73"/>
      <c r="F15" s="72"/>
      <c r="G15" s="27"/>
    </row>
    <row r="16" spans="1:8" ht="21" x14ac:dyDescent="0.5">
      <c r="A16" s="19"/>
      <c r="B16" s="96"/>
      <c r="C16" s="99"/>
      <c r="D16" s="100"/>
      <c r="E16" s="73"/>
      <c r="F16" s="72"/>
      <c r="G16" s="27"/>
    </row>
    <row r="17" spans="1:7" ht="20.5" thickBot="1" x14ac:dyDescent="0.45">
      <c r="A17" s="67"/>
      <c r="B17" s="68" t="s">
        <v>23</v>
      </c>
      <c r="C17" s="69">
        <f>SUM(C8:C16)</f>
        <v>26604956</v>
      </c>
      <c r="D17" s="87">
        <f>SUM(D8:D16)</f>
        <v>24965975.371297143</v>
      </c>
      <c r="E17" s="79"/>
      <c r="F17" s="72"/>
      <c r="G17" s="30"/>
    </row>
    <row r="18" spans="1:7" ht="15" thickTop="1" x14ac:dyDescent="0.35">
      <c r="A18" s="70"/>
      <c r="B18" s="70"/>
      <c r="C18" s="80"/>
      <c r="D18" s="80"/>
      <c r="E18" s="79"/>
      <c r="F18" s="72"/>
      <c r="G18" s="27"/>
    </row>
  </sheetData>
  <mergeCells count="3">
    <mergeCell ref="A4:F4"/>
    <mergeCell ref="B6:B7"/>
    <mergeCell ref="A6:A7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7"/>
  <sheetViews>
    <sheetView workbookViewId="0">
      <selection activeCell="F23" sqref="F23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2</v>
      </c>
      <c r="B4" s="164"/>
      <c r="C4" s="164"/>
      <c r="D4" s="164"/>
      <c r="E4" s="164"/>
      <c r="F4" s="164"/>
    </row>
    <row r="5" spans="1:6" ht="15" thickBot="1" x14ac:dyDescent="0.4">
      <c r="A5" s="70"/>
      <c r="B5" s="71"/>
      <c r="C5" s="72"/>
      <c r="D5" s="72"/>
      <c r="E5" s="73"/>
      <c r="F5" s="72"/>
    </row>
    <row r="6" spans="1:6" ht="15.75" customHeight="1" thickTop="1" x14ac:dyDescent="0.4">
      <c r="A6" s="169" t="s">
        <v>96</v>
      </c>
      <c r="B6" s="171" t="s">
        <v>52</v>
      </c>
      <c r="C6" s="106" t="s">
        <v>134</v>
      </c>
      <c r="D6" s="171" t="s">
        <v>131</v>
      </c>
      <c r="E6" s="171"/>
      <c r="F6" s="173"/>
    </row>
    <row r="7" spans="1:6" ht="21.75" customHeight="1" x14ac:dyDescent="0.35">
      <c r="A7" s="170"/>
      <c r="B7" s="172"/>
      <c r="C7" s="107" t="s">
        <v>130</v>
      </c>
      <c r="D7" s="107" t="s">
        <v>132</v>
      </c>
      <c r="E7" s="107" t="s">
        <v>133</v>
      </c>
      <c r="F7" s="26" t="s">
        <v>130</v>
      </c>
    </row>
    <row r="8" spans="1:6" ht="18.5" x14ac:dyDescent="0.45">
      <c r="A8" s="14" t="s">
        <v>90</v>
      </c>
      <c r="B8" s="14" t="str">
        <f>VLOOKUP($A$8,[12]LISTADHERENT!$A$5:$K$43,3,0)</f>
        <v>ASELBY</v>
      </c>
      <c r="C8" s="108"/>
      <c r="D8" s="110">
        <v>45658</v>
      </c>
      <c r="E8" s="14" t="s">
        <v>166</v>
      </c>
      <c r="F8" s="109">
        <f>[20]HISTOJANV25!$BQ$8</f>
        <v>66000</v>
      </c>
    </row>
    <row r="9" spans="1:6" ht="18.5" x14ac:dyDescent="0.45">
      <c r="A9" s="14" t="s">
        <v>62</v>
      </c>
      <c r="B9" s="14" t="str">
        <f>VLOOKUP(A9,[12]LISTADHERENT!$A$5:$K$43,3,0)</f>
        <v>BAKOP ACHILLE</v>
      </c>
      <c r="C9" s="108">
        <f>VLOOKUP(A9,[13]MVTRESUME25!$A$7:$Q$45,13,0)</f>
        <v>12000</v>
      </c>
      <c r="D9" s="110">
        <v>45658</v>
      </c>
      <c r="E9" s="14" t="s">
        <v>169</v>
      </c>
      <c r="F9" s="109">
        <f>[20]HISTOJANV25!$BQ$13</f>
        <v>6000</v>
      </c>
    </row>
    <row r="10" spans="1:6" ht="18.5" x14ac:dyDescent="0.45">
      <c r="A10" s="14" t="s">
        <v>63</v>
      </c>
      <c r="B10" s="14" t="str">
        <f>VLOOKUP(A10,[12]LISTADHERENT!$A$5:$K$43,3,0)</f>
        <v>BOUTCHOUANG WILLIAM</v>
      </c>
      <c r="C10" s="108">
        <f>VLOOKUP(A10,[13]MVTRESUME25!$A$7:$Q$45,13,0)</f>
        <v>12000</v>
      </c>
      <c r="D10" s="110">
        <v>45689</v>
      </c>
      <c r="E10" s="14" t="s">
        <v>166</v>
      </c>
      <c r="F10" s="109">
        <f>[20]HISTOFEV25!$BQ$8</f>
        <v>30000</v>
      </c>
    </row>
    <row r="11" spans="1:6" ht="18.5" x14ac:dyDescent="0.45">
      <c r="A11" s="14" t="s">
        <v>64</v>
      </c>
      <c r="B11" s="14" t="str">
        <f>VLOOKUP(A11,[12]LISTADHERENT!$A$5:$K$43,3,0)</f>
        <v xml:space="preserve">DJOMO JEAN PAUL </v>
      </c>
      <c r="C11" s="108">
        <f>VLOOKUP(A11,[13]MVTRESUME25!$A$7:$Q$45,13,0)</f>
        <v>12000</v>
      </c>
      <c r="D11" s="110">
        <v>45689</v>
      </c>
      <c r="E11" s="14" t="s">
        <v>169</v>
      </c>
      <c r="F11" s="109">
        <f>[20]HISTOFEV25!$BQ$13</f>
        <v>6000</v>
      </c>
    </row>
    <row r="12" spans="1:6" ht="18.5" x14ac:dyDescent="0.45">
      <c r="A12" s="14" t="s">
        <v>103</v>
      </c>
      <c r="B12" s="14" t="str">
        <f>VLOOKUP(A12,[12]LISTADHERENT!$A$5:$K$43,3,0)</f>
        <v>DJOMOU TCHAPDA</v>
      </c>
      <c r="C12" s="108">
        <f>VLOOKUP(A12,[13]MVTRESUME25!$A$7:$Q$45,13,0)</f>
        <v>12000</v>
      </c>
      <c r="D12" s="110">
        <v>45717</v>
      </c>
      <c r="E12" s="14" t="s">
        <v>167</v>
      </c>
      <c r="F12" s="109">
        <f>[20]HISTOMARS25!$BQ$11</f>
        <v>40000</v>
      </c>
    </row>
    <row r="13" spans="1:6" ht="18.5" x14ac:dyDescent="0.45">
      <c r="A13" s="14" t="s">
        <v>65</v>
      </c>
      <c r="B13" s="14" t="str">
        <f>VLOOKUP(A13,[12]LISTADHERENT!$A$5:$K$43,3,0)</f>
        <v>DJOUKWE NANGUEN GUY BLAISE</v>
      </c>
      <c r="C13" s="108">
        <f>VLOOKUP(A13,[13]MVTRESUME25!$A$7:$Q$45,13,0)</f>
        <v>12000</v>
      </c>
      <c r="D13" s="110">
        <v>45717</v>
      </c>
      <c r="E13" s="14" t="s">
        <v>169</v>
      </c>
      <c r="F13" s="109">
        <f>[20]HISTOMARS25!$BQ$13</f>
        <v>12000</v>
      </c>
    </row>
    <row r="14" spans="1:6" ht="18.5" x14ac:dyDescent="0.45">
      <c r="A14" s="14" t="s">
        <v>66</v>
      </c>
      <c r="B14" s="14" t="str">
        <f>VLOOKUP(A14,[12]LISTADHERENT!$A$5:$K$43,3,0)</f>
        <v>DJUOMBESSY ANTOINE</v>
      </c>
      <c r="C14" s="108">
        <f>VLOOKUP(A14,[13]MVTRESUME25!$A$7:$Q$45,13,0)</f>
        <v>12000</v>
      </c>
      <c r="D14" s="110">
        <v>45748</v>
      </c>
      <c r="E14" s="14" t="s">
        <v>169</v>
      </c>
      <c r="F14" s="109">
        <f>[20]HISTOAVRIL25!$BQ$13</f>
        <v>6000</v>
      </c>
    </row>
    <row r="15" spans="1:6" ht="18.5" x14ac:dyDescent="0.45">
      <c r="A15" s="14" t="s">
        <v>87</v>
      </c>
      <c r="B15" s="14" t="str">
        <f>VLOOKUP(A15,[12]LISTADHERENT!$A$5:$K$43,3,0)</f>
        <v>DOMOU FABIEN</v>
      </c>
      <c r="C15" s="108">
        <f>VLOOKUP(A15,[13]MVTRESUME25!$A$7:$Q$45,13,0)</f>
        <v>12000</v>
      </c>
      <c r="D15" s="110">
        <v>45778</v>
      </c>
      <c r="E15" s="14" t="s">
        <v>169</v>
      </c>
      <c r="F15" s="109">
        <f>[20]HISTOMAI25!$BQ$13</f>
        <v>6000</v>
      </c>
    </row>
    <row r="16" spans="1:6" ht="18.5" x14ac:dyDescent="0.45">
      <c r="A16" s="14" t="s">
        <v>67</v>
      </c>
      <c r="B16" s="14" t="str">
        <f>VLOOKUP(A16,[12]LISTADHERENT!$A$5:$K$43,3,0)</f>
        <v>DONHOU DAVID</v>
      </c>
      <c r="C16" s="108">
        <f>VLOOKUP(A16,[13]MVTRESUME25!$A$7:$Q$45,13,0)</f>
        <v>12000</v>
      </c>
      <c r="D16" s="110">
        <v>45809</v>
      </c>
      <c r="E16" s="14" t="s">
        <v>169</v>
      </c>
      <c r="F16" s="109">
        <f>[20]HISTOJUIN25!$BQ$13</f>
        <v>6000</v>
      </c>
    </row>
    <row r="17" spans="1:6" ht="18.5" x14ac:dyDescent="0.45">
      <c r="A17" s="14" t="s">
        <v>181</v>
      </c>
      <c r="B17" s="14" t="str">
        <f>VLOOKUP(A17,[12]LISTADHERENT!$A$5:$K$43,3,0)</f>
        <v>FAMPOU PAUL</v>
      </c>
      <c r="C17" s="108">
        <f>VLOOKUP(A17,[13]MVTRESUME25!$A$7:$Q$45,13,0)</f>
        <v>12000</v>
      </c>
      <c r="D17" s="110">
        <v>45839</v>
      </c>
      <c r="E17" s="14" t="s">
        <v>169</v>
      </c>
      <c r="F17" s="109">
        <f>[20]HISTOJUIL25!$BQ$13</f>
        <v>6000</v>
      </c>
    </row>
    <row r="18" spans="1:6" ht="18.5" x14ac:dyDescent="0.45">
      <c r="A18" s="14" t="s">
        <v>68</v>
      </c>
      <c r="B18" s="14" t="str">
        <f>VLOOKUP(A18,[12]LISTADHERENT!$A$5:$K$43,3,0)</f>
        <v>HENGUE PAUL OMER</v>
      </c>
      <c r="C18" s="108">
        <f>VLOOKUP(A18,[13]MVTRESUME25!$A$7:$Q$45,13,0)</f>
        <v>12000</v>
      </c>
      <c r="D18" s="110">
        <v>45870</v>
      </c>
      <c r="E18" s="14" t="s">
        <v>169</v>
      </c>
      <c r="F18" s="109">
        <f>[20]HISTOAOUT25!$BQ$13</f>
        <v>6000</v>
      </c>
    </row>
    <row r="19" spans="1:6" ht="18.5" x14ac:dyDescent="0.45">
      <c r="A19" s="14" t="s">
        <v>69</v>
      </c>
      <c r="B19" s="14" t="str">
        <f>VLOOKUP(A19,[12]LISTADHERENT!$A$5:$K$43,3,0)</f>
        <v>HOTCHO BENJAMIN</v>
      </c>
      <c r="C19" s="108">
        <f>VLOOKUP(A19,[13]MVTRESUME25!$A$7:$Q$45,13,0)</f>
        <v>12000</v>
      </c>
      <c r="D19" s="110">
        <v>45901</v>
      </c>
      <c r="E19" s="14" t="s">
        <v>169</v>
      </c>
      <c r="F19" s="109">
        <f>[20]HISTOSEPT25!$BQ$13</f>
        <v>12000</v>
      </c>
    </row>
    <row r="20" spans="1:6" ht="18.5" x14ac:dyDescent="0.45">
      <c r="A20" s="14" t="s">
        <v>70</v>
      </c>
      <c r="B20" s="14" t="str">
        <f>VLOOKUP(A20,[12]LISTADHERENT!$A$5:$K$43,3,0)</f>
        <v>KOUAMOU MOISE</v>
      </c>
      <c r="C20" s="108">
        <f>VLOOKUP(A20,[13]MVTRESUME25!$A$7:$Q$45,13,0)</f>
        <v>12000</v>
      </c>
      <c r="D20" s="110">
        <v>45932</v>
      </c>
      <c r="E20" s="14" t="s">
        <v>169</v>
      </c>
      <c r="F20" s="109">
        <f>[20]HISTOOCT25!$BQ$13</f>
        <v>6000</v>
      </c>
    </row>
    <row r="21" spans="1:6" ht="18.5" x14ac:dyDescent="0.45">
      <c r="A21" s="14" t="s">
        <v>71</v>
      </c>
      <c r="B21" s="14" t="str">
        <f>VLOOKUP(A21,[12]LISTADHERENT!$A$5:$K$43,3,0)</f>
        <v>KOUATCHO MESSACK</v>
      </c>
      <c r="C21" s="108">
        <f>VLOOKUP(A21,[13]MVTRESUME25!$A$7:$Q$45,13,0)</f>
        <v>12000</v>
      </c>
      <c r="D21" s="110">
        <v>45964</v>
      </c>
      <c r="E21" s="14" t="s">
        <v>169</v>
      </c>
      <c r="F21" s="109">
        <f>[20]HISTONOV25!$BQ$13</f>
        <v>6000</v>
      </c>
    </row>
    <row r="22" spans="1:6" ht="18.5" x14ac:dyDescent="0.45">
      <c r="A22" s="14" t="s">
        <v>72</v>
      </c>
      <c r="B22" s="14" t="str">
        <f>VLOOKUP(A22,[12]LISTADHERENT!$A$5:$K$43,3,0)</f>
        <v>LOWE JEAN</v>
      </c>
      <c r="C22" s="108">
        <f>VLOOKUP(A22,[13]MVTRESUME25!$A$7:$Q$45,13,0)</f>
        <v>0</v>
      </c>
      <c r="D22" s="110">
        <v>45995</v>
      </c>
      <c r="E22" s="14" t="s">
        <v>169</v>
      </c>
      <c r="F22" s="109">
        <f>[20]HISTODEC25!$BQ$13</f>
        <v>6000</v>
      </c>
    </row>
    <row r="23" spans="1:6" ht="18.5" x14ac:dyDescent="0.45">
      <c r="A23" s="14" t="s">
        <v>163</v>
      </c>
      <c r="B23" s="14" t="str">
        <f>VLOOKUP(A23,[12]LISTADHERENT!$A$5:$K$43,3,0)</f>
        <v>MASSEUNGOUE DAGOBERT</v>
      </c>
      <c r="C23" s="108">
        <f>VLOOKUP(A23,[13]MVTRESUME25!$A$7:$Q$45,13,0)</f>
        <v>12000</v>
      </c>
      <c r="D23" s="110">
        <v>45995</v>
      </c>
      <c r="E23" s="14" t="s">
        <v>166</v>
      </c>
      <c r="F23" s="109">
        <f>[20]HISTODEC25!$BQ$8</f>
        <v>46000</v>
      </c>
    </row>
    <row r="24" spans="1:6" ht="18.5" x14ac:dyDescent="0.45">
      <c r="A24" s="14" t="s">
        <v>86</v>
      </c>
      <c r="B24" s="14" t="str">
        <f>VLOOKUP(A24,[12]LISTADHERENT!$A$5:$K$43,3,0)</f>
        <v>MBOGNING TUGMA GUY</v>
      </c>
      <c r="C24" s="108">
        <f>VLOOKUP(A24,[13]MVTRESUME25!$A$7:$Q$45,13,0)</f>
        <v>12000</v>
      </c>
      <c r="D24" s="110"/>
      <c r="E24" s="14"/>
      <c r="F24" s="109"/>
    </row>
    <row r="25" spans="1:6" ht="18.5" x14ac:dyDescent="0.45">
      <c r="A25" s="14" t="s">
        <v>81</v>
      </c>
      <c r="B25" s="14" t="str">
        <f>VLOOKUP(A25,[12]LISTADHERENT!$A$5:$K$43,3,0)</f>
        <v>NANGUEN MARTIN</v>
      </c>
      <c r="C25" s="108">
        <f>VLOOKUP(A25,[13]MVTRESUME25!$A$7:$Q$45,13,0)</f>
        <v>12000</v>
      </c>
      <c r="D25" s="110"/>
      <c r="E25" s="14"/>
      <c r="F25" s="109"/>
    </row>
    <row r="26" spans="1:6" ht="18.5" x14ac:dyDescent="0.45">
      <c r="A26" s="14" t="s">
        <v>73</v>
      </c>
      <c r="B26" s="14" t="str">
        <f>VLOOKUP(A26,[12]LISTADHERENT!$A$5:$K$43,3,0)</f>
        <v>NANKAM APPOLINAIRE</v>
      </c>
      <c r="C26" s="108">
        <f>VLOOKUP(A26,[13]MVTRESUME25!$A$7:$Q$45,13,0)</f>
        <v>12000</v>
      </c>
      <c r="D26" s="110"/>
      <c r="E26" s="14"/>
      <c r="F26" s="109"/>
    </row>
    <row r="27" spans="1:6" ht="18.5" x14ac:dyDescent="0.45">
      <c r="A27" s="14" t="s">
        <v>74</v>
      </c>
      <c r="B27" s="14" t="str">
        <f>VLOOKUP(A27,[12]LISTADHERENT!$A$5:$K$43,3,0)</f>
        <v>NDJOMO ETIENNE</v>
      </c>
      <c r="C27" s="108">
        <f>VLOOKUP(A27,[13]MVTRESUME25!$A$7:$Q$45,13,0)</f>
        <v>12000</v>
      </c>
      <c r="D27" s="110"/>
      <c r="E27" s="14"/>
      <c r="F27" s="109"/>
    </row>
    <row r="28" spans="1:6" ht="18.5" x14ac:dyDescent="0.45">
      <c r="A28" s="14" t="s">
        <v>75</v>
      </c>
      <c r="B28" s="14" t="str">
        <f>VLOOKUP(A28,[12]LISTADHERENT!$A$5:$K$43,3,0)</f>
        <v>NGONDIEP CLAUDE</v>
      </c>
      <c r="C28" s="108">
        <f>VLOOKUP(A28,[13]MVTRESUME25!$A$7:$Q$45,13,0)</f>
        <v>12000</v>
      </c>
      <c r="D28" s="110"/>
      <c r="E28" s="14"/>
      <c r="F28" s="109"/>
    </row>
    <row r="29" spans="1:6" ht="18.5" x14ac:dyDescent="0.45">
      <c r="A29" s="14" t="s">
        <v>77</v>
      </c>
      <c r="B29" s="14" t="str">
        <f>VLOOKUP(A29,[12]LISTADHERENT!$A$5:$K$43,3,0)</f>
        <v>NGUIEMEGNI MATHIEU BLAISE</v>
      </c>
      <c r="C29" s="108">
        <f>VLOOKUP(A29,[13]MVTRESUME25!$A$7:$Q$45,13,0)</f>
        <v>12000</v>
      </c>
      <c r="D29" s="110"/>
      <c r="E29" s="14"/>
      <c r="F29" s="109"/>
    </row>
    <row r="30" spans="1:6" ht="18.5" x14ac:dyDescent="0.45">
      <c r="A30" s="14" t="s">
        <v>78</v>
      </c>
      <c r="B30" s="14" t="str">
        <f>VLOOKUP(A30,[12]LISTADHERENT!$A$5:$K$43,3,0)</f>
        <v>NKAMGANG JUSTIN DEJOLIE</v>
      </c>
      <c r="C30" s="108">
        <f>VLOOKUP(A30,[13]MVTRESUME25!$A$7:$Q$45,13,0)</f>
        <v>12000</v>
      </c>
      <c r="D30" s="110"/>
      <c r="E30" s="14"/>
      <c r="F30" s="109"/>
    </row>
    <row r="31" spans="1:6" ht="18.5" x14ac:dyDescent="0.45">
      <c r="A31" s="14" t="s">
        <v>104</v>
      </c>
      <c r="B31" s="14" t="str">
        <f>VLOOKUP(A31,[12]LISTADHERENT!$A$5:$K$43,3,0)</f>
        <v>NOUBE ETIENNE</v>
      </c>
      <c r="C31" s="108">
        <f>VLOOKUP(A31,[13]MVTRESUME25!$A$7:$Q$45,13,0)</f>
        <v>12000</v>
      </c>
      <c r="D31" s="110"/>
      <c r="E31" s="14"/>
      <c r="F31" s="109"/>
    </row>
    <row r="32" spans="1:6" ht="18.5" x14ac:dyDescent="0.45">
      <c r="A32" s="14" t="s">
        <v>79</v>
      </c>
      <c r="B32" s="14" t="str">
        <f>VLOOKUP(A32,[12]LISTADHERENT!$A$5:$K$43,3,0)</f>
        <v>PATEGO NJOSSU GUSTAVE</v>
      </c>
      <c r="C32" s="108">
        <f>VLOOKUP(A32,[13]MVTRESUME25!$A$7:$Q$45,13,0)</f>
        <v>12000</v>
      </c>
      <c r="D32" s="14"/>
      <c r="E32" s="14"/>
      <c r="F32" s="109"/>
    </row>
    <row r="33" spans="1:6" ht="18.5" x14ac:dyDescent="0.45">
      <c r="A33" s="14" t="s">
        <v>127</v>
      </c>
      <c r="B33" s="14" t="str">
        <f>VLOOKUP(A33,[12]LISTADHERENT!$A$5:$K$43,3,0)</f>
        <v>SEUMO POLYCARPE</v>
      </c>
      <c r="C33" s="108">
        <f>VLOOKUP(A33,[13]MVTRESUME25!$A$7:$Q$45,13,0)</f>
        <v>12000</v>
      </c>
      <c r="D33" s="14"/>
      <c r="E33" s="14"/>
      <c r="F33" s="109"/>
    </row>
    <row r="34" spans="1:6" ht="18.5" x14ac:dyDescent="0.45">
      <c r="A34" s="14" t="s">
        <v>89</v>
      </c>
      <c r="B34" s="14" t="str">
        <f>VLOOKUP(A34,[12]LISTADHERENT!$A$5:$K$43,3,0)</f>
        <v>SIME BRICE</v>
      </c>
      <c r="C34" s="108">
        <f>VLOOKUP(A34,[13]MVTRESUME25!$A$7:$Q$45,13,0)</f>
        <v>12000</v>
      </c>
      <c r="D34" s="14"/>
      <c r="E34" s="14"/>
      <c r="F34" s="109"/>
    </row>
    <row r="35" spans="1:6" ht="18.5" x14ac:dyDescent="0.45">
      <c r="A35" s="14" t="s">
        <v>182</v>
      </c>
      <c r="B35" s="14" t="str">
        <f>VLOOKUP(A35,[12]LISTADHERENT!$A$5:$K$43,3,0)</f>
        <v>SIMO FONGANG ERIC</v>
      </c>
      <c r="C35" s="108">
        <f>VLOOKUP(A35,[13]MVTRESUME25!$A$7:$Q$45,13,0)</f>
        <v>12000</v>
      </c>
      <c r="D35" s="14"/>
      <c r="E35" s="14"/>
      <c r="F35" s="109"/>
    </row>
    <row r="36" spans="1:6" ht="18.5" x14ac:dyDescent="0.45">
      <c r="A36" s="14" t="s">
        <v>80</v>
      </c>
      <c r="B36" s="14" t="str">
        <f>VLOOKUP(A36,[12]LISTADHERENT!$A$5:$K$43,3,0)</f>
        <v>SIMO PIERRE</v>
      </c>
      <c r="C36" s="108">
        <f>VLOOKUP(A36,[13]MVTRESUME25!$A$7:$Q$45,13,0)</f>
        <v>8000</v>
      </c>
      <c r="D36" s="14"/>
      <c r="E36" s="14"/>
      <c r="F36" s="109"/>
    </row>
    <row r="37" spans="1:6" ht="18.5" x14ac:dyDescent="0.45">
      <c r="A37" s="14" t="s">
        <v>82</v>
      </c>
      <c r="B37" s="14" t="str">
        <f>VLOOKUP(A37,[12]LISTADHERENT!$A$5:$K$43,3,0)</f>
        <v>TCHOUAMOU MATHIEU</v>
      </c>
      <c r="C37" s="108">
        <f>VLOOKUP(A37,[13]MVTRESUME25!$A$7:$Q$45,13,0)</f>
        <v>12000</v>
      </c>
      <c r="D37" s="14"/>
      <c r="E37" s="14"/>
      <c r="F37" s="109"/>
    </row>
    <row r="38" spans="1:6" ht="18.5" x14ac:dyDescent="0.45">
      <c r="A38" s="14" t="s">
        <v>164</v>
      </c>
      <c r="B38" s="14" t="str">
        <f>VLOOKUP(A38,[12]LISTADHERENT!$A$5:$K$43,3,0)</f>
        <v>TCHOUATEU AUGUSTIN</v>
      </c>
      <c r="C38" s="108">
        <f>VLOOKUP(A38,[13]MVTRESUME25!$A$7:$Q$45,13,0)</f>
        <v>12000</v>
      </c>
      <c r="D38" s="14"/>
      <c r="E38" s="14"/>
      <c r="F38" s="109"/>
    </row>
    <row r="39" spans="1:6" ht="18.5" x14ac:dyDescent="0.45">
      <c r="A39" s="14" t="s">
        <v>83</v>
      </c>
      <c r="B39" s="14" t="str">
        <f>VLOOKUP(A39,[12]LISTADHERENT!$A$5:$K$43,3,0)</f>
        <v>TCHOUTOU NANA CLAUDE</v>
      </c>
      <c r="C39" s="108">
        <f>VLOOKUP(A39,[13]MVTRESUME25!$A$7:$Q$45,13,0)</f>
        <v>12000</v>
      </c>
      <c r="D39" s="14"/>
      <c r="E39" s="14"/>
      <c r="F39" s="109"/>
    </row>
    <row r="40" spans="1:6" ht="18.5" x14ac:dyDescent="0.45">
      <c r="A40" s="14" t="s">
        <v>183</v>
      </c>
      <c r="B40" s="14" t="str">
        <f>VLOOKUP(A40,[12]LISTADHERENT!$A$5:$K$43,3,0)</f>
        <v>TIEYAM ERNEST</v>
      </c>
      <c r="C40" s="108">
        <f>VLOOKUP(A40,[13]MVTRESUME25!$A$7:$Q$45,13,0)</f>
        <v>12000</v>
      </c>
      <c r="D40" s="14"/>
      <c r="E40" s="14"/>
      <c r="F40" s="109"/>
    </row>
    <row r="41" spans="1:6" ht="18.5" x14ac:dyDescent="0.45">
      <c r="A41" s="14" t="s">
        <v>128</v>
      </c>
      <c r="B41" s="14" t="str">
        <f>VLOOKUP(A41,[12]LISTADHERENT!$A$5:$K$43,3,0)</f>
        <v>YANTCHOU GERVAIS</v>
      </c>
      <c r="C41" s="108">
        <f>VLOOKUP(A41,[13]MVTRESUME25!$A$7:$Q$45,13,0)</f>
        <v>12000</v>
      </c>
      <c r="D41" s="14"/>
      <c r="E41" s="14"/>
      <c r="F41" s="109"/>
    </row>
    <row r="42" spans="1:6" ht="18.5" x14ac:dyDescent="0.45">
      <c r="A42" s="14" t="s">
        <v>84</v>
      </c>
      <c r="B42" s="14" t="str">
        <f>VLOOKUP(A42,[12]LISTADHERENT!$A$5:$K$43,3,0)</f>
        <v>YEPMOU JEAN JACQUES</v>
      </c>
      <c r="C42" s="108">
        <f>VLOOKUP(A42,[13]MVTRESUME25!$A$7:$Q$45,13,0)</f>
        <v>12000</v>
      </c>
      <c r="D42" s="14"/>
      <c r="E42" s="14"/>
      <c r="F42" s="109"/>
    </row>
    <row r="43" spans="1:6" ht="18.5" x14ac:dyDescent="0.45">
      <c r="A43" s="14" t="s">
        <v>165</v>
      </c>
      <c r="B43" s="14" t="str">
        <f>VLOOKUP(A43,[12]LISTADHERENT!$A$5:$K$43,3,0)</f>
        <v>YIALA ALAIN OSCAR</v>
      </c>
      <c r="C43" s="108">
        <f>VLOOKUP(A43,[13]MVTRESUME25!$A$7:$Q$45,13,0)</f>
        <v>12000</v>
      </c>
      <c r="D43" s="14"/>
      <c r="E43" s="14"/>
      <c r="F43" s="109"/>
    </row>
    <row r="44" spans="1:6" ht="18.5" x14ac:dyDescent="0.45">
      <c r="A44" s="14" t="s">
        <v>85</v>
      </c>
      <c r="B44" s="14" t="str">
        <f>VLOOKUP(A44,[12]LISTADHERENT!$A$5:$K$43,3,0)</f>
        <v>YOUMBI EMMANUEL</v>
      </c>
      <c r="C44" s="108">
        <f>VLOOKUP(A44,[13]MVTRESUME25!$A$7:$Q$45,13,0)</f>
        <v>12000</v>
      </c>
      <c r="D44" s="14"/>
      <c r="E44" s="14"/>
      <c r="F44" s="109"/>
    </row>
    <row r="45" spans="1:6" ht="18.5" x14ac:dyDescent="0.45">
      <c r="A45" s="13"/>
      <c r="B45" s="14"/>
      <c r="C45" s="108"/>
      <c r="D45" s="14"/>
      <c r="E45" s="14"/>
      <c r="F45" s="109"/>
    </row>
    <row r="46" spans="1:6" ht="18" thickBot="1" x14ac:dyDescent="0.4">
      <c r="A46" s="31" t="s">
        <v>23</v>
      </c>
      <c r="B46" s="57"/>
      <c r="C46" s="58">
        <f>SUM(C8:C45)</f>
        <v>416000</v>
      </c>
      <c r="D46" s="58"/>
      <c r="E46" s="58">
        <f>SUM(E6:E45)</f>
        <v>0</v>
      </c>
      <c r="F46" s="59">
        <f>SUM(F6:F45)</f>
        <v>266000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7"/>
  <sheetViews>
    <sheetView workbookViewId="0">
      <selection activeCell="F8" sqref="F8"/>
    </sheetView>
  </sheetViews>
  <sheetFormatPr baseColWidth="10" defaultRowHeight="14.5" x14ac:dyDescent="0.35"/>
  <cols>
    <col min="2" max="2" width="30" bestFit="1" customWidth="1"/>
    <col min="3" max="3" width="12.453125" bestFit="1" customWidth="1"/>
    <col min="4" max="4" width="8.1796875" bestFit="1" customWidth="1"/>
    <col min="5" max="5" width="43" bestFit="1" customWidth="1"/>
    <col min="6" max="6" width="15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136</v>
      </c>
      <c r="B4" s="164"/>
      <c r="C4" s="164"/>
      <c r="D4" s="164"/>
      <c r="E4" s="164"/>
      <c r="F4" s="164"/>
    </row>
    <row r="5" spans="1:6" ht="15" thickBot="1" x14ac:dyDescent="0.4">
      <c r="A5" s="70"/>
      <c r="B5" s="71"/>
      <c r="C5" s="72"/>
      <c r="D5" s="72"/>
      <c r="E5" s="73"/>
      <c r="F5" s="72"/>
    </row>
    <row r="6" spans="1:6" ht="15.75" customHeight="1" thickTop="1" x14ac:dyDescent="0.4">
      <c r="A6" s="169" t="s">
        <v>96</v>
      </c>
      <c r="B6" s="171" t="s">
        <v>52</v>
      </c>
      <c r="C6" s="106" t="s">
        <v>134</v>
      </c>
      <c r="D6" s="171" t="s">
        <v>131</v>
      </c>
      <c r="E6" s="171"/>
      <c r="F6" s="173"/>
    </row>
    <row r="7" spans="1:6" ht="21.75" customHeight="1" x14ac:dyDescent="0.35">
      <c r="A7" s="170"/>
      <c r="B7" s="172"/>
      <c r="C7" s="107" t="s">
        <v>130</v>
      </c>
      <c r="D7" s="107" t="s">
        <v>132</v>
      </c>
      <c r="E7" s="107" t="s">
        <v>133</v>
      </c>
      <c r="F7" s="26" t="s">
        <v>130</v>
      </c>
    </row>
    <row r="8" spans="1:6" ht="18.5" x14ac:dyDescent="0.45">
      <c r="A8" s="19" t="s">
        <v>90</v>
      </c>
      <c r="B8" s="14" t="str">
        <f>VLOOKUP($A$8,[12]LISTADHERENT!$A$5:$K$43,3,0)</f>
        <v>ASELBY</v>
      </c>
      <c r="C8" s="108"/>
      <c r="D8" s="110">
        <v>45658</v>
      </c>
      <c r="E8" s="14" t="s">
        <v>185</v>
      </c>
      <c r="F8" s="109">
        <f>[20]HISTOJANV25!$BQ$30</f>
        <v>200000</v>
      </c>
    </row>
    <row r="9" spans="1:6" ht="18.5" x14ac:dyDescent="0.45">
      <c r="A9" s="19" t="s">
        <v>62</v>
      </c>
      <c r="B9" s="14" t="str">
        <f>VLOOKUP(A9,[12]LISTADHERENT!$A$5:$K$43,3,0)</f>
        <v>BAKOP ACHILLE</v>
      </c>
      <c r="C9" s="108">
        <f>VLOOKUP(A9,[13]MVTRESUME25!$A$7:$Q$50,14,0)</f>
        <v>12000</v>
      </c>
      <c r="D9" s="110"/>
      <c r="E9" s="14"/>
      <c r="F9" s="109"/>
    </row>
    <row r="10" spans="1:6" ht="18.5" x14ac:dyDescent="0.45">
      <c r="A10" s="19" t="s">
        <v>63</v>
      </c>
      <c r="B10" s="14" t="str">
        <f>VLOOKUP(A10,[12]LISTADHERENT!$A$5:$K$43,3,0)</f>
        <v>BOUTCHOUANG WILLIAM</v>
      </c>
      <c r="C10" s="108">
        <f>VLOOKUP(A10,[13]MVTRESUME25!$A$7:$Q$50,14,0)</f>
        <v>12000</v>
      </c>
      <c r="D10" s="110"/>
      <c r="E10" s="14"/>
      <c r="F10" s="109"/>
    </row>
    <row r="11" spans="1:6" ht="18.5" x14ac:dyDescent="0.45">
      <c r="A11" s="19" t="s">
        <v>64</v>
      </c>
      <c r="B11" s="14" t="str">
        <f>VLOOKUP(A11,[12]LISTADHERENT!$A$5:$K$43,3,0)</f>
        <v xml:space="preserve">DJOMO JEAN PAUL </v>
      </c>
      <c r="C11" s="108">
        <f>VLOOKUP(A11,[13]MVTRESUME25!$A$7:$Q$50,14,0)</f>
        <v>12000</v>
      </c>
      <c r="D11" s="110"/>
      <c r="E11" s="14"/>
      <c r="F11" s="109"/>
    </row>
    <row r="12" spans="1:6" ht="18.5" x14ac:dyDescent="0.45">
      <c r="A12" s="19" t="s">
        <v>103</v>
      </c>
      <c r="B12" s="14" t="str">
        <f>VLOOKUP(A12,[12]LISTADHERENT!$A$5:$K$43,3,0)</f>
        <v>DJOMOU TCHAPDA</v>
      </c>
      <c r="C12" s="108">
        <f>VLOOKUP(A12,[13]MVTRESUME25!$A$7:$Q$50,14,0)</f>
        <v>12000</v>
      </c>
      <c r="D12" s="110"/>
      <c r="E12" s="14"/>
      <c r="F12" s="109"/>
    </row>
    <row r="13" spans="1:6" ht="18.5" x14ac:dyDescent="0.45">
      <c r="A13" s="19" t="s">
        <v>65</v>
      </c>
      <c r="B13" s="14" t="str">
        <f>VLOOKUP(A13,[12]LISTADHERENT!$A$5:$K$43,3,0)</f>
        <v>DJOUKWE NANGUEN GUY BLAISE</v>
      </c>
      <c r="C13" s="108">
        <f>VLOOKUP(A13,[13]MVTRESUME25!$A$7:$Q$50,14,0)</f>
        <v>12000</v>
      </c>
      <c r="D13" s="110"/>
      <c r="E13" s="14"/>
      <c r="F13" s="109"/>
    </row>
    <row r="14" spans="1:6" ht="18.5" x14ac:dyDescent="0.45">
      <c r="A14" s="19" t="s">
        <v>66</v>
      </c>
      <c r="B14" s="14" t="str">
        <f>VLOOKUP(A14,[12]LISTADHERENT!$A$5:$K$43,3,0)</f>
        <v>DJUOMBESSY ANTOINE</v>
      </c>
      <c r="C14" s="108">
        <f>VLOOKUP(A14,[13]MVTRESUME25!$A$7:$Q$50,14,0)</f>
        <v>12000</v>
      </c>
      <c r="D14" s="110"/>
      <c r="E14" s="14"/>
      <c r="F14" s="109"/>
    </row>
    <row r="15" spans="1:6" ht="18.5" x14ac:dyDescent="0.45">
      <c r="A15" s="19" t="s">
        <v>87</v>
      </c>
      <c r="B15" s="14" t="str">
        <f>VLOOKUP(A15,[12]LISTADHERENT!$A$5:$K$43,3,0)</f>
        <v>DOMOU FABIEN</v>
      </c>
      <c r="C15" s="108">
        <f>VLOOKUP(A15,[13]MVTRESUME25!$A$7:$Q$50,14,0)</f>
        <v>12000</v>
      </c>
      <c r="D15" s="110"/>
      <c r="E15" s="14"/>
      <c r="F15" s="109"/>
    </row>
    <row r="16" spans="1:6" ht="18.5" x14ac:dyDescent="0.45">
      <c r="A16" s="19" t="s">
        <v>67</v>
      </c>
      <c r="B16" s="14" t="str">
        <f>VLOOKUP(A16,[12]LISTADHERENT!$A$5:$K$43,3,0)</f>
        <v>DONHOU DAVID</v>
      </c>
      <c r="C16" s="108">
        <f>VLOOKUP(A16,[13]MVTRESUME25!$A$7:$Q$50,14,0)</f>
        <v>12000</v>
      </c>
      <c r="D16" s="110"/>
      <c r="E16" s="14"/>
      <c r="F16" s="109"/>
    </row>
    <row r="17" spans="1:6" ht="18.5" x14ac:dyDescent="0.45">
      <c r="A17" s="19" t="s">
        <v>181</v>
      </c>
      <c r="B17" s="14" t="str">
        <f>VLOOKUP(A17,[12]LISTADHERENT!$A$5:$K$43,3,0)</f>
        <v>FAMPOU PAUL</v>
      </c>
      <c r="C17" s="108">
        <f>VLOOKUP(A17,[13]MVTRESUME25!$A$7:$Q$50,14,0)</f>
        <v>12000</v>
      </c>
      <c r="D17" s="110"/>
      <c r="E17" s="14"/>
      <c r="F17" s="109"/>
    </row>
    <row r="18" spans="1:6" ht="18.5" x14ac:dyDescent="0.45">
      <c r="A18" s="19" t="s">
        <v>68</v>
      </c>
      <c r="B18" s="14" t="str">
        <f>VLOOKUP(A18,[12]LISTADHERENT!$A$5:$K$43,3,0)</f>
        <v>HENGUE PAUL OMER</v>
      </c>
      <c r="C18" s="108">
        <f>VLOOKUP(A18,[13]MVTRESUME25!$A$7:$Q$50,14,0)</f>
        <v>12000</v>
      </c>
      <c r="D18" s="110"/>
      <c r="E18" s="14"/>
      <c r="F18" s="109"/>
    </row>
    <row r="19" spans="1:6" ht="18.5" x14ac:dyDescent="0.45">
      <c r="A19" s="19" t="s">
        <v>69</v>
      </c>
      <c r="B19" s="14" t="str">
        <f>VLOOKUP(A19,[12]LISTADHERENT!$A$5:$K$43,3,0)</f>
        <v>HOTCHO BENJAMIN</v>
      </c>
      <c r="C19" s="108">
        <f>VLOOKUP(A19,[13]MVTRESUME25!$A$7:$Q$50,14,0)</f>
        <v>12000</v>
      </c>
      <c r="D19" s="110"/>
      <c r="E19" s="14"/>
      <c r="F19" s="109"/>
    </row>
    <row r="20" spans="1:6" ht="18.5" x14ac:dyDescent="0.45">
      <c r="A20" s="19" t="s">
        <v>70</v>
      </c>
      <c r="B20" s="14" t="str">
        <f>VLOOKUP(A20,[12]LISTADHERENT!$A$5:$K$43,3,0)</f>
        <v>KOUAMOU MOISE</v>
      </c>
      <c r="C20" s="108">
        <f>VLOOKUP(A20,[13]MVTRESUME25!$A$7:$Q$50,14,0)</f>
        <v>12000</v>
      </c>
      <c r="D20" s="110"/>
      <c r="E20" s="14"/>
      <c r="F20" s="109"/>
    </row>
    <row r="21" spans="1:6" ht="18.5" x14ac:dyDescent="0.45">
      <c r="A21" s="19" t="s">
        <v>71</v>
      </c>
      <c r="B21" s="14" t="str">
        <f>VLOOKUP(A21,[12]LISTADHERENT!$A$5:$K$43,3,0)</f>
        <v>KOUATCHO MESSACK</v>
      </c>
      <c r="C21" s="108">
        <f>VLOOKUP(A21,[13]MVTRESUME25!$A$7:$Q$50,14,0)</f>
        <v>12000</v>
      </c>
      <c r="D21" s="110"/>
      <c r="E21" s="14"/>
      <c r="F21" s="109"/>
    </row>
    <row r="22" spans="1:6" ht="18.5" x14ac:dyDescent="0.45">
      <c r="A22" s="19" t="s">
        <v>72</v>
      </c>
      <c r="B22" s="14" t="str">
        <f>VLOOKUP(A22,[12]LISTADHERENT!$A$5:$K$43,3,0)</f>
        <v>LOWE JEAN</v>
      </c>
      <c r="C22" s="108">
        <f>VLOOKUP(A22,[13]MVTRESUME25!$A$7:$Q$50,14,0)</f>
        <v>0</v>
      </c>
      <c r="D22" s="110"/>
      <c r="E22" s="14"/>
      <c r="F22" s="109"/>
    </row>
    <row r="23" spans="1:6" ht="18.5" x14ac:dyDescent="0.45">
      <c r="A23" s="19" t="s">
        <v>163</v>
      </c>
      <c r="B23" s="14" t="str">
        <f>VLOOKUP(A23,[12]LISTADHERENT!$A$5:$K$43,3,0)</f>
        <v>MASSEUNGOUE DAGOBERT</v>
      </c>
      <c r="C23" s="108">
        <f>VLOOKUP(A23,[13]MVTRESUME25!$A$7:$Q$50,14,0)</f>
        <v>12000</v>
      </c>
      <c r="D23" s="110"/>
      <c r="E23" s="14"/>
      <c r="F23" s="109"/>
    </row>
    <row r="24" spans="1:6" ht="18.5" x14ac:dyDescent="0.45">
      <c r="A24" s="19" t="s">
        <v>86</v>
      </c>
      <c r="B24" s="14" t="str">
        <f>VLOOKUP(A24,[12]LISTADHERENT!$A$5:$K$43,3,0)</f>
        <v>MBOGNING TUGMA GUY</v>
      </c>
      <c r="C24" s="108">
        <f>VLOOKUP(A24,[13]MVTRESUME25!$A$7:$Q$50,14,0)</f>
        <v>12000</v>
      </c>
      <c r="D24" s="110"/>
      <c r="E24" s="14"/>
      <c r="F24" s="109"/>
    </row>
    <row r="25" spans="1:6" ht="18.5" x14ac:dyDescent="0.45">
      <c r="A25" s="19" t="s">
        <v>81</v>
      </c>
      <c r="B25" s="14" t="str">
        <f>VLOOKUP(A25,[12]LISTADHERENT!$A$5:$K$43,3,0)</f>
        <v>NANGUEN MARTIN</v>
      </c>
      <c r="C25" s="108">
        <f>VLOOKUP(A25,[13]MVTRESUME25!$A$7:$Q$50,14,0)</f>
        <v>12000</v>
      </c>
      <c r="D25" s="110"/>
      <c r="E25" s="14"/>
      <c r="F25" s="109"/>
    </row>
    <row r="26" spans="1:6" ht="18.5" x14ac:dyDescent="0.45">
      <c r="A26" s="19" t="s">
        <v>73</v>
      </c>
      <c r="B26" s="14" t="str">
        <f>VLOOKUP(A26,[12]LISTADHERENT!$A$5:$K$43,3,0)</f>
        <v>NANKAM APPOLINAIRE</v>
      </c>
      <c r="C26" s="108">
        <f>VLOOKUP(A26,[13]MVTRESUME25!$A$7:$Q$50,14,0)</f>
        <v>12000</v>
      </c>
      <c r="D26" s="110"/>
      <c r="E26" s="14"/>
      <c r="F26" s="109"/>
    </row>
    <row r="27" spans="1:6" ht="18.5" x14ac:dyDescent="0.45">
      <c r="A27" s="19" t="s">
        <v>74</v>
      </c>
      <c r="B27" s="14" t="str">
        <f>VLOOKUP(A27,[12]LISTADHERENT!$A$5:$K$43,3,0)</f>
        <v>NDJOMO ETIENNE</v>
      </c>
      <c r="C27" s="108">
        <f>VLOOKUP(A27,[13]MVTRESUME25!$A$7:$Q$50,14,0)</f>
        <v>12000</v>
      </c>
      <c r="D27" s="14"/>
      <c r="E27" s="14"/>
      <c r="F27" s="109"/>
    </row>
    <row r="28" spans="1:6" ht="18.5" x14ac:dyDescent="0.45">
      <c r="A28" s="19" t="s">
        <v>75</v>
      </c>
      <c r="B28" s="14" t="str">
        <f>VLOOKUP(A28,[12]LISTADHERENT!$A$5:$K$43,3,0)</f>
        <v>NGONDIEP CLAUDE</v>
      </c>
      <c r="C28" s="108">
        <f>VLOOKUP(A28,[13]MVTRESUME25!$A$7:$Q$50,14,0)</f>
        <v>12000</v>
      </c>
      <c r="D28" s="14"/>
      <c r="E28" s="14"/>
      <c r="F28" s="109"/>
    </row>
    <row r="29" spans="1:6" ht="18.5" x14ac:dyDescent="0.45">
      <c r="A29" s="19" t="s">
        <v>77</v>
      </c>
      <c r="B29" s="14" t="str">
        <f>VLOOKUP(A29,[12]LISTADHERENT!$A$5:$K$43,3,0)</f>
        <v>NGUIEMEGNI MATHIEU BLAISE</v>
      </c>
      <c r="C29" s="108">
        <f>VLOOKUP(A29,[13]MVTRESUME25!$A$7:$Q$50,14,0)</f>
        <v>12000</v>
      </c>
      <c r="D29" s="14"/>
      <c r="E29" s="14"/>
      <c r="F29" s="109"/>
    </row>
    <row r="30" spans="1:6" ht="18.5" x14ac:dyDescent="0.45">
      <c r="A30" s="19" t="s">
        <v>78</v>
      </c>
      <c r="B30" s="14" t="str">
        <f>VLOOKUP(A30,[12]LISTADHERENT!$A$5:$K$43,3,0)</f>
        <v>NKAMGANG JUSTIN DEJOLIE</v>
      </c>
      <c r="C30" s="108">
        <f>VLOOKUP(A30,[13]MVTRESUME25!$A$7:$Q$50,14,0)</f>
        <v>12000</v>
      </c>
      <c r="D30" s="14"/>
      <c r="E30" s="14"/>
      <c r="F30" s="109"/>
    </row>
    <row r="31" spans="1:6" ht="18.5" x14ac:dyDescent="0.45">
      <c r="A31" s="19" t="s">
        <v>104</v>
      </c>
      <c r="B31" s="14" t="str">
        <f>VLOOKUP(A31,[12]LISTADHERENT!$A$5:$K$43,3,0)</f>
        <v>NOUBE ETIENNE</v>
      </c>
      <c r="C31" s="108">
        <f>VLOOKUP(A31,[13]MVTRESUME25!$A$7:$Q$50,14,0)</f>
        <v>12000</v>
      </c>
      <c r="D31" s="14"/>
      <c r="E31" s="14"/>
      <c r="F31" s="109"/>
    </row>
    <row r="32" spans="1:6" ht="18.5" x14ac:dyDescent="0.45">
      <c r="A32" s="19" t="s">
        <v>79</v>
      </c>
      <c r="B32" s="14" t="str">
        <f>VLOOKUP(A32,[12]LISTADHERENT!$A$5:$K$43,3,0)</f>
        <v>PATEGO NJOSSU GUSTAVE</v>
      </c>
      <c r="C32" s="108">
        <f>VLOOKUP(A32,[13]MVTRESUME25!$A$7:$Q$50,14,0)</f>
        <v>12000</v>
      </c>
      <c r="D32" s="14"/>
      <c r="E32" s="14"/>
      <c r="F32" s="109"/>
    </row>
    <row r="33" spans="1:6" ht="18.5" x14ac:dyDescent="0.45">
      <c r="A33" s="19" t="s">
        <v>127</v>
      </c>
      <c r="B33" s="14" t="str">
        <f>VLOOKUP(A33,[12]LISTADHERENT!$A$5:$K$43,3,0)</f>
        <v>SEUMO POLYCARPE</v>
      </c>
      <c r="C33" s="108">
        <f>VLOOKUP(A33,[13]MVTRESUME25!$A$7:$Q$50,14,0)</f>
        <v>12000</v>
      </c>
      <c r="D33" s="14"/>
      <c r="E33" s="14"/>
      <c r="F33" s="109"/>
    </row>
    <row r="34" spans="1:6" ht="18.5" x14ac:dyDescent="0.45">
      <c r="A34" s="19" t="s">
        <v>89</v>
      </c>
      <c r="B34" s="14" t="str">
        <f>VLOOKUP(A34,[12]LISTADHERENT!$A$5:$K$43,3,0)</f>
        <v>SIME BRICE</v>
      </c>
      <c r="C34" s="108">
        <f>VLOOKUP(A34,[13]MVTRESUME25!$A$7:$Q$50,14,0)</f>
        <v>12000</v>
      </c>
      <c r="D34" s="14"/>
      <c r="E34" s="14"/>
      <c r="F34" s="109"/>
    </row>
    <row r="35" spans="1:6" ht="18.5" x14ac:dyDescent="0.45">
      <c r="A35" s="19" t="s">
        <v>182</v>
      </c>
      <c r="B35" s="14" t="str">
        <f>VLOOKUP(A35,[12]LISTADHERENT!$A$5:$K$43,3,0)</f>
        <v>SIMO FONGANG ERIC</v>
      </c>
      <c r="C35" s="108">
        <f>VLOOKUP(A35,[13]MVTRESUME25!$A$7:$Q$50,14,0)</f>
        <v>12000</v>
      </c>
      <c r="D35" s="14"/>
      <c r="E35" s="14"/>
      <c r="F35" s="109"/>
    </row>
    <row r="36" spans="1:6" ht="18.5" x14ac:dyDescent="0.45">
      <c r="A36" s="19" t="s">
        <v>80</v>
      </c>
      <c r="B36" s="14" t="str">
        <f>VLOOKUP(A36,[12]LISTADHERENT!$A$5:$K$43,3,0)</f>
        <v>SIMO PIERRE</v>
      </c>
      <c r="C36" s="108">
        <f>VLOOKUP(A36,[13]MVTRESUME25!$A$7:$Q$50,14,0)</f>
        <v>8000</v>
      </c>
      <c r="D36" s="14"/>
      <c r="E36" s="14"/>
      <c r="F36" s="109"/>
    </row>
    <row r="37" spans="1:6" ht="18.5" x14ac:dyDescent="0.45">
      <c r="A37" s="19" t="s">
        <v>82</v>
      </c>
      <c r="B37" s="14" t="str">
        <f>VLOOKUP(A37,[12]LISTADHERENT!$A$5:$K$43,3,0)</f>
        <v>TCHOUAMOU MATHIEU</v>
      </c>
      <c r="C37" s="108">
        <f>VLOOKUP(A37,[13]MVTRESUME25!$A$7:$Q$50,14,0)</f>
        <v>12000</v>
      </c>
      <c r="D37" s="14"/>
      <c r="E37" s="14"/>
      <c r="F37" s="109"/>
    </row>
    <row r="38" spans="1:6" ht="18.5" x14ac:dyDescent="0.45">
      <c r="A38" s="19" t="s">
        <v>164</v>
      </c>
      <c r="B38" s="14" t="str">
        <f>VLOOKUP(A38,[12]LISTADHERENT!$A$5:$K$43,3,0)</f>
        <v>TCHOUATEU AUGUSTIN</v>
      </c>
      <c r="C38" s="108">
        <f>VLOOKUP(A38,[13]MVTRESUME25!$A$7:$Q$50,14,0)</f>
        <v>12000</v>
      </c>
      <c r="D38" s="14"/>
      <c r="E38" s="14"/>
      <c r="F38" s="109"/>
    </row>
    <row r="39" spans="1:6" ht="18.5" x14ac:dyDescent="0.45">
      <c r="A39" s="19" t="s">
        <v>83</v>
      </c>
      <c r="B39" s="14" t="str">
        <f>VLOOKUP(A39,[12]LISTADHERENT!$A$5:$K$43,3,0)</f>
        <v>TCHOUTOU NANA CLAUDE</v>
      </c>
      <c r="C39" s="108">
        <f>VLOOKUP(A39,[13]MVTRESUME25!$A$7:$Q$50,14,0)</f>
        <v>12000</v>
      </c>
      <c r="D39" s="14"/>
      <c r="E39" s="14"/>
      <c r="F39" s="109"/>
    </row>
    <row r="40" spans="1:6" ht="17.5" x14ac:dyDescent="0.35">
      <c r="A40" s="19" t="s">
        <v>183</v>
      </c>
      <c r="B40" s="14" t="str">
        <f>VLOOKUP(A40,[12]LISTADHERENT!$A$5:$K$43,3,0)</f>
        <v>TIEYAM ERNEST</v>
      </c>
      <c r="C40" s="108">
        <f>VLOOKUP(A40,[13]MVTRESUME25!$A$7:$Q$50,14,0)</f>
        <v>12000</v>
      </c>
      <c r="D40" s="14"/>
      <c r="E40" s="14"/>
      <c r="F40" s="15"/>
    </row>
    <row r="41" spans="1:6" ht="17.5" x14ac:dyDescent="0.35">
      <c r="A41" s="19" t="s">
        <v>128</v>
      </c>
      <c r="B41" s="14" t="str">
        <f>VLOOKUP(A41,[12]LISTADHERENT!$A$5:$K$43,3,0)</f>
        <v>YANTCHOU GERVAIS</v>
      </c>
      <c r="C41" s="108">
        <f>VLOOKUP(A41,[13]MVTRESUME25!$A$7:$Q$50,14,0)</f>
        <v>12000</v>
      </c>
      <c r="D41" s="124"/>
      <c r="E41" s="124"/>
      <c r="F41" s="125"/>
    </row>
    <row r="42" spans="1:6" ht="17.5" x14ac:dyDescent="0.35">
      <c r="A42" s="19" t="s">
        <v>84</v>
      </c>
      <c r="B42" s="14" t="str">
        <f>VLOOKUP(A42,[12]LISTADHERENT!$A$5:$K$43,3,0)</f>
        <v>YEPMOU JEAN JACQUES</v>
      </c>
      <c r="C42" s="108">
        <f>VLOOKUP(A42,[13]MVTRESUME25!$A$7:$Q$50,14,0)</f>
        <v>12000</v>
      </c>
      <c r="D42" s="14"/>
      <c r="E42" s="14"/>
      <c r="F42" s="127"/>
    </row>
    <row r="43" spans="1:6" ht="17.5" x14ac:dyDescent="0.35">
      <c r="A43" s="19" t="s">
        <v>165</v>
      </c>
      <c r="B43" s="14" t="str">
        <f>VLOOKUP(A43,[12]LISTADHERENT!$A$5:$K$43,3,0)</f>
        <v>YIALA ALAIN OSCAR</v>
      </c>
      <c r="C43" s="108">
        <f>VLOOKUP(A43,[13]MVTRESUME25!$A$7:$Q$50,14,0)</f>
        <v>12000</v>
      </c>
      <c r="D43" s="14"/>
      <c r="E43" s="44"/>
      <c r="F43" s="127"/>
    </row>
    <row r="44" spans="1:6" ht="17.5" x14ac:dyDescent="0.35">
      <c r="A44" s="19" t="s">
        <v>85</v>
      </c>
      <c r="B44" s="14" t="str">
        <f>VLOOKUP(A44,[12]LISTADHERENT!$A$5:$K$43,3,0)</f>
        <v>YOUMBI EMMANUEL</v>
      </c>
      <c r="C44" s="108">
        <f>VLOOKUP(A44,[13]MVTRESUME25!$A$7:$Q$50,14,0)</f>
        <v>12000</v>
      </c>
      <c r="D44" s="14"/>
      <c r="E44" s="44"/>
      <c r="F44" s="127"/>
    </row>
    <row r="45" spans="1:6" x14ac:dyDescent="0.35">
      <c r="A45" s="19"/>
      <c r="B45" s="14"/>
      <c r="C45" s="14"/>
      <c r="D45" s="14"/>
      <c r="E45" s="14"/>
      <c r="F45" s="133"/>
    </row>
    <row r="46" spans="1:6" ht="18" thickBot="1" x14ac:dyDescent="0.4">
      <c r="A46" s="31" t="s">
        <v>23</v>
      </c>
      <c r="B46" s="57"/>
      <c r="C46" s="58">
        <f>SUM(C8:C45)</f>
        <v>416000</v>
      </c>
      <c r="D46" s="58"/>
      <c r="E46" s="58">
        <f>SUM(E6:E45)</f>
        <v>0</v>
      </c>
      <c r="F46" s="59">
        <f>SUM(F6:F45)</f>
        <v>200000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7"/>
  <sheetViews>
    <sheetView workbookViewId="0">
      <selection activeCell="G22" sqref="G22"/>
    </sheetView>
  </sheetViews>
  <sheetFormatPr baseColWidth="10" defaultRowHeight="14.5" x14ac:dyDescent="0.35"/>
  <cols>
    <col min="2" max="2" width="30" bestFit="1" customWidth="1"/>
    <col min="3" max="3" width="15" bestFit="1" customWidth="1"/>
    <col min="5" max="5" width="36.4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4</v>
      </c>
      <c r="B4" s="164"/>
      <c r="C4" s="164"/>
      <c r="D4" s="164"/>
      <c r="E4" s="164"/>
      <c r="F4" s="164"/>
    </row>
    <row r="5" spans="1:6" ht="15" thickBot="1" x14ac:dyDescent="0.4">
      <c r="A5" s="70"/>
      <c r="B5" s="71"/>
      <c r="C5" s="72"/>
      <c r="D5" s="72"/>
      <c r="E5" s="73"/>
      <c r="F5" s="72"/>
    </row>
    <row r="6" spans="1:6" ht="15.75" customHeight="1" thickTop="1" x14ac:dyDescent="0.4">
      <c r="A6" s="169" t="s">
        <v>96</v>
      </c>
      <c r="B6" s="171" t="s">
        <v>52</v>
      </c>
      <c r="C6" s="106" t="s">
        <v>134</v>
      </c>
      <c r="D6" s="171" t="s">
        <v>131</v>
      </c>
      <c r="E6" s="171"/>
      <c r="F6" s="173"/>
    </row>
    <row r="7" spans="1:6" ht="21.75" customHeight="1" x14ac:dyDescent="0.35">
      <c r="A7" s="170"/>
      <c r="B7" s="172"/>
      <c r="C7" s="107" t="s">
        <v>130</v>
      </c>
      <c r="D7" s="107" t="s">
        <v>132</v>
      </c>
      <c r="E7" s="107" t="s">
        <v>133</v>
      </c>
      <c r="F7" s="26" t="s">
        <v>130</v>
      </c>
    </row>
    <row r="8" spans="1:6" ht="17.5" x14ac:dyDescent="0.35">
      <c r="A8" s="19" t="s">
        <v>90</v>
      </c>
      <c r="B8" s="14" t="str">
        <f>VLOOKUP($A$8,[12]LISTADHERENT!$A$5:$K$43,3,0)</f>
        <v>ASELBY</v>
      </c>
      <c r="C8" s="108">
        <f>VLOOKUP(A8,[13]MVTRESUME25!$A$6:$AK$50,15,0)</f>
        <v>0</v>
      </c>
      <c r="D8" s="110"/>
      <c r="E8" s="14"/>
      <c r="F8" s="134">
        <f>VLOOKUP(A8,[13]MVTRESUME25!$A$6:$AK$50,35,0)</f>
        <v>70000</v>
      </c>
    </row>
    <row r="9" spans="1:6" ht="17.5" x14ac:dyDescent="0.35">
      <c r="A9" s="19" t="s">
        <v>62</v>
      </c>
      <c r="B9" s="14" t="str">
        <f>VLOOKUP(A9,[12]LISTADHERENT!$A$5:$K$43,3,0)</f>
        <v>BAKOP ACHILLE</v>
      </c>
      <c r="C9" s="108">
        <f>VLOOKUP(A9,[13]MVTRESUME25!$A$6:$AK$50,15,0)</f>
        <v>48000</v>
      </c>
      <c r="D9" s="110"/>
      <c r="E9" s="14"/>
      <c r="F9" s="134">
        <f>VLOOKUP(A9,[13]MVTRESUME25!$A$6:$AK$50,35,0)</f>
        <v>0</v>
      </c>
    </row>
    <row r="10" spans="1:6" ht="17.5" x14ac:dyDescent="0.35">
      <c r="A10" s="19" t="s">
        <v>63</v>
      </c>
      <c r="B10" s="14" t="str">
        <f>VLOOKUP(A10,[12]LISTADHERENT!$A$5:$K$43,3,0)</f>
        <v>BOUTCHOUANG WILLIAM</v>
      </c>
      <c r="C10" s="108">
        <f>VLOOKUP(A10,[13]MVTRESUME25!$A$6:$AK$50,15,0)</f>
        <v>48000</v>
      </c>
      <c r="D10" s="110"/>
      <c r="E10" s="14"/>
      <c r="F10" s="134">
        <f>VLOOKUP(A10,[13]MVTRESUME25!$A$6:$AK$50,35,0)</f>
        <v>100000</v>
      </c>
    </row>
    <row r="11" spans="1:6" ht="17.5" x14ac:dyDescent="0.35">
      <c r="A11" s="19" t="s">
        <v>64</v>
      </c>
      <c r="B11" s="14" t="str">
        <f>VLOOKUP(A11,[12]LISTADHERENT!$A$5:$K$43,3,0)</f>
        <v xml:space="preserve">DJOMO JEAN PAUL </v>
      </c>
      <c r="C11" s="108">
        <f>VLOOKUP(A11,[13]MVTRESUME25!$A$6:$AK$50,15,0)</f>
        <v>48000</v>
      </c>
      <c r="D11" s="110"/>
      <c r="E11" s="14"/>
      <c r="F11" s="134">
        <f>VLOOKUP(A11,[13]MVTRESUME25!$A$6:$AK$50,35,0)</f>
        <v>100000</v>
      </c>
    </row>
    <row r="12" spans="1:6" ht="17.5" x14ac:dyDescent="0.35">
      <c r="A12" s="19" t="s">
        <v>103</v>
      </c>
      <c r="B12" s="14" t="str">
        <f>VLOOKUP(A12,[12]LISTADHERENT!$A$5:$K$43,3,0)</f>
        <v>DJOMOU TCHAPDA</v>
      </c>
      <c r="C12" s="108">
        <f>VLOOKUP(A12,[13]MVTRESUME25!$A$6:$AK$50,15,0)</f>
        <v>48000</v>
      </c>
      <c r="D12" s="110"/>
      <c r="E12" s="14"/>
      <c r="F12" s="134">
        <f>VLOOKUP(A12,[13]MVTRESUME25!$A$6:$AK$50,35,0)</f>
        <v>0</v>
      </c>
    </row>
    <row r="13" spans="1:6" ht="17.5" x14ac:dyDescent="0.35">
      <c r="A13" s="19" t="s">
        <v>65</v>
      </c>
      <c r="B13" s="14" t="str">
        <f>VLOOKUP(A13,[12]LISTADHERENT!$A$5:$K$43,3,0)</f>
        <v>DJOUKWE NANGUEN GUY BLAISE</v>
      </c>
      <c r="C13" s="108">
        <f>VLOOKUP(A13,[13]MVTRESUME25!$A$6:$AK$50,15,0)</f>
        <v>48000</v>
      </c>
      <c r="D13" s="110"/>
      <c r="E13" s="14"/>
      <c r="F13" s="134">
        <f>VLOOKUP(A13,[13]MVTRESUME25!$A$6:$AK$50,35,0)</f>
        <v>100000</v>
      </c>
    </row>
    <row r="14" spans="1:6" ht="17.5" x14ac:dyDescent="0.35">
      <c r="A14" s="19" t="s">
        <v>66</v>
      </c>
      <c r="B14" s="14" t="str">
        <f>VLOOKUP(A14,[12]LISTADHERENT!$A$5:$K$43,3,0)</f>
        <v>DJUOMBESSY ANTOINE</v>
      </c>
      <c r="C14" s="108">
        <f>VLOOKUP(A14,[13]MVTRESUME25!$A$6:$AK$50,15,0)</f>
        <v>48000</v>
      </c>
      <c r="D14" s="110"/>
      <c r="E14" s="14"/>
      <c r="F14" s="134">
        <f>VLOOKUP(A14,[13]MVTRESUME25!$A$6:$AK$50,35,0)</f>
        <v>0</v>
      </c>
    </row>
    <row r="15" spans="1:6" ht="17.5" x14ac:dyDescent="0.35">
      <c r="A15" s="19" t="s">
        <v>87</v>
      </c>
      <c r="B15" s="14" t="str">
        <f>VLOOKUP(A15,[12]LISTADHERENT!$A$5:$K$43,3,0)</f>
        <v>DOMOU FABIEN</v>
      </c>
      <c r="C15" s="108">
        <f>VLOOKUP(A15,[13]MVTRESUME25!$A$6:$AK$50,15,0)</f>
        <v>48000</v>
      </c>
      <c r="D15" s="110"/>
      <c r="E15" s="14"/>
      <c r="F15" s="134">
        <f>VLOOKUP(A15,[13]MVTRESUME25!$A$6:$AK$50,35,0)</f>
        <v>0</v>
      </c>
    </row>
    <row r="16" spans="1:6" ht="17.5" x14ac:dyDescent="0.35">
      <c r="A16" s="19" t="s">
        <v>67</v>
      </c>
      <c r="B16" s="14" t="str">
        <f>VLOOKUP(A16,[12]LISTADHERENT!$A$5:$K$43,3,0)</f>
        <v>DONHOU DAVID</v>
      </c>
      <c r="C16" s="108">
        <f>VLOOKUP(A16,[13]MVTRESUME25!$A$6:$AK$50,15,0)</f>
        <v>48000</v>
      </c>
      <c r="D16" s="110"/>
      <c r="E16" s="14"/>
      <c r="F16" s="134">
        <f>VLOOKUP(A16,[13]MVTRESUME25!$A$6:$AK$50,35,0)</f>
        <v>100000</v>
      </c>
    </row>
    <row r="17" spans="1:6" ht="17.5" x14ac:dyDescent="0.35">
      <c r="A17" s="19" t="s">
        <v>181</v>
      </c>
      <c r="B17" s="14" t="str">
        <f>VLOOKUP(A17,[12]LISTADHERENT!$A$5:$K$43,3,0)</f>
        <v>FAMPOU PAUL</v>
      </c>
      <c r="C17" s="108">
        <f>VLOOKUP(A17,[13]MVTRESUME25!$A$6:$AK$50,15,0)</f>
        <v>48000</v>
      </c>
      <c r="D17" s="110"/>
      <c r="E17" s="14"/>
      <c r="F17" s="134">
        <f>VLOOKUP(A17,[13]MVTRESUME25!$A$6:$AK$50,35,0)</f>
        <v>0</v>
      </c>
    </row>
    <row r="18" spans="1:6" ht="17.5" x14ac:dyDescent="0.35">
      <c r="A18" s="19" t="s">
        <v>68</v>
      </c>
      <c r="B18" s="14" t="str">
        <f>VLOOKUP(A18,[12]LISTADHERENT!$A$5:$K$43,3,0)</f>
        <v>HENGUE PAUL OMER</v>
      </c>
      <c r="C18" s="108">
        <f>VLOOKUP(A18,[13]MVTRESUME25!$A$6:$AK$50,15,0)</f>
        <v>48000</v>
      </c>
      <c r="D18" s="110"/>
      <c r="E18" s="14"/>
      <c r="F18" s="134">
        <f>VLOOKUP(A18,[13]MVTRESUME25!$A$6:$AK$50,35,0)</f>
        <v>100000</v>
      </c>
    </row>
    <row r="19" spans="1:6" ht="17.5" x14ac:dyDescent="0.35">
      <c r="A19" s="19" t="s">
        <v>69</v>
      </c>
      <c r="B19" s="14" t="str">
        <f>VLOOKUP(A19,[12]LISTADHERENT!$A$5:$K$43,3,0)</f>
        <v>HOTCHO BENJAMIN</v>
      </c>
      <c r="C19" s="108">
        <f>VLOOKUP(A19,[13]MVTRESUME25!$A$6:$AK$50,15,0)</f>
        <v>48000</v>
      </c>
      <c r="D19" s="110"/>
      <c r="E19" s="14"/>
      <c r="F19" s="134">
        <f>VLOOKUP(A19,[13]MVTRESUME25!$A$6:$AK$50,35,0)</f>
        <v>0</v>
      </c>
    </row>
    <row r="20" spans="1:6" ht="17.5" x14ac:dyDescent="0.35">
      <c r="A20" s="19" t="s">
        <v>70</v>
      </c>
      <c r="B20" s="14" t="str">
        <f>VLOOKUP(A20,[12]LISTADHERENT!$A$5:$K$43,3,0)</f>
        <v>KOUAMOU MOISE</v>
      </c>
      <c r="C20" s="108">
        <f>VLOOKUP(A20,[13]MVTRESUME25!$A$6:$AK$50,15,0)</f>
        <v>48000</v>
      </c>
      <c r="D20" s="110"/>
      <c r="E20" s="14"/>
      <c r="F20" s="134">
        <f>VLOOKUP(A20,[13]MVTRESUME25!$A$6:$AK$50,35,0)</f>
        <v>100000</v>
      </c>
    </row>
    <row r="21" spans="1:6" ht="17.5" x14ac:dyDescent="0.35">
      <c r="A21" s="19" t="s">
        <v>71</v>
      </c>
      <c r="B21" s="14" t="str">
        <f>VLOOKUP(A21,[12]LISTADHERENT!$A$5:$K$43,3,0)</f>
        <v>KOUATCHO MESSACK</v>
      </c>
      <c r="C21" s="108">
        <f>VLOOKUP(A21,[13]MVTRESUME25!$A$6:$AK$50,15,0)</f>
        <v>48000</v>
      </c>
      <c r="D21" s="110"/>
      <c r="E21" s="14"/>
      <c r="F21" s="134">
        <f>VLOOKUP(A21,[13]MVTRESUME25!$A$6:$AK$50,35,0)</f>
        <v>0</v>
      </c>
    </row>
    <row r="22" spans="1:6" ht="17.5" x14ac:dyDescent="0.35">
      <c r="A22" s="19" t="s">
        <v>72</v>
      </c>
      <c r="B22" s="14" t="str">
        <f>VLOOKUP(A22,[12]LISTADHERENT!$A$5:$K$43,3,0)</f>
        <v>LOWE JEAN</v>
      </c>
      <c r="C22" s="108">
        <f>VLOOKUP(A22,[13]MVTRESUME25!$A$6:$AK$50,15,0)</f>
        <v>0</v>
      </c>
      <c r="D22" s="110"/>
      <c r="E22" s="14"/>
      <c r="F22" s="134">
        <f>VLOOKUP(A22,[13]MVTRESUME25!$A$6:$AK$50,35,0)</f>
        <v>0</v>
      </c>
    </row>
    <row r="23" spans="1:6" ht="17.5" x14ac:dyDescent="0.35">
      <c r="A23" s="19" t="s">
        <v>163</v>
      </c>
      <c r="B23" s="14" t="str">
        <f>VLOOKUP(A23,[12]LISTADHERENT!$A$5:$K$43,3,0)</f>
        <v>MASSEUNGOUE DAGOBERT</v>
      </c>
      <c r="C23" s="108">
        <f>VLOOKUP(A23,[13]MVTRESUME25!$A$6:$AK$50,15,0)</f>
        <v>48000</v>
      </c>
      <c r="D23" s="110"/>
      <c r="E23" s="14"/>
      <c r="F23" s="134">
        <f>VLOOKUP(A23,[13]MVTRESUME25!$A$6:$AK$50,35,0)</f>
        <v>0</v>
      </c>
    </row>
    <row r="24" spans="1:6" ht="17.5" x14ac:dyDescent="0.35">
      <c r="A24" s="19" t="s">
        <v>86</v>
      </c>
      <c r="B24" s="14" t="str">
        <f>VLOOKUP(A24,[12]LISTADHERENT!$A$5:$K$43,3,0)</f>
        <v>MBOGNING TUGMA GUY</v>
      </c>
      <c r="C24" s="108">
        <f>VLOOKUP(A24,[13]MVTRESUME25!$A$6:$AK$50,15,0)</f>
        <v>48000</v>
      </c>
      <c r="D24" s="110"/>
      <c r="E24" s="14"/>
      <c r="F24" s="134">
        <f>VLOOKUP(A24,[13]MVTRESUME25!$A$6:$AK$50,35,0)</f>
        <v>0</v>
      </c>
    </row>
    <row r="25" spans="1:6" ht="17.5" x14ac:dyDescent="0.35">
      <c r="A25" s="19" t="s">
        <v>81</v>
      </c>
      <c r="B25" s="14" t="str">
        <f>VLOOKUP(A25,[12]LISTADHERENT!$A$5:$K$43,3,0)</f>
        <v>NANGUEN MARTIN</v>
      </c>
      <c r="C25" s="108">
        <f>VLOOKUP(A25,[13]MVTRESUME25!$A$6:$AK$50,15,0)</f>
        <v>48000</v>
      </c>
      <c r="D25" s="110"/>
      <c r="E25" s="14"/>
      <c r="F25" s="134">
        <f>VLOOKUP(A25,[13]MVTRESUME25!$A$6:$AK$50,35,0)</f>
        <v>100000</v>
      </c>
    </row>
    <row r="26" spans="1:6" ht="17.5" x14ac:dyDescent="0.35">
      <c r="A26" s="19" t="s">
        <v>73</v>
      </c>
      <c r="B26" s="14" t="str">
        <f>VLOOKUP(A26,[12]LISTADHERENT!$A$5:$K$43,3,0)</f>
        <v>NANKAM APPOLINAIRE</v>
      </c>
      <c r="C26" s="108">
        <f>VLOOKUP(A26,[13]MVTRESUME25!$A$6:$AK$50,15,0)</f>
        <v>48000</v>
      </c>
      <c r="D26" s="110"/>
      <c r="E26" s="14"/>
      <c r="F26" s="134">
        <f>VLOOKUP(A26,[13]MVTRESUME25!$A$6:$AK$50,35,0)</f>
        <v>0</v>
      </c>
    </row>
    <row r="27" spans="1:6" ht="17.5" x14ac:dyDescent="0.35">
      <c r="A27" s="19" t="s">
        <v>74</v>
      </c>
      <c r="B27" s="14" t="str">
        <f>VLOOKUP(A27,[12]LISTADHERENT!$A$5:$K$43,3,0)</f>
        <v>NDJOMO ETIENNE</v>
      </c>
      <c r="C27" s="108">
        <f>VLOOKUP(A27,[13]MVTRESUME25!$A$6:$AK$50,15,0)</f>
        <v>48000</v>
      </c>
      <c r="D27" s="14"/>
      <c r="E27" s="14"/>
      <c r="F27" s="134">
        <f>VLOOKUP(A27,[13]MVTRESUME25!$A$6:$AK$50,35,0)</f>
        <v>0</v>
      </c>
    </row>
    <row r="28" spans="1:6" ht="17.5" x14ac:dyDescent="0.35">
      <c r="A28" s="19" t="s">
        <v>75</v>
      </c>
      <c r="B28" s="14" t="str">
        <f>VLOOKUP(A28,[12]LISTADHERENT!$A$5:$K$43,3,0)</f>
        <v>NGONDIEP CLAUDE</v>
      </c>
      <c r="C28" s="108">
        <f>VLOOKUP(A28,[13]MVTRESUME25!$A$6:$AK$50,15,0)</f>
        <v>48000</v>
      </c>
      <c r="D28" s="14"/>
      <c r="E28" s="14"/>
      <c r="F28" s="134">
        <f>VLOOKUP(A28,[13]MVTRESUME25!$A$6:$AK$50,35,0)</f>
        <v>0</v>
      </c>
    </row>
    <row r="29" spans="1:6" ht="17.5" x14ac:dyDescent="0.35">
      <c r="A29" s="19" t="s">
        <v>77</v>
      </c>
      <c r="B29" s="14" t="str">
        <f>VLOOKUP(A29,[12]LISTADHERENT!$A$5:$K$43,3,0)</f>
        <v>NGUIEMEGNI MATHIEU BLAISE</v>
      </c>
      <c r="C29" s="108">
        <f>VLOOKUP(A29,[13]MVTRESUME25!$A$6:$AK$50,15,0)</f>
        <v>48000</v>
      </c>
      <c r="D29" s="14"/>
      <c r="E29" s="14"/>
      <c r="F29" s="134">
        <f>VLOOKUP(A29,[13]MVTRESUME25!$A$6:$AK$50,35,0)</f>
        <v>100000</v>
      </c>
    </row>
    <row r="30" spans="1:6" ht="17.5" x14ac:dyDescent="0.35">
      <c r="A30" s="19" t="s">
        <v>78</v>
      </c>
      <c r="B30" s="14" t="str">
        <f>VLOOKUP(A30,[12]LISTADHERENT!$A$5:$K$43,3,0)</f>
        <v>NKAMGANG JUSTIN DEJOLIE</v>
      </c>
      <c r="C30" s="108">
        <f>VLOOKUP(A30,[13]MVTRESUME25!$A$6:$AK$50,15,0)</f>
        <v>48000</v>
      </c>
      <c r="D30" s="14"/>
      <c r="E30" s="14"/>
      <c r="F30" s="134">
        <f>VLOOKUP(A30,[13]MVTRESUME25!$A$6:$AK$50,35,0)</f>
        <v>0</v>
      </c>
    </row>
    <row r="31" spans="1:6" ht="17.5" x14ac:dyDescent="0.35">
      <c r="A31" s="19" t="s">
        <v>104</v>
      </c>
      <c r="B31" s="14" t="str">
        <f>VLOOKUP(A31,[12]LISTADHERENT!$A$5:$K$43,3,0)</f>
        <v>NOUBE ETIENNE</v>
      </c>
      <c r="C31" s="108">
        <f>VLOOKUP(A31,[13]MVTRESUME25!$A$6:$AK$50,15,0)</f>
        <v>48000</v>
      </c>
      <c r="D31" s="14"/>
      <c r="E31" s="14"/>
      <c r="F31" s="134">
        <f>VLOOKUP(A31,[13]MVTRESUME25!$A$6:$AK$50,35,0)</f>
        <v>0</v>
      </c>
    </row>
    <row r="32" spans="1:6" ht="17.5" x14ac:dyDescent="0.35">
      <c r="A32" s="19" t="s">
        <v>79</v>
      </c>
      <c r="B32" s="14" t="str">
        <f>VLOOKUP(A32,[12]LISTADHERENT!$A$5:$K$43,3,0)</f>
        <v>PATEGO NJOSSU GUSTAVE</v>
      </c>
      <c r="C32" s="108">
        <f>VLOOKUP(A32,[13]MVTRESUME25!$A$6:$AK$50,15,0)</f>
        <v>48000</v>
      </c>
      <c r="D32" s="14"/>
      <c r="E32" s="14"/>
      <c r="F32" s="134">
        <f>VLOOKUP(A32,[13]MVTRESUME25!$A$6:$AK$50,35,0)</f>
        <v>0</v>
      </c>
    </row>
    <row r="33" spans="1:6" ht="17.5" x14ac:dyDescent="0.35">
      <c r="A33" s="19" t="s">
        <v>127</v>
      </c>
      <c r="B33" s="14" t="str">
        <f>VLOOKUP(A33,[12]LISTADHERENT!$A$5:$K$43,3,0)</f>
        <v>SEUMO POLYCARPE</v>
      </c>
      <c r="C33" s="108">
        <f>VLOOKUP(A33,[13]MVTRESUME25!$A$6:$AK$50,15,0)</f>
        <v>48000</v>
      </c>
      <c r="D33" s="14"/>
      <c r="E33" s="14"/>
      <c r="F33" s="134">
        <f>VLOOKUP(A33,[13]MVTRESUME25!$A$6:$AK$50,35,0)</f>
        <v>0</v>
      </c>
    </row>
    <row r="34" spans="1:6" ht="17.5" x14ac:dyDescent="0.35">
      <c r="A34" s="19" t="s">
        <v>89</v>
      </c>
      <c r="B34" s="14" t="str">
        <f>VLOOKUP(A34,[12]LISTADHERENT!$A$5:$K$43,3,0)</f>
        <v>SIME BRICE</v>
      </c>
      <c r="C34" s="108">
        <f>VLOOKUP(A34,[13]MVTRESUME25!$A$6:$AK$50,15,0)</f>
        <v>48000</v>
      </c>
      <c r="D34" s="14"/>
      <c r="E34" s="14"/>
      <c r="F34" s="134">
        <f>VLOOKUP(A34,[13]MVTRESUME25!$A$6:$AK$50,35,0)</f>
        <v>100000</v>
      </c>
    </row>
    <row r="35" spans="1:6" ht="17.5" x14ac:dyDescent="0.35">
      <c r="A35" s="19" t="s">
        <v>182</v>
      </c>
      <c r="B35" s="14" t="str">
        <f>VLOOKUP(A35,[12]LISTADHERENT!$A$5:$K$43,3,0)</f>
        <v>SIMO FONGANG ERIC</v>
      </c>
      <c r="C35" s="108">
        <f>VLOOKUP(A35,[13]MVTRESUME25!$A$6:$AK$50,15,0)</f>
        <v>48000</v>
      </c>
      <c r="D35" s="14"/>
      <c r="E35" s="14"/>
      <c r="F35" s="134">
        <f>VLOOKUP(A35,[13]MVTRESUME25!$A$6:$AK$50,35,0)</f>
        <v>0</v>
      </c>
    </row>
    <row r="36" spans="1:6" ht="17.5" x14ac:dyDescent="0.35">
      <c r="A36" s="19" t="s">
        <v>80</v>
      </c>
      <c r="B36" s="14" t="str">
        <f>VLOOKUP(A36,[12]LISTADHERENT!$A$5:$K$43,3,0)</f>
        <v>SIMO PIERRE</v>
      </c>
      <c r="C36" s="108">
        <f>VLOOKUP(A36,[13]MVTRESUME25!$A$6:$AK$50,15,0)</f>
        <v>32000</v>
      </c>
      <c r="D36" s="14"/>
      <c r="E36" s="14"/>
      <c r="F36" s="134">
        <f>VLOOKUP(A36,[13]MVTRESUME25!$A$6:$AK$50,35,0)</f>
        <v>0</v>
      </c>
    </row>
    <row r="37" spans="1:6" ht="17.5" x14ac:dyDescent="0.35">
      <c r="A37" s="19" t="s">
        <v>82</v>
      </c>
      <c r="B37" s="14" t="str">
        <f>VLOOKUP(A37,[12]LISTADHERENT!$A$5:$K$43,3,0)</f>
        <v>TCHOUAMOU MATHIEU</v>
      </c>
      <c r="C37" s="108">
        <f>VLOOKUP(A37,[13]MVTRESUME25!$A$6:$AK$50,15,0)</f>
        <v>48000</v>
      </c>
      <c r="D37" s="14"/>
      <c r="E37" s="14"/>
      <c r="F37" s="134">
        <f>VLOOKUP(A37,[13]MVTRESUME25!$A$6:$AK$50,35,0)</f>
        <v>0</v>
      </c>
    </row>
    <row r="38" spans="1:6" ht="17.5" x14ac:dyDescent="0.35">
      <c r="A38" s="19" t="s">
        <v>164</v>
      </c>
      <c r="B38" s="14" t="str">
        <f>VLOOKUP(A38,[12]LISTADHERENT!$A$5:$K$43,3,0)</f>
        <v>TCHOUATEU AUGUSTIN</v>
      </c>
      <c r="C38" s="108">
        <f>VLOOKUP(A38,[13]MVTRESUME25!$A$6:$AK$50,15,0)</f>
        <v>48000</v>
      </c>
      <c r="D38" s="14"/>
      <c r="E38" s="14"/>
      <c r="F38" s="134">
        <f>VLOOKUP(A38,[13]MVTRESUME25!$A$6:$AK$50,35,0)</f>
        <v>100000</v>
      </c>
    </row>
    <row r="39" spans="1:6" ht="17.5" x14ac:dyDescent="0.35">
      <c r="A39" s="19" t="s">
        <v>83</v>
      </c>
      <c r="B39" s="14" t="str">
        <f>VLOOKUP(A39,[12]LISTADHERENT!$A$5:$K$43,3,0)</f>
        <v>TCHOUTOU NANA CLAUDE</v>
      </c>
      <c r="C39" s="108">
        <f>VLOOKUP(A39,[13]MVTRESUME25!$A$6:$AK$50,15,0)</f>
        <v>48000</v>
      </c>
      <c r="D39" s="14"/>
      <c r="E39" s="14"/>
      <c r="F39" s="134">
        <f>VLOOKUP(A39,[13]MVTRESUME25!$A$6:$AK$50,35,0)</f>
        <v>100000</v>
      </c>
    </row>
    <row r="40" spans="1:6" ht="17.5" x14ac:dyDescent="0.35">
      <c r="A40" s="19" t="s">
        <v>183</v>
      </c>
      <c r="B40" s="14" t="str">
        <f>VLOOKUP(A40,[12]LISTADHERENT!$A$5:$K$43,3,0)</f>
        <v>TIEYAM ERNEST</v>
      </c>
      <c r="C40" s="108">
        <f>VLOOKUP(A40,[13]MVTRESUME25!$A$6:$AK$50,15,0)</f>
        <v>48000</v>
      </c>
      <c r="D40" s="14"/>
      <c r="E40" s="14"/>
      <c r="F40" s="134">
        <f>VLOOKUP(A40,[13]MVTRESUME25!$A$6:$AK$50,35,0)</f>
        <v>0</v>
      </c>
    </row>
    <row r="41" spans="1:6" ht="17.5" x14ac:dyDescent="0.35">
      <c r="A41" s="19" t="s">
        <v>128</v>
      </c>
      <c r="B41" s="14" t="str">
        <f>VLOOKUP(A41,[12]LISTADHERENT!$A$5:$K$43,3,0)</f>
        <v>YANTCHOU GERVAIS</v>
      </c>
      <c r="C41" s="108">
        <f>VLOOKUP(A41,[13]MVTRESUME25!$A$6:$AK$50,15,0)</f>
        <v>48000</v>
      </c>
      <c r="D41" s="14"/>
      <c r="E41" s="14"/>
      <c r="F41" s="134">
        <f>VLOOKUP(A41,[13]MVTRESUME25!$A$6:$AK$50,35,0)</f>
        <v>0</v>
      </c>
    </row>
    <row r="42" spans="1:6" ht="17.5" x14ac:dyDescent="0.35">
      <c r="A42" s="19" t="s">
        <v>84</v>
      </c>
      <c r="B42" s="14" t="str">
        <f>VLOOKUP(A42,[12]LISTADHERENT!$A$5:$K$43,3,0)</f>
        <v>YEPMOU JEAN JACQUES</v>
      </c>
      <c r="C42" s="108">
        <f>VLOOKUP(A42,[13]MVTRESUME25!$A$6:$AK$50,15,0)</f>
        <v>48000</v>
      </c>
      <c r="D42" s="14"/>
      <c r="E42" s="14"/>
      <c r="F42" s="134">
        <f>VLOOKUP(A42,[13]MVTRESUME25!$A$6:$AK$50,35,0)</f>
        <v>0</v>
      </c>
    </row>
    <row r="43" spans="1:6" ht="17.5" x14ac:dyDescent="0.35">
      <c r="A43" s="19" t="s">
        <v>165</v>
      </c>
      <c r="B43" s="14" t="str">
        <f>VLOOKUP(A43,[12]LISTADHERENT!$A$5:$K$43,3,0)</f>
        <v>YIALA ALAIN OSCAR</v>
      </c>
      <c r="C43" s="108">
        <f>VLOOKUP(A43,[13]MVTRESUME25!$A$6:$AK$50,15,0)</f>
        <v>48000</v>
      </c>
      <c r="D43" s="14"/>
      <c r="E43" s="14"/>
      <c r="F43" s="134">
        <f>VLOOKUP(A43,[13]MVTRESUME25!$A$6:$AK$50,35,0)</f>
        <v>100000</v>
      </c>
    </row>
    <row r="44" spans="1:6" ht="17.5" x14ac:dyDescent="0.35">
      <c r="A44" s="19" t="s">
        <v>85</v>
      </c>
      <c r="B44" s="14" t="str">
        <f>VLOOKUP(A44,[12]LISTADHERENT!$A$5:$K$43,3,0)</f>
        <v>YOUMBI EMMANUEL</v>
      </c>
      <c r="C44" s="108">
        <f>VLOOKUP(A44,[13]MVTRESUME25!$A$6:$AK$50,15,0)</f>
        <v>48000</v>
      </c>
      <c r="D44" s="14"/>
      <c r="E44" s="14"/>
      <c r="F44" s="134">
        <f>VLOOKUP(A44,[13]MVTRESUME25!$A$6:$AK$50,35,0)</f>
        <v>0</v>
      </c>
    </row>
    <row r="45" spans="1:6" x14ac:dyDescent="0.35">
      <c r="A45" s="19"/>
      <c r="B45" s="14"/>
      <c r="C45" s="14"/>
      <c r="D45" s="14"/>
      <c r="E45" s="14"/>
      <c r="F45" s="15"/>
    </row>
    <row r="46" spans="1:6" ht="18" thickBot="1" x14ac:dyDescent="0.4">
      <c r="A46" s="31" t="s">
        <v>23</v>
      </c>
      <c r="B46" s="57"/>
      <c r="C46" s="58">
        <f>SUM(C8:C45)</f>
        <v>1664000</v>
      </c>
      <c r="D46" s="58"/>
      <c r="E46" s="58">
        <f>SUM(E6:E45)</f>
        <v>0</v>
      </c>
      <c r="F46" s="59">
        <f>SUM(F8:F45)</f>
        <v>1270000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5"/>
  <sheetViews>
    <sheetView workbookViewId="0">
      <selection activeCell="D6" sqref="D6:D42"/>
    </sheetView>
  </sheetViews>
  <sheetFormatPr baseColWidth="10" defaultRowHeight="14.5" x14ac:dyDescent="0.35"/>
  <cols>
    <col min="2" max="2" width="30" bestFit="1" customWidth="1"/>
    <col min="3" max="3" width="18.26953125" customWidth="1"/>
    <col min="4" max="4" width="15" bestFit="1" customWidth="1"/>
    <col min="5" max="5" width="18.453125" customWidth="1"/>
    <col min="7" max="7" width="36.453125" bestFit="1" customWidth="1"/>
    <col min="8" max="8" width="20.7265625" customWidth="1"/>
  </cols>
  <sheetData>
    <row r="1" spans="1:8" x14ac:dyDescent="0.35">
      <c r="A1" s="1" t="s">
        <v>94</v>
      </c>
      <c r="B1" s="1" t="s">
        <v>95</v>
      </c>
    </row>
    <row r="2" spans="1:8" x14ac:dyDescent="0.35">
      <c r="A2" s="1" t="s">
        <v>10</v>
      </c>
      <c r="B2" s="1">
        <v>2025</v>
      </c>
    </row>
    <row r="3" spans="1:8" ht="26.5" thickBot="1" x14ac:dyDescent="0.4">
      <c r="A3" s="163" t="s">
        <v>137</v>
      </c>
      <c r="B3" s="164"/>
      <c r="C3" s="164"/>
      <c r="D3" s="164"/>
      <c r="E3" s="164"/>
      <c r="F3" s="164"/>
      <c r="G3" s="164"/>
      <c r="H3" s="164"/>
    </row>
    <row r="4" spans="1:8" ht="15.75" customHeight="1" thickTop="1" x14ac:dyDescent="0.4">
      <c r="A4" s="169" t="s">
        <v>96</v>
      </c>
      <c r="B4" s="171" t="s">
        <v>52</v>
      </c>
      <c r="C4" s="106" t="s">
        <v>134</v>
      </c>
      <c r="D4" s="106"/>
      <c r="E4" s="106"/>
      <c r="F4" s="171" t="s">
        <v>131</v>
      </c>
      <c r="G4" s="171"/>
      <c r="H4" s="173"/>
    </row>
    <row r="5" spans="1:8" ht="21.75" customHeight="1" x14ac:dyDescent="0.35">
      <c r="A5" s="170"/>
      <c r="B5" s="172"/>
      <c r="C5" s="107" t="s">
        <v>130</v>
      </c>
      <c r="D5" s="107" t="s">
        <v>155</v>
      </c>
      <c r="E5" s="107" t="s">
        <v>23</v>
      </c>
      <c r="F5" s="107" t="s">
        <v>132</v>
      </c>
      <c r="G5" s="107" t="s">
        <v>133</v>
      </c>
      <c r="H5" s="26" t="s">
        <v>130</v>
      </c>
    </row>
    <row r="6" spans="1:8" ht="18.5" x14ac:dyDescent="0.45">
      <c r="A6" s="19" t="s">
        <v>90</v>
      </c>
      <c r="B6" s="14" t="str">
        <f>VLOOKUP($A$6,[12]LISTADHERENT!$A$5:$K$43,3,0)</f>
        <v>ASELBY</v>
      </c>
      <c r="C6" s="108"/>
      <c r="D6" s="108">
        <f>DETAILFICHECASSATION!K6</f>
        <v>0</v>
      </c>
      <c r="E6" s="108">
        <f>DETAILFICHECASSATION!L6</f>
        <v>0</v>
      </c>
      <c r="F6" s="110">
        <v>45717</v>
      </c>
      <c r="G6" s="14" t="s">
        <v>189</v>
      </c>
      <c r="H6" s="109">
        <f>[20]HISTOMARS25!$BQ$32</f>
        <v>100000</v>
      </c>
    </row>
    <row r="7" spans="1:8" ht="18.5" x14ac:dyDescent="0.45">
      <c r="A7" s="19" t="s">
        <v>62</v>
      </c>
      <c r="B7" s="14" t="str">
        <f>VLOOKUP(A7,[12]LISTADHERENT!$A$5:$K$43,3,0)</f>
        <v>BAKOP ACHILLE</v>
      </c>
      <c r="C7" s="108">
        <f>VLOOKUP(A7,[13]MVTRESUME25!$A$7:$AQ$45,18,0)</f>
        <v>0</v>
      </c>
      <c r="D7" s="108">
        <f>DETAILFICHECASSATION!K7</f>
        <v>30000</v>
      </c>
      <c r="E7" s="108">
        <f>C7+D7</f>
        <v>30000</v>
      </c>
      <c r="F7" s="110">
        <v>45717</v>
      </c>
      <c r="G7" s="14" t="s">
        <v>190</v>
      </c>
      <c r="H7" s="109">
        <f>[20]HISTOMARS25!$BQ$33</f>
        <v>100000</v>
      </c>
    </row>
    <row r="8" spans="1:8" ht="18.5" x14ac:dyDescent="0.45">
      <c r="A8" s="19" t="s">
        <v>63</v>
      </c>
      <c r="B8" s="14" t="str">
        <f>VLOOKUP(A8,[12]LISTADHERENT!$A$5:$K$43,3,0)</f>
        <v>BOUTCHOUANG WILLIAM</v>
      </c>
      <c r="C8" s="108">
        <f>VLOOKUP(A8,[13]MVTRESUME25!$A$7:$AQ$45,18,0)</f>
        <v>0</v>
      </c>
      <c r="D8" s="108">
        <f>DETAILFICHECASSATION!K8</f>
        <v>30000</v>
      </c>
      <c r="E8" s="108">
        <f t="shared" ref="E8:E42" si="0">C8+D8</f>
        <v>30000</v>
      </c>
      <c r="F8" s="110">
        <v>45717</v>
      </c>
      <c r="G8" s="14" t="s">
        <v>191</v>
      </c>
      <c r="H8" s="109">
        <f>[20]HISTOMARS25!$BQ$34</f>
        <v>100000</v>
      </c>
    </row>
    <row r="9" spans="1:8" ht="18.5" x14ac:dyDescent="0.45">
      <c r="A9" s="19" t="s">
        <v>64</v>
      </c>
      <c r="B9" s="14" t="str">
        <f>VLOOKUP(A9,[12]LISTADHERENT!$A$5:$K$43,3,0)</f>
        <v xml:space="preserve">DJOMO JEAN PAUL </v>
      </c>
      <c r="C9" s="108">
        <f>VLOOKUP(A9,[13]MVTRESUME25!$A$7:$AQ$45,18,0)</f>
        <v>0</v>
      </c>
      <c r="D9" s="108">
        <f>DETAILFICHECASSATION!K9</f>
        <v>30000</v>
      </c>
      <c r="E9" s="108">
        <f t="shared" si="0"/>
        <v>30000</v>
      </c>
      <c r="F9" s="110">
        <v>45870</v>
      </c>
      <c r="G9" s="14" t="s">
        <v>220</v>
      </c>
      <c r="H9" s="109">
        <f>[20]HISTOAOUT25!$BQ$32</f>
        <v>100000</v>
      </c>
    </row>
    <row r="10" spans="1:8" ht="18.5" x14ac:dyDescent="0.45">
      <c r="A10" s="19" t="s">
        <v>103</v>
      </c>
      <c r="B10" s="14" t="str">
        <f>VLOOKUP(A10,[12]LISTADHERENT!$A$5:$K$43,3,0)</f>
        <v>DJOMOU TCHAPDA</v>
      </c>
      <c r="C10" s="108">
        <f>VLOOKUP(A10,[13]MVTRESUME25!$A$7:$AQ$45,18,0)</f>
        <v>0</v>
      </c>
      <c r="D10" s="108">
        <f>DETAILFICHECASSATION!K10</f>
        <v>30000</v>
      </c>
      <c r="E10" s="108">
        <f t="shared" si="0"/>
        <v>30000</v>
      </c>
      <c r="F10" s="110">
        <v>45870</v>
      </c>
      <c r="G10" s="14" t="s">
        <v>188</v>
      </c>
      <c r="H10" s="109">
        <f>[20]HISTOAOUT25!$BQ$33</f>
        <v>560000</v>
      </c>
    </row>
    <row r="11" spans="1:8" ht="18.5" x14ac:dyDescent="0.45">
      <c r="A11" s="19" t="s">
        <v>65</v>
      </c>
      <c r="B11" s="14" t="str">
        <f>VLOOKUP(A11,[12]LISTADHERENT!$A$5:$K$43,3,0)</f>
        <v>DJOUKWE NANGUEN GUY BLAISE</v>
      </c>
      <c r="C11" s="108">
        <f>VLOOKUP(A11,[13]MVTRESUME25!$A$7:$AQ$45,18,0)</f>
        <v>0</v>
      </c>
      <c r="D11" s="108">
        <f>DETAILFICHECASSATION!K11</f>
        <v>30000</v>
      </c>
      <c r="E11" s="108">
        <f t="shared" si="0"/>
        <v>30000</v>
      </c>
      <c r="F11" s="110">
        <v>45962</v>
      </c>
      <c r="G11" s="14" t="s">
        <v>221</v>
      </c>
      <c r="H11" s="109">
        <f>[20]HISTONOV25!$BQ$36</f>
        <v>100000</v>
      </c>
    </row>
    <row r="12" spans="1:8" ht="18.5" x14ac:dyDescent="0.45">
      <c r="A12" s="19" t="s">
        <v>66</v>
      </c>
      <c r="B12" s="14" t="str">
        <f>VLOOKUP(A12,[12]LISTADHERENT!$A$5:$K$43,3,0)</f>
        <v>DJUOMBESSY ANTOINE</v>
      </c>
      <c r="C12" s="108">
        <f>VLOOKUP(A12,[13]MVTRESUME25!$A$7:$AQ$45,18,0)</f>
        <v>0</v>
      </c>
      <c r="D12" s="108">
        <f>DETAILFICHECASSATION!K12</f>
        <v>30000</v>
      </c>
      <c r="E12" s="108">
        <f t="shared" si="0"/>
        <v>30000</v>
      </c>
      <c r="F12" s="110"/>
      <c r="G12" s="14"/>
      <c r="H12" s="109"/>
    </row>
    <row r="13" spans="1:8" ht="18.5" x14ac:dyDescent="0.45">
      <c r="A13" s="19" t="s">
        <v>87</v>
      </c>
      <c r="B13" s="14" t="str">
        <f>VLOOKUP(A13,[12]LISTADHERENT!$A$5:$K$43,3,0)</f>
        <v>DOMOU FABIEN</v>
      </c>
      <c r="C13" s="108">
        <f>VLOOKUP(A13,[13]MVTRESUME25!$A$7:$AQ$45,18,0)</f>
        <v>0</v>
      </c>
      <c r="D13" s="108">
        <f>DETAILFICHECASSATION!K13</f>
        <v>30000</v>
      </c>
      <c r="E13" s="108">
        <f t="shared" si="0"/>
        <v>30000</v>
      </c>
      <c r="F13" s="110"/>
      <c r="G13" s="14"/>
      <c r="H13" s="109"/>
    </row>
    <row r="14" spans="1:8" ht="18.5" x14ac:dyDescent="0.45">
      <c r="A14" s="19" t="s">
        <v>67</v>
      </c>
      <c r="B14" s="14" t="str">
        <f>VLOOKUP(A14,[12]LISTADHERENT!$A$5:$K$43,3,0)</f>
        <v>DONHOU DAVID</v>
      </c>
      <c r="C14" s="108">
        <f>VLOOKUP(A14,[13]MVTRESUME25!$A$7:$AQ$45,18,0)</f>
        <v>0</v>
      </c>
      <c r="D14" s="108">
        <f>DETAILFICHECASSATION!K14</f>
        <v>30000</v>
      </c>
      <c r="E14" s="108">
        <f t="shared" si="0"/>
        <v>30000</v>
      </c>
      <c r="F14" s="110"/>
      <c r="G14" s="14"/>
      <c r="H14" s="109"/>
    </row>
    <row r="15" spans="1:8" ht="18.5" x14ac:dyDescent="0.45">
      <c r="A15" s="19" t="s">
        <v>181</v>
      </c>
      <c r="B15" s="14" t="str">
        <f>VLOOKUP(A15,[12]LISTADHERENT!$A$5:$K$43,3,0)</f>
        <v>FAMPOU PAUL</v>
      </c>
      <c r="C15" s="108">
        <f>VLOOKUP(A15,[13]MVTRESUME25!$A$7:$AQ$45,18,0)</f>
        <v>120000</v>
      </c>
      <c r="D15" s="108">
        <f>DETAILFICHECASSATION!K15</f>
        <v>30000</v>
      </c>
      <c r="E15" s="108">
        <f t="shared" si="0"/>
        <v>150000</v>
      </c>
      <c r="F15" s="110"/>
      <c r="G15" s="14"/>
      <c r="H15" s="109"/>
    </row>
    <row r="16" spans="1:8" ht="18.5" x14ac:dyDescent="0.45">
      <c r="A16" s="19" t="s">
        <v>68</v>
      </c>
      <c r="B16" s="14" t="str">
        <f>VLOOKUP(A16,[12]LISTADHERENT!$A$5:$K$43,3,0)</f>
        <v>HENGUE PAUL OMER</v>
      </c>
      <c r="C16" s="108">
        <f>VLOOKUP(A16,[13]MVTRESUME25!$A$7:$AQ$45,18,0)</f>
        <v>0</v>
      </c>
      <c r="D16" s="108">
        <f>DETAILFICHECASSATION!K16</f>
        <v>30000</v>
      </c>
      <c r="E16" s="108">
        <f t="shared" si="0"/>
        <v>30000</v>
      </c>
      <c r="F16" s="110"/>
      <c r="G16" s="14"/>
      <c r="H16" s="109"/>
    </row>
    <row r="17" spans="1:8" ht="18.5" x14ac:dyDescent="0.45">
      <c r="A17" s="19" t="s">
        <v>69</v>
      </c>
      <c r="B17" s="14" t="str">
        <f>VLOOKUP(A17,[12]LISTADHERENT!$A$5:$K$43,3,0)</f>
        <v>HOTCHO BENJAMIN</v>
      </c>
      <c r="C17" s="108">
        <f>VLOOKUP(A17,[13]MVTRESUME25!$A$7:$AQ$45,18,0)</f>
        <v>0</v>
      </c>
      <c r="D17" s="108">
        <f>DETAILFICHECASSATION!K17</f>
        <v>30000</v>
      </c>
      <c r="E17" s="108">
        <f t="shared" si="0"/>
        <v>30000</v>
      </c>
      <c r="F17" s="110"/>
      <c r="G17" s="14"/>
      <c r="H17" s="109"/>
    </row>
    <row r="18" spans="1:8" ht="18.5" x14ac:dyDescent="0.45">
      <c r="A18" s="19" t="s">
        <v>70</v>
      </c>
      <c r="B18" s="14" t="str">
        <f>VLOOKUP(A18,[12]LISTADHERENT!$A$5:$K$43,3,0)</f>
        <v>KOUAMOU MOISE</v>
      </c>
      <c r="C18" s="108">
        <f>VLOOKUP(A18,[13]MVTRESUME25!$A$7:$AQ$45,18,0)</f>
        <v>0</v>
      </c>
      <c r="D18" s="108">
        <f>DETAILFICHECASSATION!K18</f>
        <v>30000</v>
      </c>
      <c r="E18" s="108">
        <f t="shared" si="0"/>
        <v>30000</v>
      </c>
      <c r="F18" s="110"/>
      <c r="G18" s="14"/>
      <c r="H18" s="109"/>
    </row>
    <row r="19" spans="1:8" ht="18.5" x14ac:dyDescent="0.45">
      <c r="A19" s="19" t="s">
        <v>71</v>
      </c>
      <c r="B19" s="14" t="str">
        <f>VLOOKUP(A19,[12]LISTADHERENT!$A$5:$K$43,3,0)</f>
        <v>KOUATCHO MESSACK</v>
      </c>
      <c r="C19" s="108">
        <f>VLOOKUP(A19,[13]MVTRESUME25!$A$7:$AQ$45,18,0)</f>
        <v>0</v>
      </c>
      <c r="D19" s="108">
        <f>DETAILFICHECASSATION!K19</f>
        <v>30000</v>
      </c>
      <c r="E19" s="108">
        <f t="shared" si="0"/>
        <v>30000</v>
      </c>
      <c r="F19" s="110"/>
      <c r="G19" s="14"/>
      <c r="H19" s="109"/>
    </row>
    <row r="20" spans="1:8" ht="18.5" x14ac:dyDescent="0.45">
      <c r="A20" s="19" t="s">
        <v>72</v>
      </c>
      <c r="B20" s="14" t="str">
        <f>VLOOKUP(A20,[12]LISTADHERENT!$A$5:$K$43,3,0)</f>
        <v>LOWE JEAN</v>
      </c>
      <c r="C20" s="108">
        <f>VLOOKUP(A20,[13]MVTRESUME25!$A$7:$AQ$45,18,0)</f>
        <v>0</v>
      </c>
      <c r="D20" s="108">
        <f>DETAILFICHECASSATION!K20</f>
        <v>50000</v>
      </c>
      <c r="E20" s="108">
        <f t="shared" si="0"/>
        <v>50000</v>
      </c>
      <c r="F20" s="110"/>
      <c r="G20" s="14"/>
      <c r="H20" s="109"/>
    </row>
    <row r="21" spans="1:8" ht="18.5" x14ac:dyDescent="0.45">
      <c r="A21" s="19" t="s">
        <v>163</v>
      </c>
      <c r="B21" s="14" t="str">
        <f>VLOOKUP(A21,[12]LISTADHERENT!$A$5:$K$43,3,0)</f>
        <v>MASSEUNGOUE DAGOBERT</v>
      </c>
      <c r="C21" s="108">
        <f>VLOOKUP(A21,[13]MVTRESUME25!$A$7:$AQ$45,18,0)</f>
        <v>0</v>
      </c>
      <c r="D21" s="108">
        <f>DETAILFICHECASSATION!K21</f>
        <v>30000</v>
      </c>
      <c r="E21" s="108">
        <f t="shared" si="0"/>
        <v>30000</v>
      </c>
      <c r="F21" s="110"/>
      <c r="G21" s="14"/>
      <c r="H21" s="109"/>
    </row>
    <row r="22" spans="1:8" ht="18.5" x14ac:dyDescent="0.45">
      <c r="A22" s="19" t="s">
        <v>86</v>
      </c>
      <c r="B22" s="14" t="str">
        <f>VLOOKUP(A22,[12]LISTADHERENT!$A$5:$K$43,3,0)</f>
        <v>MBOGNING TUGMA GUY</v>
      </c>
      <c r="C22" s="108">
        <f>VLOOKUP(A22,[13]MVTRESUME25!$A$7:$AQ$45,18,0)</f>
        <v>0</v>
      </c>
      <c r="D22" s="108">
        <f>DETAILFICHECASSATION!K22</f>
        <v>30000</v>
      </c>
      <c r="E22" s="108">
        <f t="shared" si="0"/>
        <v>30000</v>
      </c>
      <c r="F22" s="110"/>
      <c r="G22" s="14"/>
      <c r="H22" s="109"/>
    </row>
    <row r="23" spans="1:8" ht="18.5" x14ac:dyDescent="0.45">
      <c r="A23" s="19" t="s">
        <v>81</v>
      </c>
      <c r="B23" s="14" t="str">
        <f>VLOOKUP(A23,[12]LISTADHERENT!$A$5:$K$43,3,0)</f>
        <v>NANGUEN MARTIN</v>
      </c>
      <c r="C23" s="108">
        <f>VLOOKUP(A23,[13]MVTRESUME25!$A$7:$AQ$45,18,0)</f>
        <v>0</v>
      </c>
      <c r="D23" s="108">
        <f>DETAILFICHECASSATION!K23</f>
        <v>30000</v>
      </c>
      <c r="E23" s="108">
        <f t="shared" si="0"/>
        <v>30000</v>
      </c>
      <c r="F23" s="110"/>
      <c r="G23" s="14"/>
      <c r="H23" s="109"/>
    </row>
    <row r="24" spans="1:8" ht="18.5" x14ac:dyDescent="0.45">
      <c r="A24" s="19" t="s">
        <v>73</v>
      </c>
      <c r="B24" s="14" t="str">
        <f>VLOOKUP(A24,[12]LISTADHERENT!$A$5:$K$43,3,0)</f>
        <v>NANKAM APPOLINAIRE</v>
      </c>
      <c r="C24" s="108">
        <f>VLOOKUP(A24,[13]MVTRESUME25!$A$7:$AQ$45,18,0)</f>
        <v>0</v>
      </c>
      <c r="D24" s="108">
        <f>DETAILFICHECASSATION!K24</f>
        <v>30000</v>
      </c>
      <c r="E24" s="108">
        <f t="shared" si="0"/>
        <v>30000</v>
      </c>
      <c r="F24" s="110"/>
      <c r="G24" s="14"/>
      <c r="H24" s="109"/>
    </row>
    <row r="25" spans="1:8" ht="18.5" x14ac:dyDescent="0.45">
      <c r="A25" s="19" t="s">
        <v>74</v>
      </c>
      <c r="B25" s="14" t="str">
        <f>VLOOKUP(A25,[12]LISTADHERENT!$A$5:$K$43,3,0)</f>
        <v>NDJOMO ETIENNE</v>
      </c>
      <c r="C25" s="108">
        <f>VLOOKUP(A25,[13]MVTRESUME25!$A$7:$AQ$45,18,0)</f>
        <v>0</v>
      </c>
      <c r="D25" s="108">
        <f>DETAILFICHECASSATION!K25</f>
        <v>30000</v>
      </c>
      <c r="E25" s="108">
        <f t="shared" si="0"/>
        <v>30000</v>
      </c>
      <c r="F25" s="14"/>
      <c r="G25" s="14"/>
      <c r="H25" s="109"/>
    </row>
    <row r="26" spans="1:8" ht="18.5" x14ac:dyDescent="0.45">
      <c r="A26" s="19" t="s">
        <v>75</v>
      </c>
      <c r="B26" s="14" t="str">
        <f>VLOOKUP(A26,[12]LISTADHERENT!$A$5:$K$43,3,0)</f>
        <v>NGONDIEP CLAUDE</v>
      </c>
      <c r="C26" s="108">
        <f>VLOOKUP(A26,[13]MVTRESUME25!$A$7:$AQ$45,18,0)</f>
        <v>0</v>
      </c>
      <c r="D26" s="108">
        <f>DETAILFICHECASSATION!K26</f>
        <v>30000</v>
      </c>
      <c r="E26" s="108">
        <f t="shared" si="0"/>
        <v>30000</v>
      </c>
      <c r="F26" s="14"/>
      <c r="G26" s="14"/>
      <c r="H26" s="109"/>
    </row>
    <row r="27" spans="1:8" ht="18.5" x14ac:dyDescent="0.45">
      <c r="A27" s="19" t="s">
        <v>77</v>
      </c>
      <c r="B27" s="14" t="str">
        <f>VLOOKUP(A27,[12]LISTADHERENT!$A$5:$K$43,3,0)</f>
        <v>NGUIEMEGNI MATHIEU BLAISE</v>
      </c>
      <c r="C27" s="108">
        <f>VLOOKUP(A27,[13]MVTRESUME25!$A$7:$AQ$45,18,0)</f>
        <v>0</v>
      </c>
      <c r="D27" s="108">
        <f>DETAILFICHECASSATION!K27</f>
        <v>30000</v>
      </c>
      <c r="E27" s="108">
        <f t="shared" si="0"/>
        <v>30000</v>
      </c>
      <c r="F27" s="14"/>
      <c r="G27" s="14"/>
      <c r="H27" s="109"/>
    </row>
    <row r="28" spans="1:8" ht="18.5" x14ac:dyDescent="0.45">
      <c r="A28" s="19" t="s">
        <v>78</v>
      </c>
      <c r="B28" s="14" t="str">
        <f>VLOOKUP(A28,[12]LISTADHERENT!$A$5:$K$43,3,0)</f>
        <v>NKAMGANG JUSTIN DEJOLIE</v>
      </c>
      <c r="C28" s="108">
        <f>VLOOKUP(A28,[13]MVTRESUME25!$A$7:$AQ$45,18,0)</f>
        <v>0</v>
      </c>
      <c r="D28" s="108">
        <f>DETAILFICHECASSATION!K28</f>
        <v>30000</v>
      </c>
      <c r="E28" s="108">
        <f t="shared" si="0"/>
        <v>30000</v>
      </c>
      <c r="F28" s="14"/>
      <c r="G28" s="14"/>
      <c r="H28" s="109"/>
    </row>
    <row r="29" spans="1:8" ht="18.5" x14ac:dyDescent="0.45">
      <c r="A29" s="19" t="s">
        <v>104</v>
      </c>
      <c r="B29" s="14" t="str">
        <f>VLOOKUP(A29,[12]LISTADHERENT!$A$5:$K$43,3,0)</f>
        <v>NOUBE ETIENNE</v>
      </c>
      <c r="C29" s="108">
        <f>VLOOKUP(A29,[13]MVTRESUME25!$A$7:$AQ$45,18,0)</f>
        <v>0</v>
      </c>
      <c r="D29" s="108">
        <f>DETAILFICHECASSATION!K29</f>
        <v>30000</v>
      </c>
      <c r="E29" s="108">
        <f t="shared" si="0"/>
        <v>30000</v>
      </c>
      <c r="F29" s="14"/>
      <c r="G29" s="14"/>
      <c r="H29" s="109"/>
    </row>
    <row r="30" spans="1:8" ht="18.5" x14ac:dyDescent="0.45">
      <c r="A30" s="19" t="s">
        <v>79</v>
      </c>
      <c r="B30" s="14" t="str">
        <f>VLOOKUP(A30,[12]LISTADHERENT!$A$5:$K$43,3,0)</f>
        <v>PATEGO NJOSSU GUSTAVE</v>
      </c>
      <c r="C30" s="108">
        <f>VLOOKUP(A30,[13]MVTRESUME25!$A$7:$AQ$45,18,0)</f>
        <v>0</v>
      </c>
      <c r="D30" s="108">
        <f>DETAILFICHECASSATION!K30</f>
        <v>30000</v>
      </c>
      <c r="E30" s="108">
        <f t="shared" si="0"/>
        <v>30000</v>
      </c>
      <c r="F30" s="14"/>
      <c r="G30" s="14"/>
      <c r="H30" s="109"/>
    </row>
    <row r="31" spans="1:8" ht="18.5" x14ac:dyDescent="0.45">
      <c r="A31" s="19" t="s">
        <v>127</v>
      </c>
      <c r="B31" s="14" t="str">
        <f>VLOOKUP(A31,[12]LISTADHERENT!$A$5:$K$43,3,0)</f>
        <v>SEUMO POLYCARPE</v>
      </c>
      <c r="C31" s="108">
        <f>VLOOKUP(A31,[13]MVTRESUME25!$A$7:$AQ$45,18,0)</f>
        <v>0</v>
      </c>
      <c r="D31" s="108">
        <f>DETAILFICHECASSATION!K31</f>
        <v>30000</v>
      </c>
      <c r="E31" s="108">
        <f t="shared" si="0"/>
        <v>30000</v>
      </c>
      <c r="F31" s="14"/>
      <c r="G31" s="14"/>
      <c r="H31" s="109"/>
    </row>
    <row r="32" spans="1:8" ht="18.5" x14ac:dyDescent="0.45">
      <c r="A32" s="19" t="s">
        <v>89</v>
      </c>
      <c r="B32" s="14" t="str">
        <f>VLOOKUP(A32,[12]LISTADHERENT!$A$5:$K$43,3,0)</f>
        <v>SIME BRICE</v>
      </c>
      <c r="C32" s="108">
        <f>VLOOKUP(A32,[13]MVTRESUME25!$A$7:$AQ$45,18,0)</f>
        <v>0</v>
      </c>
      <c r="D32" s="108">
        <f>DETAILFICHECASSATION!K32</f>
        <v>30000</v>
      </c>
      <c r="E32" s="108">
        <f t="shared" si="0"/>
        <v>30000</v>
      </c>
      <c r="F32" s="14"/>
      <c r="G32" s="14"/>
      <c r="H32" s="109"/>
    </row>
    <row r="33" spans="1:8" ht="18.5" x14ac:dyDescent="0.45">
      <c r="A33" s="19" t="s">
        <v>182</v>
      </c>
      <c r="B33" s="14" t="str">
        <f>VLOOKUP(A33,[12]LISTADHERENT!$A$5:$K$43,3,0)</f>
        <v>SIMO FONGANG ERIC</v>
      </c>
      <c r="C33" s="108">
        <f>VLOOKUP(A33,[13]MVTRESUME25!$A$7:$AQ$45,18,0)</f>
        <v>0</v>
      </c>
      <c r="D33" s="108">
        <f>DETAILFICHECASSATION!K33</f>
        <v>30000</v>
      </c>
      <c r="E33" s="108">
        <f t="shared" si="0"/>
        <v>30000</v>
      </c>
      <c r="F33" s="14"/>
      <c r="G33" s="14"/>
      <c r="H33" s="109"/>
    </row>
    <row r="34" spans="1:8" ht="18.5" x14ac:dyDescent="0.45">
      <c r="A34" s="19" t="s">
        <v>80</v>
      </c>
      <c r="B34" s="14" t="str">
        <f>VLOOKUP(A34,[12]LISTADHERENT!$A$5:$K$43,3,0)</f>
        <v>SIMO PIERRE</v>
      </c>
      <c r="C34" s="108">
        <f>VLOOKUP(A34,[13]MVTRESUME25!$A$7:$AQ$45,18,0)</f>
        <v>0</v>
      </c>
      <c r="D34" s="108">
        <f>DETAILFICHECASSATION!K34</f>
        <v>0</v>
      </c>
      <c r="E34" s="108">
        <f t="shared" si="0"/>
        <v>0</v>
      </c>
      <c r="F34" s="14"/>
      <c r="G34" s="14"/>
      <c r="H34" s="109"/>
    </row>
    <row r="35" spans="1:8" ht="18.5" x14ac:dyDescent="0.45">
      <c r="A35" s="19" t="s">
        <v>82</v>
      </c>
      <c r="B35" s="14" t="str">
        <f>VLOOKUP(A35,[12]LISTADHERENT!$A$5:$K$43,3,0)</f>
        <v>TCHOUAMOU MATHIEU</v>
      </c>
      <c r="C35" s="108">
        <f>VLOOKUP(A35,[13]MVTRESUME25!$A$7:$AQ$45,18,0)</f>
        <v>0</v>
      </c>
      <c r="D35" s="108">
        <f>DETAILFICHECASSATION!K35</f>
        <v>30000</v>
      </c>
      <c r="E35" s="108">
        <f t="shared" si="0"/>
        <v>30000</v>
      </c>
      <c r="F35" s="14"/>
      <c r="G35" s="14"/>
      <c r="H35" s="109"/>
    </row>
    <row r="36" spans="1:8" ht="18.5" x14ac:dyDescent="0.45">
      <c r="A36" s="19" t="s">
        <v>164</v>
      </c>
      <c r="B36" s="14" t="str">
        <f>VLOOKUP(A36,[12]LISTADHERENT!$A$5:$K$43,3,0)</f>
        <v>TCHOUATEU AUGUSTIN</v>
      </c>
      <c r="C36" s="108">
        <f>VLOOKUP(A36,[13]MVTRESUME25!$A$7:$AQ$45,18,0)</f>
        <v>0</v>
      </c>
      <c r="D36" s="108">
        <f>DETAILFICHECASSATION!K36</f>
        <v>30000</v>
      </c>
      <c r="E36" s="108">
        <f t="shared" si="0"/>
        <v>30000</v>
      </c>
      <c r="F36" s="14"/>
      <c r="G36" s="14"/>
      <c r="H36" s="109"/>
    </row>
    <row r="37" spans="1:8" ht="18.5" x14ac:dyDescent="0.45">
      <c r="A37" s="19" t="s">
        <v>83</v>
      </c>
      <c r="B37" s="14" t="str">
        <f>VLOOKUP(A37,[12]LISTADHERENT!$A$5:$K$43,3,0)</f>
        <v>TCHOUTOU NANA CLAUDE</v>
      </c>
      <c r="C37" s="108">
        <f>VLOOKUP(A37,[13]MVTRESUME25!$A$7:$AQ$45,18,0)</f>
        <v>0</v>
      </c>
      <c r="D37" s="108">
        <f>DETAILFICHECASSATION!K37</f>
        <v>30000</v>
      </c>
      <c r="E37" s="108">
        <f t="shared" si="0"/>
        <v>30000</v>
      </c>
      <c r="F37" s="14"/>
      <c r="G37" s="14"/>
      <c r="H37" s="109"/>
    </row>
    <row r="38" spans="1:8" ht="18.5" x14ac:dyDescent="0.45">
      <c r="A38" s="19" t="s">
        <v>183</v>
      </c>
      <c r="B38" s="14" t="str">
        <f>VLOOKUP(A38,[12]LISTADHERENT!$A$5:$K$43,3,0)</f>
        <v>TIEYAM ERNEST</v>
      </c>
      <c r="C38" s="108">
        <f>VLOOKUP(A38,[13]MVTRESUME25!$A$7:$AQ$45,18,0)</f>
        <v>0</v>
      </c>
      <c r="D38" s="108">
        <f>DETAILFICHECASSATION!K38</f>
        <v>0</v>
      </c>
      <c r="E38" s="108">
        <f t="shared" si="0"/>
        <v>0</v>
      </c>
      <c r="F38" s="14"/>
      <c r="G38" s="14"/>
      <c r="H38" s="109"/>
    </row>
    <row r="39" spans="1:8" ht="18.5" x14ac:dyDescent="0.45">
      <c r="A39" s="19" t="s">
        <v>128</v>
      </c>
      <c r="B39" s="14" t="str">
        <f>VLOOKUP(A39,[12]LISTADHERENT!$A$5:$K$43,3,0)</f>
        <v>YANTCHOU GERVAIS</v>
      </c>
      <c r="C39" s="108">
        <f>VLOOKUP(A39,[13]MVTRESUME25!$A$7:$AQ$45,18,0)</f>
        <v>0</v>
      </c>
      <c r="D39" s="108">
        <f>DETAILFICHECASSATION!K39</f>
        <v>30000</v>
      </c>
      <c r="E39" s="108">
        <f t="shared" si="0"/>
        <v>30000</v>
      </c>
      <c r="F39" s="14"/>
      <c r="G39" s="14"/>
      <c r="H39" s="109"/>
    </row>
    <row r="40" spans="1:8" ht="17.5" x14ac:dyDescent="0.35">
      <c r="A40" s="19" t="s">
        <v>84</v>
      </c>
      <c r="B40" s="14" t="str">
        <f>VLOOKUP(A40,[12]LISTADHERENT!$A$5:$K$43,3,0)</f>
        <v>YEPMOU JEAN JACQUES</v>
      </c>
      <c r="C40" s="108">
        <f>VLOOKUP(A40,[13]MVTRESUME25!$A$7:$AQ$45,18,0)</f>
        <v>0</v>
      </c>
      <c r="D40" s="108">
        <f>DETAILFICHECASSATION!K40</f>
        <v>30000</v>
      </c>
      <c r="E40" s="108">
        <f t="shared" si="0"/>
        <v>30000</v>
      </c>
      <c r="F40" s="14"/>
      <c r="G40" s="14"/>
      <c r="H40" s="15"/>
    </row>
    <row r="41" spans="1:8" ht="17.5" x14ac:dyDescent="0.35">
      <c r="A41" s="19" t="s">
        <v>165</v>
      </c>
      <c r="B41" s="14" t="str">
        <f>VLOOKUP(A41,[12]LISTADHERENT!$A$5:$K$43,3,0)</f>
        <v>YIALA ALAIN OSCAR</v>
      </c>
      <c r="C41" s="108">
        <f>VLOOKUP(A41,[13]MVTRESUME25!$A$7:$AQ$45,18,0)</f>
        <v>0</v>
      </c>
      <c r="D41" s="108">
        <f>DETAILFICHECASSATION!K41</f>
        <v>30000</v>
      </c>
      <c r="E41" s="108">
        <f t="shared" si="0"/>
        <v>30000</v>
      </c>
      <c r="F41" s="126"/>
      <c r="G41" s="126"/>
      <c r="H41" s="127"/>
    </row>
    <row r="42" spans="1:8" ht="17.5" x14ac:dyDescent="0.35">
      <c r="A42" s="19" t="s">
        <v>85</v>
      </c>
      <c r="B42" s="14" t="str">
        <f>VLOOKUP(A42,[12]LISTADHERENT!$A$5:$K$43,3,0)</f>
        <v>YOUMBI EMMANUEL</v>
      </c>
      <c r="C42" s="108">
        <f>VLOOKUP(A42,[13]MVTRESUME25!$A$7:$AQ$45,18,0)</f>
        <v>0</v>
      </c>
      <c r="D42" s="108">
        <f>DETAILFICHECASSATION!K42</f>
        <v>30000</v>
      </c>
      <c r="E42" s="108">
        <f t="shared" si="0"/>
        <v>30000</v>
      </c>
      <c r="F42" s="126"/>
      <c r="G42" s="126"/>
      <c r="H42" s="127"/>
    </row>
    <row r="43" spans="1:8" x14ac:dyDescent="0.35">
      <c r="A43" s="62"/>
      <c r="B43" s="126"/>
      <c r="C43" s="126"/>
      <c r="D43" s="126"/>
      <c r="E43" s="126"/>
      <c r="F43" s="126"/>
      <c r="G43" s="126"/>
      <c r="H43" s="127"/>
    </row>
    <row r="44" spans="1:8" ht="18" thickBot="1" x14ac:dyDescent="0.4">
      <c r="A44" s="31" t="s">
        <v>23</v>
      </c>
      <c r="B44" s="57"/>
      <c r="C44" s="58">
        <f>SUM(C6:C43)</f>
        <v>120000</v>
      </c>
      <c r="D44" s="58">
        <f t="shared" ref="D44:E44" si="1">SUM(D6:D43)</f>
        <v>1040000</v>
      </c>
      <c r="E44" s="58">
        <f t="shared" si="1"/>
        <v>1160000</v>
      </c>
      <c r="F44" s="58"/>
      <c r="G44" s="58">
        <f t="shared" ref="G44:H44" si="2">SUM(G4:G40)</f>
        <v>0</v>
      </c>
      <c r="H44" s="59">
        <f t="shared" si="2"/>
        <v>1060000</v>
      </c>
    </row>
    <row r="45" spans="1:8" ht="15" thickTop="1" x14ac:dyDescent="0.35"/>
  </sheetData>
  <mergeCells count="4">
    <mergeCell ref="A3:H3"/>
    <mergeCell ref="A4:A5"/>
    <mergeCell ref="B4:B5"/>
    <mergeCell ref="F4:H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7"/>
  <sheetViews>
    <sheetView workbookViewId="0">
      <selection activeCell="C9" sqref="C9"/>
    </sheetView>
  </sheetViews>
  <sheetFormatPr baseColWidth="10" defaultRowHeight="14.5" x14ac:dyDescent="0.35"/>
  <cols>
    <col min="2" max="2" width="30" bestFit="1" customWidth="1"/>
    <col min="3" max="3" width="15" bestFit="1" customWidth="1"/>
    <col min="4" max="5" width="15" customWidth="1"/>
    <col min="7" max="7" width="36.453125" bestFit="1" customWidth="1"/>
    <col min="8" max="8" width="15" bestFit="1" customWidth="1"/>
  </cols>
  <sheetData>
    <row r="1" spans="1:9" x14ac:dyDescent="0.35">
      <c r="A1" s="1" t="s">
        <v>94</v>
      </c>
      <c r="B1" s="1" t="s">
        <v>95</v>
      </c>
    </row>
    <row r="2" spans="1:9" x14ac:dyDescent="0.35">
      <c r="A2" s="1" t="s">
        <v>10</v>
      </c>
      <c r="B2" s="1">
        <v>2025</v>
      </c>
    </row>
    <row r="4" spans="1:9" ht="26" x14ac:dyDescent="0.35">
      <c r="A4" s="163" t="s">
        <v>110</v>
      </c>
      <c r="B4" s="164"/>
      <c r="C4" s="164"/>
      <c r="D4" s="164"/>
      <c r="E4" s="164"/>
      <c r="F4" s="164"/>
      <c r="G4" s="164"/>
      <c r="H4" s="164"/>
    </row>
    <row r="5" spans="1:9" ht="15" thickBot="1" x14ac:dyDescent="0.4">
      <c r="A5" s="70"/>
      <c r="B5" s="71"/>
      <c r="C5" s="72"/>
      <c r="D5" s="72"/>
      <c r="E5" s="72"/>
      <c r="F5" s="72"/>
      <c r="G5" s="73"/>
      <c r="H5" s="72"/>
    </row>
    <row r="6" spans="1:9" ht="15.75" customHeight="1" thickTop="1" x14ac:dyDescent="0.4">
      <c r="A6" s="169" t="s">
        <v>96</v>
      </c>
      <c r="B6" s="171" t="s">
        <v>52</v>
      </c>
      <c r="C6" s="106" t="s">
        <v>134</v>
      </c>
      <c r="D6" s="106"/>
      <c r="E6" s="106"/>
      <c r="F6" s="171" t="s">
        <v>131</v>
      </c>
      <c r="G6" s="171"/>
      <c r="H6" s="171"/>
      <c r="I6" s="141"/>
    </row>
    <row r="7" spans="1:9" ht="21.75" customHeight="1" x14ac:dyDescent="0.35">
      <c r="A7" s="170"/>
      <c r="B7" s="172"/>
      <c r="C7" s="107" t="s">
        <v>153</v>
      </c>
      <c r="D7" s="107" t="s">
        <v>154</v>
      </c>
      <c r="E7" s="107" t="s">
        <v>23</v>
      </c>
      <c r="F7" s="107" t="s">
        <v>132</v>
      </c>
      <c r="G7" s="107" t="s">
        <v>133</v>
      </c>
      <c r="H7" s="25" t="s">
        <v>153</v>
      </c>
      <c r="I7" s="26" t="s">
        <v>154</v>
      </c>
    </row>
    <row r="8" spans="1:9" ht="18.5" x14ac:dyDescent="0.45">
      <c r="A8" s="19" t="s">
        <v>90</v>
      </c>
      <c r="B8" s="14" t="str">
        <f>VLOOKUP($A$8,[12]LISTADHERENT!$A$5:$K$43,3,0)</f>
        <v>ASELBY</v>
      </c>
      <c r="C8" s="108"/>
      <c r="D8" s="108"/>
      <c r="E8" s="108">
        <f>C8+D8</f>
        <v>0</v>
      </c>
      <c r="F8" s="110"/>
      <c r="G8" s="14"/>
      <c r="H8" s="142"/>
      <c r="I8" s="15"/>
    </row>
    <row r="9" spans="1:9" ht="18.5" x14ac:dyDescent="0.45">
      <c r="A9" s="19" t="s">
        <v>62</v>
      </c>
      <c r="B9" s="14" t="str">
        <f>VLOOKUP(A9,[12]LISTADHERENT!$A$5:$K$43,3,0)</f>
        <v>BAKOP ACHILLE</v>
      </c>
      <c r="C9" s="108">
        <f>VLOOKUP(A9,[13]MVTRESUME25!$A$7:$Q$50,16,0)</f>
        <v>5000</v>
      </c>
      <c r="D9" s="108">
        <f>VLOOKUP(A9,[13]MVTRESUME25!$A$7:$Q$50,10,0)</f>
        <v>0</v>
      </c>
      <c r="E9" s="108">
        <f t="shared" ref="E9:E41" si="0">C9+D9</f>
        <v>5000</v>
      </c>
      <c r="F9" s="110"/>
      <c r="G9" s="14"/>
      <c r="H9" s="142"/>
      <c r="I9" s="15"/>
    </row>
    <row r="10" spans="1:9" ht="18.5" x14ac:dyDescent="0.45">
      <c r="A10" s="19" t="s">
        <v>63</v>
      </c>
      <c r="B10" s="14" t="str">
        <f>VLOOKUP(A10,[12]LISTADHERENT!$A$5:$K$43,3,0)</f>
        <v>BOUTCHOUANG WILLIAM</v>
      </c>
      <c r="C10" s="108">
        <f>VLOOKUP(A10,[13]MVTRESUME25!$A$7:$Q$50,16,0)</f>
        <v>0</v>
      </c>
      <c r="D10" s="108">
        <f>VLOOKUP(A10,[13]MVTRESUME25!$A$7:$Q$50,10,0)</f>
        <v>0</v>
      </c>
      <c r="E10" s="108">
        <f t="shared" si="0"/>
        <v>0</v>
      </c>
      <c r="F10" s="110"/>
      <c r="G10" s="14"/>
      <c r="H10" s="142"/>
      <c r="I10" s="15"/>
    </row>
    <row r="11" spans="1:9" ht="18.5" x14ac:dyDescent="0.45">
      <c r="A11" s="19" t="s">
        <v>64</v>
      </c>
      <c r="B11" s="14" t="str">
        <f>VLOOKUP(A11,[12]LISTADHERENT!$A$5:$K$43,3,0)</f>
        <v xml:space="preserve">DJOMO JEAN PAUL </v>
      </c>
      <c r="C11" s="108">
        <f>VLOOKUP(A11,[13]MVTRESUME25!$A$7:$Q$50,16,0)</f>
        <v>0</v>
      </c>
      <c r="D11" s="108">
        <f>VLOOKUP(A11,[13]MVTRESUME25!$A$7:$Q$50,10,0)</f>
        <v>5000</v>
      </c>
      <c r="E11" s="108">
        <f t="shared" si="0"/>
        <v>5000</v>
      </c>
      <c r="F11" s="110"/>
      <c r="G11" s="14"/>
      <c r="H11" s="142"/>
      <c r="I11" s="15"/>
    </row>
    <row r="12" spans="1:9" ht="18.5" x14ac:dyDescent="0.45">
      <c r="A12" s="19" t="s">
        <v>103</v>
      </c>
      <c r="B12" s="14" t="str">
        <f>VLOOKUP(A12,[12]LISTADHERENT!$A$5:$K$43,3,0)</f>
        <v>DJOMOU TCHAPDA</v>
      </c>
      <c r="C12" s="108">
        <f>VLOOKUP(A12,[13]MVTRESUME25!$A$7:$Q$50,16,0)</f>
        <v>3000</v>
      </c>
      <c r="D12" s="108">
        <f>VLOOKUP(A12,[13]MVTRESUME25!$A$7:$Q$50,10,0)</f>
        <v>0</v>
      </c>
      <c r="E12" s="108">
        <f t="shared" si="0"/>
        <v>3000</v>
      </c>
      <c r="F12" s="110"/>
      <c r="G12" s="14"/>
      <c r="H12" s="142"/>
      <c r="I12" s="15"/>
    </row>
    <row r="13" spans="1:9" ht="18.5" x14ac:dyDescent="0.45">
      <c r="A13" s="19" t="s">
        <v>65</v>
      </c>
      <c r="B13" s="14" t="str">
        <f>VLOOKUP(A13,[12]LISTADHERENT!$A$5:$K$43,3,0)</f>
        <v>DJOUKWE NANGUEN GUY BLAISE</v>
      </c>
      <c r="C13" s="108">
        <f>VLOOKUP(A13,[13]MVTRESUME25!$A$7:$Q$50,16,0)</f>
        <v>3000</v>
      </c>
      <c r="D13" s="108">
        <f>VLOOKUP(A13,[13]MVTRESUME25!$A$7:$Q$50,10,0)</f>
        <v>0</v>
      </c>
      <c r="E13" s="108">
        <f t="shared" si="0"/>
        <v>3000</v>
      </c>
      <c r="F13" s="110"/>
      <c r="G13" s="14"/>
      <c r="H13" s="142"/>
      <c r="I13" s="15"/>
    </row>
    <row r="14" spans="1:9" ht="18.5" x14ac:dyDescent="0.45">
      <c r="A14" s="19" t="s">
        <v>66</v>
      </c>
      <c r="B14" s="14" t="str">
        <f>VLOOKUP(A14,[12]LISTADHERENT!$A$5:$K$43,3,0)</f>
        <v>DJUOMBESSY ANTOINE</v>
      </c>
      <c r="C14" s="108">
        <f>VLOOKUP(A14,[13]MVTRESUME25!$A$7:$Q$50,16,0)</f>
        <v>0</v>
      </c>
      <c r="D14" s="108">
        <f>VLOOKUP(A14,[13]MVTRESUME25!$A$7:$Q$50,10,0)</f>
        <v>0</v>
      </c>
      <c r="E14" s="108">
        <f t="shared" si="0"/>
        <v>0</v>
      </c>
      <c r="F14" s="110"/>
      <c r="G14" s="14"/>
      <c r="H14" s="142"/>
      <c r="I14" s="15"/>
    </row>
    <row r="15" spans="1:9" ht="18.5" x14ac:dyDescent="0.45">
      <c r="A15" s="19" t="s">
        <v>87</v>
      </c>
      <c r="B15" s="14" t="str">
        <f>VLOOKUP(A15,[12]LISTADHERENT!$A$5:$K$43,3,0)</f>
        <v>DOMOU FABIEN</v>
      </c>
      <c r="C15" s="108">
        <f>VLOOKUP(A15,[13]MVTRESUME25!$A$7:$Q$50,16,0)</f>
        <v>0</v>
      </c>
      <c r="D15" s="108">
        <f>VLOOKUP(A15,[13]MVTRESUME25!$A$7:$Q$50,10,0)</f>
        <v>0</v>
      </c>
      <c r="E15" s="108">
        <f t="shared" si="0"/>
        <v>0</v>
      </c>
      <c r="F15" s="110"/>
      <c r="G15" s="14"/>
      <c r="H15" s="142"/>
      <c r="I15" s="15"/>
    </row>
    <row r="16" spans="1:9" ht="18.5" x14ac:dyDescent="0.45">
      <c r="A16" s="19" t="s">
        <v>67</v>
      </c>
      <c r="B16" s="14" t="str">
        <f>VLOOKUP(A16,[12]LISTADHERENT!$A$5:$K$43,3,0)</f>
        <v>DONHOU DAVID</v>
      </c>
      <c r="C16" s="108">
        <f>VLOOKUP(A16,[13]MVTRESUME25!$A$7:$Q$50,16,0)</f>
        <v>3000</v>
      </c>
      <c r="D16" s="108">
        <f>VLOOKUP(A16,[13]MVTRESUME25!$A$7:$Q$50,10,0)</f>
        <v>0</v>
      </c>
      <c r="E16" s="108">
        <f t="shared" si="0"/>
        <v>3000</v>
      </c>
      <c r="F16" s="110"/>
      <c r="G16" s="14"/>
      <c r="H16" s="142"/>
      <c r="I16" s="15"/>
    </row>
    <row r="17" spans="1:9" ht="18.5" x14ac:dyDescent="0.45">
      <c r="A17" s="19" t="s">
        <v>181</v>
      </c>
      <c r="B17" s="14" t="str">
        <f>VLOOKUP(A17,[12]LISTADHERENT!$A$5:$K$43,3,0)</f>
        <v>FAMPOU PAUL</v>
      </c>
      <c r="C17" s="108">
        <f>VLOOKUP(A17,[13]MVTRESUME25!$A$7:$Q$50,16,0)</f>
        <v>0</v>
      </c>
      <c r="D17" s="108">
        <f>VLOOKUP(A17,[13]MVTRESUME25!$A$7:$Q$50,10,0)</f>
        <v>0</v>
      </c>
      <c r="E17" s="108">
        <f t="shared" si="0"/>
        <v>0</v>
      </c>
      <c r="F17" s="110"/>
      <c r="G17" s="14"/>
      <c r="H17" s="142"/>
      <c r="I17" s="15"/>
    </row>
    <row r="18" spans="1:9" ht="18.5" x14ac:dyDescent="0.45">
      <c r="A18" s="19" t="s">
        <v>68</v>
      </c>
      <c r="B18" s="14" t="str">
        <f>VLOOKUP(A18,[12]LISTADHERENT!$A$5:$K$43,3,0)</f>
        <v>HENGUE PAUL OMER</v>
      </c>
      <c r="C18" s="108">
        <f>VLOOKUP(A18,[13]MVTRESUME25!$A$7:$Q$50,16,0)</f>
        <v>0</v>
      </c>
      <c r="D18" s="108">
        <f>VLOOKUP(A18,[13]MVTRESUME25!$A$7:$Q$50,10,0)</f>
        <v>0</v>
      </c>
      <c r="E18" s="108">
        <f t="shared" si="0"/>
        <v>0</v>
      </c>
      <c r="F18" s="110"/>
      <c r="G18" s="14"/>
      <c r="H18" s="142"/>
      <c r="I18" s="15"/>
    </row>
    <row r="19" spans="1:9" ht="18.5" x14ac:dyDescent="0.45">
      <c r="A19" s="19" t="s">
        <v>69</v>
      </c>
      <c r="B19" s="14" t="str">
        <f>VLOOKUP(A19,[12]LISTADHERENT!$A$5:$K$43,3,0)</f>
        <v>HOTCHO BENJAMIN</v>
      </c>
      <c r="C19" s="108">
        <f>VLOOKUP(A19,[13]MVTRESUME25!$A$7:$Q$50,16,0)</f>
        <v>0</v>
      </c>
      <c r="D19" s="108">
        <f>VLOOKUP(A19,[13]MVTRESUME25!$A$7:$Q$50,10,0)</f>
        <v>0</v>
      </c>
      <c r="E19" s="108">
        <f t="shared" si="0"/>
        <v>0</v>
      </c>
      <c r="F19" s="110"/>
      <c r="G19" s="14"/>
      <c r="H19" s="142"/>
      <c r="I19" s="15"/>
    </row>
    <row r="20" spans="1:9" ht="18.5" x14ac:dyDescent="0.45">
      <c r="A20" s="19" t="s">
        <v>70</v>
      </c>
      <c r="B20" s="14" t="str">
        <f>VLOOKUP(A20,[12]LISTADHERENT!$A$5:$K$43,3,0)</f>
        <v>KOUAMOU MOISE</v>
      </c>
      <c r="C20" s="108">
        <f>VLOOKUP(A20,[13]MVTRESUME25!$A$7:$Q$50,16,0)</f>
        <v>3000</v>
      </c>
      <c r="D20" s="108">
        <f>VLOOKUP(A20,[13]MVTRESUME25!$A$7:$Q$50,10,0)</f>
        <v>0</v>
      </c>
      <c r="E20" s="108">
        <f t="shared" si="0"/>
        <v>3000</v>
      </c>
      <c r="F20" s="110"/>
      <c r="G20" s="14"/>
      <c r="H20" s="142"/>
      <c r="I20" s="15"/>
    </row>
    <row r="21" spans="1:9" ht="18.5" x14ac:dyDescent="0.45">
      <c r="A21" s="19" t="s">
        <v>71</v>
      </c>
      <c r="B21" s="14" t="str">
        <f>VLOOKUP(A21,[12]LISTADHERENT!$A$5:$K$43,3,0)</f>
        <v>KOUATCHO MESSACK</v>
      </c>
      <c r="C21" s="108">
        <f>VLOOKUP(A21,[13]MVTRESUME25!$A$7:$Q$50,16,0)</f>
        <v>3000</v>
      </c>
      <c r="D21" s="108">
        <f>VLOOKUP(A21,[13]MVTRESUME25!$A$7:$Q$50,10,0)</f>
        <v>0</v>
      </c>
      <c r="E21" s="108">
        <f t="shared" si="0"/>
        <v>3000</v>
      </c>
      <c r="F21" s="110"/>
      <c r="G21" s="14"/>
      <c r="H21" s="142"/>
      <c r="I21" s="15"/>
    </row>
    <row r="22" spans="1:9" ht="18.5" x14ac:dyDescent="0.45">
      <c r="A22" s="19" t="s">
        <v>72</v>
      </c>
      <c r="B22" s="14" t="str">
        <f>VLOOKUP(A22,[12]LISTADHERENT!$A$5:$K$43,3,0)</f>
        <v>LOWE JEAN</v>
      </c>
      <c r="C22" s="108">
        <f>VLOOKUP(A22,[13]MVTRESUME25!$A$7:$Q$50,16,0)</f>
        <v>0</v>
      </c>
      <c r="D22" s="108">
        <f>VLOOKUP(A22,[13]MVTRESUME25!$A$7:$Q$50,10,0)</f>
        <v>0</v>
      </c>
      <c r="E22" s="108">
        <f t="shared" ref="E22" si="1">C22+D22</f>
        <v>0</v>
      </c>
      <c r="F22" s="110"/>
      <c r="G22" s="14"/>
      <c r="H22" s="142"/>
      <c r="I22" s="15"/>
    </row>
    <row r="23" spans="1:9" ht="18.5" x14ac:dyDescent="0.45">
      <c r="A23" s="19" t="s">
        <v>163</v>
      </c>
      <c r="B23" s="14" t="str">
        <f>VLOOKUP(A23,[12]LISTADHERENT!$A$5:$K$43,3,0)</f>
        <v>MASSEUNGOUE DAGOBERT</v>
      </c>
      <c r="C23" s="108">
        <f>VLOOKUP(A23,[13]MVTRESUME25!$A$7:$Q$50,16,0)</f>
        <v>0</v>
      </c>
      <c r="D23" s="108">
        <f>VLOOKUP(A23,[13]MVTRESUME25!$A$7:$Q$50,10,0)</f>
        <v>0</v>
      </c>
      <c r="E23" s="108">
        <f t="shared" si="0"/>
        <v>0</v>
      </c>
      <c r="F23" s="110"/>
      <c r="G23" s="14"/>
      <c r="H23" s="142"/>
      <c r="I23" s="15"/>
    </row>
    <row r="24" spans="1:9" ht="18.5" x14ac:dyDescent="0.45">
      <c r="A24" s="19" t="s">
        <v>86</v>
      </c>
      <c r="B24" s="14" t="str">
        <f>VLOOKUP(A24,[12]LISTADHERENT!$A$5:$K$43,3,0)</f>
        <v>MBOGNING TUGMA GUY</v>
      </c>
      <c r="C24" s="108">
        <f>VLOOKUP(A24,[13]MVTRESUME25!$A$7:$Q$50,16,0)</f>
        <v>6000</v>
      </c>
      <c r="D24" s="108">
        <f>VLOOKUP(A24,[13]MVTRESUME25!$A$7:$Q$50,10,0)</f>
        <v>0</v>
      </c>
      <c r="E24" s="108">
        <f t="shared" si="0"/>
        <v>6000</v>
      </c>
      <c r="F24" s="110"/>
      <c r="G24" s="14"/>
      <c r="H24" s="142"/>
      <c r="I24" s="15"/>
    </row>
    <row r="25" spans="1:9" ht="18.5" x14ac:dyDescent="0.45">
      <c r="A25" s="19" t="s">
        <v>81</v>
      </c>
      <c r="B25" s="14" t="str">
        <f>VLOOKUP(A25,[12]LISTADHERENT!$A$5:$K$43,3,0)</f>
        <v>NANGUEN MARTIN</v>
      </c>
      <c r="C25" s="108">
        <f>VLOOKUP(A25,[13]MVTRESUME25!$A$7:$Q$50,16,0)</f>
        <v>3000</v>
      </c>
      <c r="D25" s="108">
        <f>VLOOKUP(A25,[13]MVTRESUME25!$A$7:$Q$50,10,0)</f>
        <v>0</v>
      </c>
      <c r="E25" s="108">
        <f t="shared" si="0"/>
        <v>3000</v>
      </c>
      <c r="F25" s="110"/>
      <c r="G25" s="14"/>
      <c r="H25" s="142"/>
      <c r="I25" s="15"/>
    </row>
    <row r="26" spans="1:9" ht="18.5" x14ac:dyDescent="0.45">
      <c r="A26" s="19" t="s">
        <v>73</v>
      </c>
      <c r="B26" s="14" t="str">
        <f>VLOOKUP(A26,[12]LISTADHERENT!$A$5:$K$43,3,0)</f>
        <v>NANKAM APPOLINAIRE</v>
      </c>
      <c r="C26" s="108">
        <f>VLOOKUP(A26,[13]MVTRESUME25!$A$7:$Q$50,16,0)</f>
        <v>0</v>
      </c>
      <c r="D26" s="108">
        <f>VLOOKUP(A26,[13]MVTRESUME25!$A$7:$Q$50,10,0)</f>
        <v>0</v>
      </c>
      <c r="E26" s="108">
        <f t="shared" si="0"/>
        <v>0</v>
      </c>
      <c r="F26" s="110"/>
      <c r="G26" s="14"/>
      <c r="H26" s="142"/>
      <c r="I26" s="15"/>
    </row>
    <row r="27" spans="1:9" ht="18.5" x14ac:dyDescent="0.45">
      <c r="A27" s="19" t="s">
        <v>74</v>
      </c>
      <c r="B27" s="14" t="str">
        <f>VLOOKUP(A27,[12]LISTADHERENT!$A$5:$K$43,3,0)</f>
        <v>NDJOMO ETIENNE</v>
      </c>
      <c r="C27" s="108">
        <f>VLOOKUP(A27,[13]MVTRESUME25!$A$7:$Q$50,16,0)</f>
        <v>0</v>
      </c>
      <c r="D27" s="108">
        <f>VLOOKUP(A27,[13]MVTRESUME25!$A$7:$Q$50,10,0)</f>
        <v>0</v>
      </c>
      <c r="E27" s="108">
        <f t="shared" si="0"/>
        <v>0</v>
      </c>
      <c r="F27" s="14"/>
      <c r="G27" s="14"/>
      <c r="H27" s="142"/>
      <c r="I27" s="15"/>
    </row>
    <row r="28" spans="1:9" ht="18.5" x14ac:dyDescent="0.45">
      <c r="A28" s="19" t="s">
        <v>75</v>
      </c>
      <c r="B28" s="14" t="str">
        <f>VLOOKUP(A28,[12]LISTADHERENT!$A$5:$K$43,3,0)</f>
        <v>NGONDIEP CLAUDE</v>
      </c>
      <c r="C28" s="108">
        <f>VLOOKUP(A28,[13]MVTRESUME25!$A$7:$Q$50,16,0)</f>
        <v>3000</v>
      </c>
      <c r="D28" s="108">
        <f>VLOOKUP(A28,[13]MVTRESUME25!$A$7:$Q$50,10,0)</f>
        <v>0</v>
      </c>
      <c r="E28" s="108">
        <f t="shared" si="0"/>
        <v>3000</v>
      </c>
      <c r="F28" s="14"/>
      <c r="G28" s="14"/>
      <c r="H28" s="142"/>
      <c r="I28" s="15"/>
    </row>
    <row r="29" spans="1:9" ht="18.5" x14ac:dyDescent="0.45">
      <c r="A29" s="19" t="s">
        <v>77</v>
      </c>
      <c r="B29" s="14" t="str">
        <f>VLOOKUP(A29,[12]LISTADHERENT!$A$5:$K$43,3,0)</f>
        <v>NGUIEMEGNI MATHIEU BLAISE</v>
      </c>
      <c r="C29" s="108">
        <f>VLOOKUP(A29,[13]MVTRESUME25!$A$7:$Q$50,16,0)</f>
        <v>0</v>
      </c>
      <c r="D29" s="108">
        <f>VLOOKUP(A29,[13]MVTRESUME25!$A$7:$Q$50,10,0)</f>
        <v>0</v>
      </c>
      <c r="E29" s="108">
        <f t="shared" si="0"/>
        <v>0</v>
      </c>
      <c r="F29" s="14"/>
      <c r="G29" s="14"/>
      <c r="H29" s="142"/>
      <c r="I29" s="15"/>
    </row>
    <row r="30" spans="1:9" ht="18.5" x14ac:dyDescent="0.45">
      <c r="A30" s="19" t="s">
        <v>78</v>
      </c>
      <c r="B30" s="14" t="str">
        <f>VLOOKUP(A30,[12]LISTADHERENT!$A$5:$K$43,3,0)</f>
        <v>NKAMGANG JUSTIN DEJOLIE</v>
      </c>
      <c r="C30" s="108">
        <f>VLOOKUP(A30,[13]MVTRESUME25!$A$7:$Q$50,16,0)</f>
        <v>3000</v>
      </c>
      <c r="D30" s="108">
        <f>VLOOKUP(A30,[13]MVTRESUME25!$A$7:$Q$50,10,0)</f>
        <v>0</v>
      </c>
      <c r="E30" s="108">
        <f t="shared" si="0"/>
        <v>3000</v>
      </c>
      <c r="F30" s="14"/>
      <c r="G30" s="14"/>
      <c r="H30" s="142"/>
      <c r="I30" s="15"/>
    </row>
    <row r="31" spans="1:9" ht="18.5" x14ac:dyDescent="0.45">
      <c r="A31" s="19" t="s">
        <v>104</v>
      </c>
      <c r="B31" s="14" t="str">
        <f>VLOOKUP(A31,[12]LISTADHERENT!$A$5:$K$43,3,0)</f>
        <v>NOUBE ETIENNE</v>
      </c>
      <c r="C31" s="108">
        <f>VLOOKUP(A31,[13]MVTRESUME25!$A$7:$Q$50,16,0)</f>
        <v>0</v>
      </c>
      <c r="D31" s="108">
        <f>VLOOKUP(A31,[13]MVTRESUME25!$A$7:$Q$50,10,0)</f>
        <v>0</v>
      </c>
      <c r="E31" s="108">
        <f t="shared" si="0"/>
        <v>0</v>
      </c>
      <c r="F31" s="14"/>
      <c r="G31" s="14"/>
      <c r="H31" s="142"/>
      <c r="I31" s="15"/>
    </row>
    <row r="32" spans="1:9" ht="18.5" x14ac:dyDescent="0.45">
      <c r="A32" s="19" t="s">
        <v>79</v>
      </c>
      <c r="B32" s="14" t="str">
        <f>VLOOKUP(A32,[12]LISTADHERENT!$A$5:$K$43,3,0)</f>
        <v>PATEGO NJOSSU GUSTAVE</v>
      </c>
      <c r="C32" s="108">
        <f>VLOOKUP(A32,[13]MVTRESUME25!$A$7:$Q$50,16,0)</f>
        <v>0</v>
      </c>
      <c r="D32" s="108">
        <f>VLOOKUP(A32,[13]MVTRESUME25!$A$7:$Q$50,10,0)</f>
        <v>0</v>
      </c>
      <c r="E32" s="108">
        <f t="shared" si="0"/>
        <v>0</v>
      </c>
      <c r="F32" s="14"/>
      <c r="G32" s="14"/>
      <c r="H32" s="142"/>
      <c r="I32" s="15"/>
    </row>
    <row r="33" spans="1:9" ht="18.5" x14ac:dyDescent="0.45">
      <c r="A33" s="19" t="s">
        <v>127</v>
      </c>
      <c r="B33" s="14" t="str">
        <f>VLOOKUP(A33,[12]LISTADHERENT!$A$5:$K$43,3,0)</f>
        <v>SEUMO POLYCARPE</v>
      </c>
      <c r="C33" s="108">
        <f>VLOOKUP(A33,[13]MVTRESUME25!$A$7:$Q$50,16,0)</f>
        <v>0</v>
      </c>
      <c r="D33" s="108">
        <f>VLOOKUP(A33,[13]MVTRESUME25!$A$7:$Q$50,10,0)</f>
        <v>0</v>
      </c>
      <c r="E33" s="108">
        <f t="shared" si="0"/>
        <v>0</v>
      </c>
      <c r="F33" s="14"/>
      <c r="G33" s="14"/>
      <c r="H33" s="142"/>
      <c r="I33" s="15"/>
    </row>
    <row r="34" spans="1:9" ht="18.5" x14ac:dyDescent="0.45">
      <c r="A34" s="19" t="s">
        <v>89</v>
      </c>
      <c r="B34" s="14" t="str">
        <f>VLOOKUP(A34,[12]LISTADHERENT!$A$5:$K$43,3,0)</f>
        <v>SIME BRICE</v>
      </c>
      <c r="C34" s="108">
        <f>VLOOKUP(A34,[13]MVTRESUME25!$A$7:$Q$50,16,0)</f>
        <v>6000</v>
      </c>
      <c r="D34" s="108">
        <f>VLOOKUP(A34,[13]MVTRESUME25!$A$7:$Q$50,10,0)</f>
        <v>0</v>
      </c>
      <c r="E34" s="108">
        <f t="shared" si="0"/>
        <v>6000</v>
      </c>
      <c r="F34" s="14"/>
      <c r="G34" s="14"/>
      <c r="H34" s="142"/>
      <c r="I34" s="15"/>
    </row>
    <row r="35" spans="1:9" ht="18.5" x14ac:dyDescent="0.45">
      <c r="A35" s="19" t="s">
        <v>182</v>
      </c>
      <c r="B35" s="14" t="str">
        <f>VLOOKUP(A35,[12]LISTADHERENT!$A$5:$K$43,3,0)</f>
        <v>SIMO FONGANG ERIC</v>
      </c>
      <c r="C35" s="108">
        <f>VLOOKUP(A35,[13]MVTRESUME25!$A$7:$Q$50,16,0)</f>
        <v>15000</v>
      </c>
      <c r="D35" s="108">
        <f>VLOOKUP(A35,[13]MVTRESUME25!$A$7:$Q$50,10,0)</f>
        <v>0</v>
      </c>
      <c r="E35" s="108">
        <f t="shared" si="0"/>
        <v>15000</v>
      </c>
      <c r="F35" s="14"/>
      <c r="G35" s="14"/>
      <c r="H35" s="142"/>
      <c r="I35" s="15"/>
    </row>
    <row r="36" spans="1:9" ht="18.5" x14ac:dyDescent="0.45">
      <c r="A36" s="19" t="s">
        <v>80</v>
      </c>
      <c r="B36" s="14" t="str">
        <f>VLOOKUP(A36,[12]LISTADHERENT!$A$5:$K$43,3,0)</f>
        <v>SIMO PIERRE</v>
      </c>
      <c r="C36" s="108">
        <f>VLOOKUP(A36,[13]MVTRESUME25!$A$7:$Q$50,16,0)</f>
        <v>0</v>
      </c>
      <c r="D36" s="108">
        <f>VLOOKUP(A36,[13]MVTRESUME25!$A$7:$Q$50,10,0)</f>
        <v>0</v>
      </c>
      <c r="E36" s="108">
        <f t="shared" si="0"/>
        <v>0</v>
      </c>
      <c r="F36" s="14"/>
      <c r="G36" s="14"/>
      <c r="H36" s="142"/>
      <c r="I36" s="15"/>
    </row>
    <row r="37" spans="1:9" ht="18.5" x14ac:dyDescent="0.45">
      <c r="A37" s="19" t="s">
        <v>82</v>
      </c>
      <c r="B37" s="14" t="str">
        <f>VLOOKUP(A37,[12]LISTADHERENT!$A$5:$K$43,3,0)</f>
        <v>TCHOUAMOU MATHIEU</v>
      </c>
      <c r="C37" s="108">
        <f>VLOOKUP(A37,[13]MVTRESUME25!$A$7:$Q$50,16,0)</f>
        <v>0</v>
      </c>
      <c r="D37" s="108">
        <f>VLOOKUP(A37,[13]MVTRESUME25!$A$7:$Q$50,10,0)</f>
        <v>0</v>
      </c>
      <c r="E37" s="108">
        <f t="shared" si="0"/>
        <v>0</v>
      </c>
      <c r="F37" s="14"/>
      <c r="G37" s="14"/>
      <c r="H37" s="142"/>
      <c r="I37" s="15"/>
    </row>
    <row r="38" spans="1:9" ht="18.5" x14ac:dyDescent="0.45">
      <c r="A38" s="19" t="s">
        <v>164</v>
      </c>
      <c r="B38" s="14" t="str">
        <f>VLOOKUP(A38,[12]LISTADHERENT!$A$5:$K$43,3,0)</f>
        <v>TCHOUATEU AUGUSTIN</v>
      </c>
      <c r="C38" s="108">
        <f>VLOOKUP(A38,[13]MVTRESUME25!$A$7:$Q$50,16,0)</f>
        <v>0</v>
      </c>
      <c r="D38" s="108">
        <f>VLOOKUP(A38,[13]MVTRESUME25!$A$7:$Q$50,10,0)</f>
        <v>0</v>
      </c>
      <c r="E38" s="108">
        <f t="shared" si="0"/>
        <v>0</v>
      </c>
      <c r="F38" s="14"/>
      <c r="G38" s="14"/>
      <c r="H38" s="142"/>
      <c r="I38" s="15"/>
    </row>
    <row r="39" spans="1:9" ht="18.5" x14ac:dyDescent="0.45">
      <c r="A39" s="19" t="s">
        <v>83</v>
      </c>
      <c r="B39" s="14" t="str">
        <f>VLOOKUP(A39,[12]LISTADHERENT!$A$5:$K$43,3,0)</f>
        <v>TCHOUTOU NANA CLAUDE</v>
      </c>
      <c r="C39" s="108">
        <f>VLOOKUP(A39,[13]MVTRESUME25!$A$7:$Q$50,16,0)</f>
        <v>0</v>
      </c>
      <c r="D39" s="108">
        <f>VLOOKUP(A39,[13]MVTRESUME25!$A$7:$Q$50,10,0)</f>
        <v>0</v>
      </c>
      <c r="E39" s="108">
        <f t="shared" si="0"/>
        <v>0</v>
      </c>
      <c r="F39" s="14"/>
      <c r="G39" s="14"/>
      <c r="H39" s="142"/>
      <c r="I39" s="15"/>
    </row>
    <row r="40" spans="1:9" ht="18.5" x14ac:dyDescent="0.45">
      <c r="A40" s="19" t="s">
        <v>183</v>
      </c>
      <c r="B40" s="14" t="str">
        <f>VLOOKUP(A40,[12]LISTADHERENT!$A$5:$K$43,3,0)</f>
        <v>TIEYAM ERNEST</v>
      </c>
      <c r="C40" s="108">
        <f>VLOOKUP(A40,[13]MVTRESUME25!$A$7:$Q$50,16,0)</f>
        <v>21000</v>
      </c>
      <c r="D40" s="108">
        <f>VLOOKUP(A40,[13]MVTRESUME25!$A$7:$Q$50,10,0)</f>
        <v>0</v>
      </c>
      <c r="E40" s="108">
        <f t="shared" si="0"/>
        <v>21000</v>
      </c>
      <c r="F40" s="14"/>
      <c r="G40" s="14"/>
      <c r="H40" s="142"/>
      <c r="I40" s="15"/>
    </row>
    <row r="41" spans="1:9" ht="18.5" x14ac:dyDescent="0.45">
      <c r="A41" s="19" t="s">
        <v>128</v>
      </c>
      <c r="B41" s="14" t="str">
        <f>VLOOKUP(A41,[12]LISTADHERENT!$A$5:$K$43,3,0)</f>
        <v>YANTCHOU GERVAIS</v>
      </c>
      <c r="C41" s="108">
        <f>VLOOKUP(A41,[13]MVTRESUME25!$A$7:$Q$50,16,0)</f>
        <v>0</v>
      </c>
      <c r="D41" s="108">
        <f>VLOOKUP(A41,[13]MVTRESUME25!$A$7:$Q$50,10,0)</f>
        <v>0</v>
      </c>
      <c r="E41" s="108">
        <f t="shared" si="0"/>
        <v>0</v>
      </c>
      <c r="F41" s="14"/>
      <c r="G41" s="14"/>
      <c r="H41" s="142"/>
      <c r="I41" s="15"/>
    </row>
    <row r="42" spans="1:9" ht="18.5" x14ac:dyDescent="0.45">
      <c r="A42" s="19" t="s">
        <v>84</v>
      </c>
      <c r="B42" s="14" t="str">
        <f>VLOOKUP(A42,[12]LISTADHERENT!$A$5:$K$43,3,0)</f>
        <v>YEPMOU JEAN JACQUES</v>
      </c>
      <c r="C42" s="108">
        <f>VLOOKUP(A42,[13]MVTRESUME25!$A$7:$Q$50,16,0)</f>
        <v>9000</v>
      </c>
      <c r="D42" s="108">
        <f>VLOOKUP(A42,[13]MVTRESUME25!$A$7:$Q$50,10,0)</f>
        <v>0</v>
      </c>
      <c r="E42" s="108">
        <f>C42+D42</f>
        <v>9000</v>
      </c>
      <c r="F42" s="14"/>
      <c r="G42" s="14"/>
      <c r="H42" s="142"/>
      <c r="I42" s="15"/>
    </row>
    <row r="43" spans="1:9" ht="18.5" x14ac:dyDescent="0.45">
      <c r="A43" s="19" t="s">
        <v>165</v>
      </c>
      <c r="B43" s="14" t="str">
        <f>VLOOKUP(A43,[12]LISTADHERENT!$A$5:$K$43,3,0)</f>
        <v>YIALA ALAIN OSCAR</v>
      </c>
      <c r="C43" s="108">
        <f>VLOOKUP(A43,[13]MVTRESUME25!$A$7:$Q$50,16,0)</f>
        <v>18000</v>
      </c>
      <c r="D43" s="108">
        <f>VLOOKUP(A43,[13]MVTRESUME25!$A$7:$Q$50,10,0)</f>
        <v>0</v>
      </c>
      <c r="E43" s="108">
        <f t="shared" ref="E43:E44" si="2">C43+D43</f>
        <v>18000</v>
      </c>
      <c r="F43" s="14"/>
      <c r="G43" s="14"/>
      <c r="H43" s="142"/>
      <c r="I43" s="15"/>
    </row>
    <row r="44" spans="1:9" ht="17.5" x14ac:dyDescent="0.35">
      <c r="A44" s="19" t="s">
        <v>85</v>
      </c>
      <c r="B44" s="14" t="str">
        <f>VLOOKUP(A44,[12]LISTADHERENT!$A$5:$K$43,3,0)</f>
        <v>YOUMBI EMMANUEL</v>
      </c>
      <c r="C44" s="108">
        <f>VLOOKUP(A44,[13]MVTRESUME25!$A$7:$Q$50,16,0)</f>
        <v>0</v>
      </c>
      <c r="D44" s="108">
        <f>VLOOKUP(A44,[13]MVTRESUME25!$A$7:$Q$50,10,0)</f>
        <v>0</v>
      </c>
      <c r="E44" s="108">
        <f t="shared" si="2"/>
        <v>0</v>
      </c>
      <c r="F44" s="14"/>
      <c r="G44" s="14"/>
      <c r="H44" s="14"/>
      <c r="I44" s="15"/>
    </row>
    <row r="45" spans="1:9" x14ac:dyDescent="0.35">
      <c r="A45" s="19"/>
      <c r="B45" s="14"/>
      <c r="C45" s="14"/>
      <c r="D45" s="14"/>
      <c r="E45" s="14"/>
      <c r="F45" s="14"/>
      <c r="G45" s="14"/>
      <c r="H45" s="14"/>
      <c r="I45" s="15"/>
    </row>
    <row r="46" spans="1:9" ht="18" thickBot="1" x14ac:dyDescent="0.4">
      <c r="A46" s="31" t="s">
        <v>23</v>
      </c>
      <c r="B46" s="57"/>
      <c r="C46" s="58">
        <f>SUM(C8:C44)</f>
        <v>104000</v>
      </c>
      <c r="D46" s="58">
        <f>SUM(D8:D44)</f>
        <v>5000</v>
      </c>
      <c r="E46" s="58">
        <f>SUM(E8:E44)</f>
        <v>109000</v>
      </c>
      <c r="F46" s="58"/>
      <c r="G46" s="58">
        <f t="shared" ref="G46:I46" si="3">SUM(G6:G44)</f>
        <v>0</v>
      </c>
      <c r="H46" s="58">
        <f t="shared" si="3"/>
        <v>0</v>
      </c>
      <c r="I46" s="59">
        <f t="shared" si="3"/>
        <v>0</v>
      </c>
    </row>
    <row r="47" spans="1:9" ht="15" thickTop="1" x14ac:dyDescent="0.35"/>
  </sheetData>
  <mergeCells count="4">
    <mergeCell ref="A4:H4"/>
    <mergeCell ref="A6:A7"/>
    <mergeCell ref="B6:B7"/>
    <mergeCell ref="F6:H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7"/>
  <sheetViews>
    <sheetView workbookViewId="0">
      <selection activeCell="C9" sqref="C9"/>
    </sheetView>
  </sheetViews>
  <sheetFormatPr baseColWidth="10" defaultRowHeight="14.5" x14ac:dyDescent="0.35"/>
  <cols>
    <col min="1" max="1" width="18" customWidth="1"/>
    <col min="2" max="2" width="31.81640625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35</v>
      </c>
      <c r="B4" s="164"/>
      <c r="C4" s="164"/>
      <c r="D4" s="164"/>
      <c r="E4" s="164"/>
      <c r="F4" s="164"/>
    </row>
    <row r="5" spans="1:6" ht="15" thickBot="1" x14ac:dyDescent="0.4">
      <c r="A5" s="70"/>
      <c r="B5" s="71"/>
      <c r="C5" s="72"/>
      <c r="D5" s="72"/>
      <c r="E5" s="73"/>
      <c r="F5" s="72"/>
    </row>
    <row r="6" spans="1:6" ht="15.75" customHeight="1" thickTop="1" x14ac:dyDescent="0.4">
      <c r="A6" s="169" t="s">
        <v>96</v>
      </c>
      <c r="B6" s="171" t="s">
        <v>52</v>
      </c>
      <c r="C6" s="106" t="s">
        <v>134</v>
      </c>
      <c r="D6" s="171" t="s">
        <v>131</v>
      </c>
      <c r="E6" s="171"/>
      <c r="F6" s="173"/>
    </row>
    <row r="7" spans="1:6" ht="21.75" customHeight="1" x14ac:dyDescent="0.35">
      <c r="A7" s="170"/>
      <c r="B7" s="172"/>
      <c r="C7" s="107" t="s">
        <v>130</v>
      </c>
      <c r="D7" s="107" t="s">
        <v>132</v>
      </c>
      <c r="E7" s="107" t="s">
        <v>133</v>
      </c>
      <c r="F7" s="26" t="s">
        <v>130</v>
      </c>
    </row>
    <row r="8" spans="1:6" ht="18.5" x14ac:dyDescent="0.45">
      <c r="A8" s="19" t="s">
        <v>90</v>
      </c>
      <c r="B8" s="14" t="str">
        <f>VLOOKUP($A$8,[12]LISTADHERENT!$A$5:$K$43,3,0)</f>
        <v>ASELBY</v>
      </c>
      <c r="C8" s="108"/>
      <c r="D8" s="110">
        <v>45658</v>
      </c>
      <c r="E8" s="14" t="s">
        <v>135</v>
      </c>
      <c r="F8" s="109">
        <f>[20]HISTOJANV25!$BQ$21</f>
        <v>371000</v>
      </c>
    </row>
    <row r="9" spans="1:6" ht="18.5" x14ac:dyDescent="0.45">
      <c r="A9" s="19" t="s">
        <v>62</v>
      </c>
      <c r="B9" s="14" t="str">
        <f>VLOOKUP(A9,[12]LISTADHERENT!$A$5:$K$43,3,0)</f>
        <v>BAKOP ACHILLE</v>
      </c>
      <c r="C9" s="108">
        <f>VLOOKUP(A9,[13]MVTRESUME25!$A$7:$AQ$41,31,0)</f>
        <v>0</v>
      </c>
      <c r="D9" s="110">
        <v>45809</v>
      </c>
      <c r="E9" s="14" t="s">
        <v>135</v>
      </c>
      <c r="F9" s="109">
        <v>5000000</v>
      </c>
    </row>
    <row r="10" spans="1:6" ht="18.5" x14ac:dyDescent="0.45">
      <c r="A10" s="19" t="s">
        <v>63</v>
      </c>
      <c r="B10" s="14" t="str">
        <f>VLOOKUP(A10,[12]LISTADHERENT!$A$5:$K$43,3,0)</f>
        <v>BOUTCHOUANG WILLIAM</v>
      </c>
      <c r="C10" s="108">
        <f>VLOOKUP(A10,[13]MVTRESUME25!$A$7:$AQ$41,31,0)</f>
        <v>0</v>
      </c>
      <c r="D10" s="110">
        <v>45931</v>
      </c>
      <c r="E10" s="14" t="s">
        <v>135</v>
      </c>
      <c r="F10" s="109">
        <v>1400000</v>
      </c>
    </row>
    <row r="11" spans="1:6" ht="18.5" x14ac:dyDescent="0.45">
      <c r="A11" s="19" t="s">
        <v>64</v>
      </c>
      <c r="B11" s="14" t="str">
        <f>VLOOKUP(A11,[12]LISTADHERENT!$A$5:$K$43,3,0)</f>
        <v xml:space="preserve">DJOMO JEAN PAUL </v>
      </c>
      <c r="C11" s="108">
        <f>VLOOKUP(A11,[13]MVTRESUME25!$A$7:$AQ$41,31,0)</f>
        <v>0</v>
      </c>
      <c r="D11" s="110">
        <v>45932</v>
      </c>
      <c r="E11" s="14" t="s">
        <v>135</v>
      </c>
      <c r="F11" s="109">
        <v>100000</v>
      </c>
    </row>
    <row r="12" spans="1:6" ht="17.5" x14ac:dyDescent="0.35">
      <c r="A12" s="19" t="s">
        <v>103</v>
      </c>
      <c r="B12" s="14" t="str">
        <f>VLOOKUP(A12,[12]LISTADHERENT!$A$5:$K$43,3,0)</f>
        <v>DJOMOU TCHAPDA</v>
      </c>
      <c r="C12" s="108">
        <f>VLOOKUP(A12,[13]MVTRESUME25!$A$7:$AQ$41,31,0)</f>
        <v>0</v>
      </c>
      <c r="D12" s="14"/>
      <c r="E12" s="14"/>
      <c r="F12" s="15"/>
    </row>
    <row r="13" spans="1:6" ht="17.5" x14ac:dyDescent="0.35">
      <c r="A13" s="19" t="s">
        <v>65</v>
      </c>
      <c r="B13" s="14" t="str">
        <f>VLOOKUP(A13,[12]LISTADHERENT!$A$5:$K$43,3,0)</f>
        <v>DJOUKWE NANGUEN GUY BLAISE</v>
      </c>
      <c r="C13" s="108">
        <f>VLOOKUP(A13,[13]MVTRESUME25!$A$7:$AQ$41,31,0)</f>
        <v>0</v>
      </c>
      <c r="D13" s="14"/>
      <c r="E13" s="14"/>
      <c r="F13" s="15"/>
    </row>
    <row r="14" spans="1:6" ht="17.5" x14ac:dyDescent="0.35">
      <c r="A14" s="19" t="s">
        <v>66</v>
      </c>
      <c r="B14" s="14" t="str">
        <f>VLOOKUP(A14,[12]LISTADHERENT!$A$5:$K$43,3,0)</f>
        <v>DJUOMBESSY ANTOINE</v>
      </c>
      <c r="C14" s="108">
        <f>VLOOKUP(A14,[13]MVTRESUME25!$A$7:$AQ$41,31,0)</f>
        <v>0</v>
      </c>
      <c r="D14" s="14"/>
      <c r="E14" s="14"/>
      <c r="F14" s="15"/>
    </row>
    <row r="15" spans="1:6" ht="17.5" x14ac:dyDescent="0.35">
      <c r="A15" s="19" t="s">
        <v>87</v>
      </c>
      <c r="B15" s="14" t="str">
        <f>VLOOKUP(A15,[12]LISTADHERENT!$A$5:$K$43,3,0)</f>
        <v>DOMOU FABIEN</v>
      </c>
      <c r="C15" s="108">
        <f>VLOOKUP(A15,[13]MVTRESUME25!$A$7:$AQ$41,31,0)</f>
        <v>0</v>
      </c>
      <c r="D15" s="14"/>
      <c r="E15" s="14"/>
      <c r="F15" s="15"/>
    </row>
    <row r="16" spans="1:6" ht="17.5" x14ac:dyDescent="0.35">
      <c r="A16" s="19" t="s">
        <v>67</v>
      </c>
      <c r="B16" s="14" t="str">
        <f>VLOOKUP(A16,[12]LISTADHERENT!$A$5:$K$43,3,0)</f>
        <v>DONHOU DAVID</v>
      </c>
      <c r="C16" s="108">
        <f>VLOOKUP(A16,[13]MVTRESUME25!$A$7:$AQ$41,31,0)</f>
        <v>0</v>
      </c>
      <c r="D16" s="14"/>
      <c r="E16" s="14"/>
      <c r="F16" s="15"/>
    </row>
    <row r="17" spans="1:6" ht="17.5" x14ac:dyDescent="0.35">
      <c r="A17" s="19" t="s">
        <v>181</v>
      </c>
      <c r="B17" s="14" t="str">
        <f>VLOOKUP(A17,[12]LISTADHERENT!$A$5:$K$43,3,0)</f>
        <v>FAMPOU PAUL</v>
      </c>
      <c r="C17" s="108">
        <f>VLOOKUP(A17,[13]MVTRESUME25!$A$7:$AQ$41,31,0)</f>
        <v>175000</v>
      </c>
      <c r="D17" s="14"/>
      <c r="E17" s="14"/>
      <c r="F17" s="15"/>
    </row>
    <row r="18" spans="1:6" ht="17.5" x14ac:dyDescent="0.35">
      <c r="A18" s="19" t="s">
        <v>68</v>
      </c>
      <c r="B18" s="14" t="str">
        <f>VLOOKUP(A18,[12]LISTADHERENT!$A$5:$K$43,3,0)</f>
        <v>HENGUE PAUL OMER</v>
      </c>
      <c r="C18" s="108">
        <f>VLOOKUP(A18,[13]MVTRESUME25!$A$7:$AQ$41,31,0)</f>
        <v>0</v>
      </c>
      <c r="D18" s="14"/>
      <c r="E18" s="14"/>
      <c r="F18" s="15"/>
    </row>
    <row r="19" spans="1:6" ht="17.5" x14ac:dyDescent="0.35">
      <c r="A19" s="19" t="s">
        <v>69</v>
      </c>
      <c r="B19" s="14" t="str">
        <f>VLOOKUP(A19,[12]LISTADHERENT!$A$5:$K$43,3,0)</f>
        <v>HOTCHO BENJAMIN</v>
      </c>
      <c r="C19" s="108">
        <f>VLOOKUP(A19,[13]MVTRESUME25!$A$7:$AQ$41,31,0)</f>
        <v>0</v>
      </c>
      <c r="D19" s="14"/>
      <c r="E19" s="14"/>
      <c r="F19" s="15"/>
    </row>
    <row r="20" spans="1:6" ht="17.5" x14ac:dyDescent="0.35">
      <c r="A20" s="19" t="s">
        <v>70</v>
      </c>
      <c r="B20" s="14" t="str">
        <f>VLOOKUP(A20,[12]LISTADHERENT!$A$5:$K$43,3,0)</f>
        <v>KOUAMOU MOISE</v>
      </c>
      <c r="C20" s="108">
        <f>VLOOKUP(A20,[13]MVTRESUME25!$A$7:$AQ$41,31,0)</f>
        <v>0</v>
      </c>
      <c r="D20" s="14"/>
      <c r="E20" s="14"/>
      <c r="F20" s="15"/>
    </row>
    <row r="21" spans="1:6" ht="17.5" x14ac:dyDescent="0.35">
      <c r="A21" s="19" t="s">
        <v>71</v>
      </c>
      <c r="B21" s="14" t="str">
        <f>VLOOKUP(A21,[12]LISTADHERENT!$A$5:$K$43,3,0)</f>
        <v>KOUATCHO MESSACK</v>
      </c>
      <c r="C21" s="108">
        <f>VLOOKUP(A21,[13]MVTRESUME25!$A$7:$AQ$41,31,0)</f>
        <v>0</v>
      </c>
      <c r="D21" s="14"/>
      <c r="E21" s="14"/>
      <c r="F21" s="15"/>
    </row>
    <row r="22" spans="1:6" ht="17.5" x14ac:dyDescent="0.35">
      <c r="A22" s="19" t="s">
        <v>72</v>
      </c>
      <c r="B22" s="14" t="str">
        <f>VLOOKUP(A22,[12]LISTADHERENT!$A$5:$K$43,3,0)</f>
        <v>LOWE JEAN</v>
      </c>
      <c r="C22" s="108">
        <f>VLOOKUP(A22,[13]MVTRESUME25!$A$7:$AQ$41,31,0)</f>
        <v>0</v>
      </c>
      <c r="D22" s="14"/>
      <c r="E22" s="14"/>
      <c r="F22" s="15"/>
    </row>
    <row r="23" spans="1:6" ht="17.5" x14ac:dyDescent="0.35">
      <c r="A23" s="19" t="s">
        <v>163</v>
      </c>
      <c r="B23" s="14" t="str">
        <f>VLOOKUP(A23,[12]LISTADHERENT!$A$5:$K$43,3,0)</f>
        <v>MASSEUNGOUE DAGOBERT</v>
      </c>
      <c r="C23" s="108">
        <f>VLOOKUP(A23,[13]MVTRESUME25!$A$7:$AQ$41,31,0)</f>
        <v>0</v>
      </c>
      <c r="D23" s="14"/>
      <c r="E23" s="14"/>
      <c r="F23" s="15"/>
    </row>
    <row r="24" spans="1:6" ht="17.5" x14ac:dyDescent="0.35">
      <c r="A24" s="19" t="s">
        <v>86</v>
      </c>
      <c r="B24" s="14" t="str">
        <f>VLOOKUP(A24,[12]LISTADHERENT!$A$5:$K$43,3,0)</f>
        <v>MBOGNING TUGMA GUY</v>
      </c>
      <c r="C24" s="108">
        <f>VLOOKUP(A24,[13]MVTRESUME25!$A$7:$AQ$41,31,0)</f>
        <v>0</v>
      </c>
      <c r="D24" s="14"/>
      <c r="E24" s="14"/>
      <c r="F24" s="15"/>
    </row>
    <row r="25" spans="1:6" ht="17.5" x14ac:dyDescent="0.35">
      <c r="A25" s="19" t="s">
        <v>81</v>
      </c>
      <c r="B25" s="14" t="str">
        <f>VLOOKUP(A25,[12]LISTADHERENT!$A$5:$K$43,3,0)</f>
        <v>NANGUEN MARTIN</v>
      </c>
      <c r="C25" s="108">
        <f>VLOOKUP(A25,[13]MVTRESUME25!$A$7:$AQ$41,31,0)</f>
        <v>0</v>
      </c>
      <c r="D25" s="14"/>
      <c r="E25" s="14"/>
      <c r="F25" s="15"/>
    </row>
    <row r="26" spans="1:6" ht="17.5" x14ac:dyDescent="0.35">
      <c r="A26" s="19" t="s">
        <v>73</v>
      </c>
      <c r="B26" s="14" t="str">
        <f>VLOOKUP(A26,[12]LISTADHERENT!$A$5:$K$43,3,0)</f>
        <v>NANKAM APPOLINAIRE</v>
      </c>
      <c r="C26" s="108">
        <f>VLOOKUP(A26,[13]MVTRESUME25!$A$7:$AQ$41,31,0)</f>
        <v>0</v>
      </c>
      <c r="D26" s="14"/>
      <c r="E26" s="14"/>
      <c r="F26" s="15"/>
    </row>
    <row r="27" spans="1:6" ht="17.5" x14ac:dyDescent="0.35">
      <c r="A27" s="19" t="s">
        <v>74</v>
      </c>
      <c r="B27" s="14" t="str">
        <f>VLOOKUP(A27,[12]LISTADHERENT!$A$5:$K$43,3,0)</f>
        <v>NDJOMO ETIENNE</v>
      </c>
      <c r="C27" s="108">
        <f>VLOOKUP(A27,[13]MVTRESUME25!$A$7:$AQ$41,31,0)</f>
        <v>0</v>
      </c>
      <c r="D27" s="14"/>
      <c r="E27" s="14"/>
      <c r="F27" s="15"/>
    </row>
    <row r="28" spans="1:6" ht="17.5" x14ac:dyDescent="0.35">
      <c r="A28" s="19" t="s">
        <v>75</v>
      </c>
      <c r="B28" s="14" t="str">
        <f>VLOOKUP(A28,[12]LISTADHERENT!$A$5:$K$43,3,0)</f>
        <v>NGONDIEP CLAUDE</v>
      </c>
      <c r="C28" s="108">
        <f>VLOOKUP(A28,[13]MVTRESUME25!$A$7:$AQ$41,31,0)</f>
        <v>0</v>
      </c>
      <c r="D28" s="14"/>
      <c r="E28" s="14"/>
      <c r="F28" s="15"/>
    </row>
    <row r="29" spans="1:6" ht="17.5" x14ac:dyDescent="0.35">
      <c r="A29" s="19" t="s">
        <v>77</v>
      </c>
      <c r="B29" s="14" t="str">
        <f>VLOOKUP(A29,[12]LISTADHERENT!$A$5:$K$43,3,0)</f>
        <v>NGUIEMEGNI MATHIEU BLAISE</v>
      </c>
      <c r="C29" s="108">
        <f>VLOOKUP(A29,[13]MVTRESUME25!$A$7:$AQ$41,31,0)</f>
        <v>0</v>
      </c>
      <c r="D29" s="14"/>
      <c r="E29" s="14"/>
      <c r="F29" s="15"/>
    </row>
    <row r="30" spans="1:6" ht="17.5" x14ac:dyDescent="0.35">
      <c r="A30" s="19" t="s">
        <v>78</v>
      </c>
      <c r="B30" s="14" t="str">
        <f>VLOOKUP(A30,[12]LISTADHERENT!$A$5:$K$43,3,0)</f>
        <v>NKAMGANG JUSTIN DEJOLIE</v>
      </c>
      <c r="C30" s="108">
        <f>VLOOKUP(A30,[13]MVTRESUME25!$A$7:$AQ$41,31,0)</f>
        <v>0</v>
      </c>
      <c r="D30" s="14"/>
      <c r="E30" s="14"/>
      <c r="F30" s="15"/>
    </row>
    <row r="31" spans="1:6" ht="17.5" x14ac:dyDescent="0.35">
      <c r="A31" s="19" t="s">
        <v>104</v>
      </c>
      <c r="B31" s="14" t="str">
        <f>VLOOKUP(A31,[12]LISTADHERENT!$A$5:$K$43,3,0)</f>
        <v>NOUBE ETIENNE</v>
      </c>
      <c r="C31" s="108">
        <f>VLOOKUP(A31,[13]MVTRESUME25!$A$7:$AQ$41,31,0)</f>
        <v>0</v>
      </c>
      <c r="D31" s="14"/>
      <c r="E31" s="14"/>
      <c r="F31" s="15"/>
    </row>
    <row r="32" spans="1:6" ht="17.5" x14ac:dyDescent="0.35">
      <c r="A32" s="19" t="s">
        <v>79</v>
      </c>
      <c r="B32" s="14" t="str">
        <f>VLOOKUP(A32,[12]LISTADHERENT!$A$5:$K$43,3,0)</f>
        <v>PATEGO NJOSSU GUSTAVE</v>
      </c>
      <c r="C32" s="108">
        <f>VLOOKUP(A32,[13]MVTRESUME25!$A$7:$AQ$41,31,0)</f>
        <v>0</v>
      </c>
      <c r="D32" s="14"/>
      <c r="E32" s="14"/>
      <c r="F32" s="15"/>
    </row>
    <row r="33" spans="1:6" ht="17.5" x14ac:dyDescent="0.35">
      <c r="A33" s="19" t="s">
        <v>127</v>
      </c>
      <c r="B33" s="14" t="str">
        <f>VLOOKUP(A33,[12]LISTADHERENT!$A$5:$K$43,3,0)</f>
        <v>SEUMO POLYCARPE</v>
      </c>
      <c r="C33" s="108">
        <f>VLOOKUP(A33,[13]MVTRESUME25!$A$7:$AQ$41,31,0)</f>
        <v>0</v>
      </c>
      <c r="D33" s="14"/>
      <c r="E33" s="14"/>
      <c r="F33" s="15"/>
    </row>
    <row r="34" spans="1:6" ht="17.5" x14ac:dyDescent="0.35">
      <c r="A34" s="19" t="s">
        <v>89</v>
      </c>
      <c r="B34" s="14" t="str">
        <f>VLOOKUP(A34,[12]LISTADHERENT!$A$5:$K$43,3,0)</f>
        <v>SIME BRICE</v>
      </c>
      <c r="C34" s="108">
        <f>VLOOKUP(A34,[13]MVTRESUME25!$A$7:$AQ$41,31,0)</f>
        <v>0</v>
      </c>
      <c r="D34" s="14"/>
      <c r="E34" s="14"/>
      <c r="F34" s="15"/>
    </row>
    <row r="35" spans="1:6" ht="17.5" x14ac:dyDescent="0.35">
      <c r="A35" s="19" t="s">
        <v>182</v>
      </c>
      <c r="B35" s="14" t="str">
        <f>VLOOKUP(A35,[12]LISTADHERENT!$A$5:$K$43,3,0)</f>
        <v>SIMO FONGANG ERIC</v>
      </c>
      <c r="C35" s="108">
        <f>VLOOKUP(A35,[13]MVTRESUME25!$A$7:$AQ$41,31,0)</f>
        <v>300000</v>
      </c>
      <c r="D35" s="14"/>
      <c r="E35" s="14"/>
      <c r="F35" s="15"/>
    </row>
    <row r="36" spans="1:6" ht="17.5" x14ac:dyDescent="0.35">
      <c r="A36" s="19" t="s">
        <v>80</v>
      </c>
      <c r="B36" s="14" t="str">
        <f>VLOOKUP(A36,[12]LISTADHERENT!$A$5:$K$43,3,0)</f>
        <v>SIMO PIERRE</v>
      </c>
      <c r="C36" s="108">
        <f>VLOOKUP(A36,[13]MVTRESUME25!$A$7:$AQ$41,31,0)</f>
        <v>0</v>
      </c>
      <c r="D36" s="14"/>
      <c r="E36" s="14"/>
      <c r="F36" s="15"/>
    </row>
    <row r="37" spans="1:6" ht="17.5" x14ac:dyDescent="0.35">
      <c r="A37" s="19" t="s">
        <v>82</v>
      </c>
      <c r="B37" s="14" t="str">
        <f>VLOOKUP(A37,[12]LISTADHERENT!$A$5:$K$43,3,0)</f>
        <v>TCHOUAMOU MATHIEU</v>
      </c>
      <c r="C37" s="108">
        <f>VLOOKUP(A37,[13]MVTRESUME25!$A$7:$AQ$41,31,0)</f>
        <v>0</v>
      </c>
      <c r="D37" s="14"/>
      <c r="E37" s="14"/>
      <c r="F37" s="15"/>
    </row>
    <row r="38" spans="1:6" ht="17.5" x14ac:dyDescent="0.35">
      <c r="A38" s="19" t="s">
        <v>164</v>
      </c>
      <c r="B38" s="14" t="str">
        <f>VLOOKUP(A38,[12]LISTADHERENT!$A$5:$K$43,3,0)</f>
        <v>TCHOUATEU AUGUSTIN</v>
      </c>
      <c r="C38" s="108">
        <f>VLOOKUP(A38,[13]MVTRESUME25!$A$7:$AQ$41,31,0)</f>
        <v>0</v>
      </c>
      <c r="D38" s="14"/>
      <c r="E38" s="14"/>
      <c r="F38" s="15"/>
    </row>
    <row r="39" spans="1:6" ht="17.5" x14ac:dyDescent="0.35">
      <c r="A39" s="19" t="s">
        <v>83</v>
      </c>
      <c r="B39" s="14" t="str">
        <f>VLOOKUP(A39,[12]LISTADHERENT!$A$5:$K$43,3,0)</f>
        <v>TCHOUTOU NANA CLAUDE</v>
      </c>
      <c r="C39" s="108">
        <f>VLOOKUP(A39,[13]MVTRESUME25!$A$7:$AQ$41,31,0)</f>
        <v>0</v>
      </c>
      <c r="D39" s="14"/>
      <c r="E39" s="14"/>
      <c r="F39" s="15"/>
    </row>
    <row r="40" spans="1:6" ht="17.5" x14ac:dyDescent="0.35">
      <c r="A40" s="19" t="s">
        <v>183</v>
      </c>
      <c r="B40" s="14" t="str">
        <f>VLOOKUP(A40,[12]LISTADHERENT!$A$5:$K$43,3,0)</f>
        <v>TIEYAM ERNEST</v>
      </c>
      <c r="C40" s="108">
        <f>VLOOKUP(A40,[13]MVTRESUME25!$A$7:$AQ$41,31,0)</f>
        <v>0</v>
      </c>
      <c r="D40" s="14"/>
      <c r="E40" s="14"/>
      <c r="F40" s="15"/>
    </row>
    <row r="41" spans="1:6" ht="17.5" x14ac:dyDescent="0.35">
      <c r="A41" s="19" t="s">
        <v>128</v>
      </c>
      <c r="B41" s="14" t="str">
        <f>VLOOKUP(A41,[12]LISTADHERENT!$A$5:$K$43,3,0)</f>
        <v>YANTCHOU GERVAIS</v>
      </c>
      <c r="C41" s="108">
        <f>VLOOKUP(A41,[13]MVTRESUME25!$A$7:$AQ$41,31,0)</f>
        <v>0</v>
      </c>
      <c r="D41" s="14"/>
      <c r="E41" s="14"/>
      <c r="F41" s="15"/>
    </row>
    <row r="42" spans="1:6" ht="17.5" x14ac:dyDescent="0.35">
      <c r="A42" s="19" t="s">
        <v>84</v>
      </c>
      <c r="B42" s="14" t="str">
        <f>VLOOKUP(A42,[12]LISTADHERENT!$A$5:$K$43,3,0)</f>
        <v>YEPMOU JEAN JACQUES</v>
      </c>
      <c r="C42" s="108">
        <f>VLOOKUP(A42,[13]MVTRESUME25!$A$7:$AQ$41,31,0)</f>
        <v>0</v>
      </c>
      <c r="D42" s="14"/>
      <c r="E42" s="14"/>
      <c r="F42" s="15"/>
    </row>
    <row r="43" spans="1:6" ht="17.5" x14ac:dyDescent="0.35">
      <c r="A43" s="19" t="s">
        <v>165</v>
      </c>
      <c r="B43" s="14" t="str">
        <f>VLOOKUP(A43,[12]LISTADHERENT!$A$5:$K$43,3,0)</f>
        <v>YIALA ALAIN OSCAR</v>
      </c>
      <c r="C43" s="108">
        <f>VLOOKUP(A43,[13]MVTRESUME25!$A$7:$AQ$41,31,0)</f>
        <v>0</v>
      </c>
      <c r="D43" s="14"/>
      <c r="E43" s="14"/>
      <c r="F43" s="15"/>
    </row>
    <row r="44" spans="1:6" ht="17.5" x14ac:dyDescent="0.35">
      <c r="A44" s="19" t="s">
        <v>85</v>
      </c>
      <c r="B44" s="14" t="str">
        <f>VLOOKUP(A44,[12]LISTADHERENT!$A$5:$K$43,3,0)</f>
        <v>YOUMBI EMMANUEL</v>
      </c>
      <c r="C44" s="108">
        <f>VLOOKUP(A44,[13]MVTRESUME25!$A$7:$AQ$42,31,0)</f>
        <v>0</v>
      </c>
      <c r="D44" s="14"/>
      <c r="E44" s="14"/>
      <c r="F44" s="15"/>
    </row>
    <row r="45" spans="1:6" ht="17.5" x14ac:dyDescent="0.35">
      <c r="A45" s="13"/>
      <c r="B45" s="14"/>
      <c r="C45" s="108"/>
      <c r="D45" s="14"/>
      <c r="E45" s="14"/>
      <c r="F45" s="15"/>
    </row>
    <row r="46" spans="1:6" ht="18" thickBot="1" x14ac:dyDescent="0.4">
      <c r="A46" s="31" t="s">
        <v>23</v>
      </c>
      <c r="B46" s="57"/>
      <c r="C46" s="58">
        <f>SUM(C8:C45)</f>
        <v>475000</v>
      </c>
      <c r="D46" s="58"/>
      <c r="E46" s="58">
        <f>SUM(E6:E45)</f>
        <v>0</v>
      </c>
      <c r="F46" s="59">
        <f>SUM(F6:F45)</f>
        <v>6871000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CB8-6A01-4822-8372-3C4C962265D6}">
  <dimension ref="A1:F47"/>
  <sheetViews>
    <sheetView workbookViewId="0">
      <selection activeCell="F8" sqref="F8"/>
    </sheetView>
  </sheetViews>
  <sheetFormatPr baseColWidth="10" defaultRowHeight="14.5" x14ac:dyDescent="0.35"/>
  <cols>
    <col min="1" max="1" width="18" customWidth="1"/>
    <col min="2" max="2" width="31.81640625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192</v>
      </c>
      <c r="B4" s="164"/>
      <c r="C4" s="164"/>
      <c r="D4" s="164"/>
      <c r="E4" s="164"/>
      <c r="F4" s="164"/>
    </row>
    <row r="5" spans="1:6" ht="15" thickBot="1" x14ac:dyDescent="0.4">
      <c r="A5" s="70"/>
      <c r="B5" s="71"/>
      <c r="C5" s="72"/>
      <c r="D5" s="72"/>
      <c r="E5" s="73"/>
      <c r="F5" s="72"/>
    </row>
    <row r="6" spans="1:6" ht="15.75" customHeight="1" thickTop="1" x14ac:dyDescent="0.4">
      <c r="A6" s="169" t="s">
        <v>96</v>
      </c>
      <c r="B6" s="171" t="s">
        <v>52</v>
      </c>
      <c r="C6" s="106" t="s">
        <v>134</v>
      </c>
      <c r="D6" s="171" t="s">
        <v>131</v>
      </c>
      <c r="E6" s="171"/>
      <c r="F6" s="173"/>
    </row>
    <row r="7" spans="1:6" ht="21.75" customHeight="1" x14ac:dyDescent="0.35">
      <c r="A7" s="170"/>
      <c r="B7" s="172"/>
      <c r="C7" s="107" t="s">
        <v>130</v>
      </c>
      <c r="D7" s="107" t="s">
        <v>132</v>
      </c>
      <c r="E7" s="107" t="s">
        <v>133</v>
      </c>
      <c r="F7" s="26" t="s">
        <v>130</v>
      </c>
    </row>
    <row r="8" spans="1:6" ht="18.5" x14ac:dyDescent="0.45">
      <c r="A8" s="19" t="s">
        <v>90</v>
      </c>
      <c r="B8" s="14" t="str">
        <f>VLOOKUP($A$8,[12]LISTADHERENT!$A$5:$K$43,3,0)</f>
        <v>ASELBY</v>
      </c>
      <c r="C8" s="108"/>
      <c r="D8" s="110">
        <v>45658</v>
      </c>
      <c r="E8" s="14" t="s">
        <v>192</v>
      </c>
      <c r="F8" s="109">
        <f>[20]HISTOJANV25!$BQ$22</f>
        <v>30000</v>
      </c>
    </row>
    <row r="9" spans="1:6" ht="18.5" x14ac:dyDescent="0.45">
      <c r="A9" s="19" t="s">
        <v>62</v>
      </c>
      <c r="B9" s="14" t="str">
        <f>VLOOKUP(A9,[12]LISTADHERENT!$A$5:$K$43,3,0)</f>
        <v>BAKOP ACHILLE</v>
      </c>
      <c r="C9" s="108">
        <f>VLOOKUP(A9,[13]MVTRESUME25!$A$7:$AQ$41,31,0)</f>
        <v>0</v>
      </c>
      <c r="D9" s="110"/>
      <c r="E9" s="14"/>
      <c r="F9" s="109"/>
    </row>
    <row r="10" spans="1:6" ht="17.5" x14ac:dyDescent="0.35">
      <c r="A10" s="19" t="s">
        <v>63</v>
      </c>
      <c r="B10" s="14" t="str">
        <f>VLOOKUP(A10,[12]LISTADHERENT!$A$5:$K$43,3,0)</f>
        <v>BOUTCHOUANG WILLIAM</v>
      </c>
      <c r="C10" s="108">
        <f>VLOOKUP(A10,[13]MVTRESUME25!$A$7:$AQ$41,31,0)</f>
        <v>0</v>
      </c>
      <c r="D10" s="14"/>
      <c r="E10" s="14"/>
      <c r="F10" s="15"/>
    </row>
    <row r="11" spans="1:6" ht="17.5" x14ac:dyDescent="0.35">
      <c r="A11" s="19" t="s">
        <v>64</v>
      </c>
      <c r="B11" s="14" t="str">
        <f>VLOOKUP(A11,[12]LISTADHERENT!$A$5:$K$43,3,0)</f>
        <v xml:space="preserve">DJOMO JEAN PAUL </v>
      </c>
      <c r="C11" s="108">
        <f>VLOOKUP(A11,[13]MVTRESUME25!$A$7:$AQ$41,31,0)</f>
        <v>0</v>
      </c>
      <c r="D11" s="14"/>
      <c r="E11" s="14"/>
      <c r="F11" s="15"/>
    </row>
    <row r="12" spans="1:6" ht="17.5" x14ac:dyDescent="0.35">
      <c r="A12" s="19" t="s">
        <v>103</v>
      </c>
      <c r="B12" s="14" t="str">
        <f>VLOOKUP(A12,[12]LISTADHERENT!$A$5:$K$43,3,0)</f>
        <v>DJOMOU TCHAPDA</v>
      </c>
      <c r="C12" s="108">
        <f>VLOOKUP(A12,[13]MVTRESUME25!$A$7:$AQ$41,31,0)</f>
        <v>0</v>
      </c>
      <c r="D12" s="14"/>
      <c r="E12" s="14"/>
      <c r="F12" s="15"/>
    </row>
    <row r="13" spans="1:6" ht="17.5" x14ac:dyDescent="0.35">
      <c r="A13" s="19" t="s">
        <v>65</v>
      </c>
      <c r="B13" s="14" t="str">
        <f>VLOOKUP(A13,[12]LISTADHERENT!$A$5:$K$43,3,0)</f>
        <v>DJOUKWE NANGUEN GUY BLAISE</v>
      </c>
      <c r="C13" s="108">
        <f>VLOOKUP(A13,[13]MVTRESUME25!$A$7:$AQ$41,31,0)</f>
        <v>0</v>
      </c>
      <c r="D13" s="14"/>
      <c r="E13" s="14"/>
      <c r="F13" s="15"/>
    </row>
    <row r="14" spans="1:6" ht="17.5" x14ac:dyDescent="0.35">
      <c r="A14" s="19" t="s">
        <v>66</v>
      </c>
      <c r="B14" s="14" t="str">
        <f>VLOOKUP(A14,[12]LISTADHERENT!$A$5:$K$43,3,0)</f>
        <v>DJUOMBESSY ANTOINE</v>
      </c>
      <c r="C14" s="108">
        <f>VLOOKUP(A14,[13]MVTRESUME25!$A$7:$AQ$41,31,0)</f>
        <v>0</v>
      </c>
      <c r="D14" s="14"/>
      <c r="E14" s="14"/>
      <c r="F14" s="15"/>
    </row>
    <row r="15" spans="1:6" ht="17.5" x14ac:dyDescent="0.35">
      <c r="A15" s="19" t="s">
        <v>87</v>
      </c>
      <c r="B15" s="14" t="str">
        <f>VLOOKUP(A15,[12]LISTADHERENT!$A$5:$K$43,3,0)</f>
        <v>DOMOU FABIEN</v>
      </c>
      <c r="C15" s="108">
        <f>VLOOKUP(A15,[13]MVTRESUME25!$A$7:$AQ$41,31,0)</f>
        <v>0</v>
      </c>
      <c r="D15" s="14"/>
      <c r="E15" s="14"/>
      <c r="F15" s="15"/>
    </row>
    <row r="16" spans="1:6" ht="17.5" x14ac:dyDescent="0.35">
      <c r="A16" s="19" t="s">
        <v>67</v>
      </c>
      <c r="B16" s="14" t="str">
        <f>VLOOKUP(A16,[12]LISTADHERENT!$A$5:$K$43,3,0)</f>
        <v>DONHOU DAVID</v>
      </c>
      <c r="C16" s="108">
        <f>VLOOKUP(A16,[13]MVTRESUME25!$A$7:$AQ$41,31,0)</f>
        <v>0</v>
      </c>
      <c r="D16" s="14"/>
      <c r="E16" s="14"/>
      <c r="F16" s="15"/>
    </row>
    <row r="17" spans="1:6" ht="17.5" x14ac:dyDescent="0.35">
      <c r="A17" s="19" t="s">
        <v>181</v>
      </c>
      <c r="B17" s="14" t="str">
        <f>VLOOKUP(A17,[12]LISTADHERENT!$A$5:$K$43,3,0)</f>
        <v>FAMPOU PAUL</v>
      </c>
      <c r="C17" s="108">
        <f>VLOOKUP(A17,[13]MVTRESUME25!$A$7:$AQ$41,31,0)</f>
        <v>175000</v>
      </c>
      <c r="D17" s="14"/>
      <c r="E17" s="14"/>
      <c r="F17" s="15"/>
    </row>
    <row r="18" spans="1:6" ht="17.5" x14ac:dyDescent="0.35">
      <c r="A18" s="19" t="s">
        <v>68</v>
      </c>
      <c r="B18" s="14" t="str">
        <f>VLOOKUP(A18,[12]LISTADHERENT!$A$5:$K$43,3,0)</f>
        <v>HENGUE PAUL OMER</v>
      </c>
      <c r="C18" s="108">
        <f>VLOOKUP(A18,[13]MVTRESUME25!$A$7:$AQ$41,31,0)</f>
        <v>0</v>
      </c>
      <c r="D18" s="14"/>
      <c r="E18" s="14"/>
      <c r="F18" s="15"/>
    </row>
    <row r="19" spans="1:6" ht="17.5" x14ac:dyDescent="0.35">
      <c r="A19" s="19" t="s">
        <v>69</v>
      </c>
      <c r="B19" s="14" t="str">
        <f>VLOOKUP(A19,[12]LISTADHERENT!$A$5:$K$43,3,0)</f>
        <v>HOTCHO BENJAMIN</v>
      </c>
      <c r="C19" s="108">
        <f>VLOOKUP(A19,[13]MVTRESUME25!$A$7:$AQ$41,31,0)</f>
        <v>0</v>
      </c>
      <c r="D19" s="14"/>
      <c r="E19" s="14"/>
      <c r="F19" s="15"/>
    </row>
    <row r="20" spans="1:6" ht="17.5" x14ac:dyDescent="0.35">
      <c r="A20" s="19" t="s">
        <v>70</v>
      </c>
      <c r="B20" s="14" t="str">
        <f>VLOOKUP(A20,[12]LISTADHERENT!$A$5:$K$43,3,0)</f>
        <v>KOUAMOU MOISE</v>
      </c>
      <c r="C20" s="108">
        <f>VLOOKUP(A20,[13]MVTRESUME25!$A$7:$AQ$41,31,0)</f>
        <v>0</v>
      </c>
      <c r="D20" s="14"/>
      <c r="E20" s="14"/>
      <c r="F20" s="15"/>
    </row>
    <row r="21" spans="1:6" ht="17.5" x14ac:dyDescent="0.35">
      <c r="A21" s="19" t="s">
        <v>71</v>
      </c>
      <c r="B21" s="14" t="str">
        <f>VLOOKUP(A21,[12]LISTADHERENT!$A$5:$K$43,3,0)</f>
        <v>KOUATCHO MESSACK</v>
      </c>
      <c r="C21" s="108">
        <f>VLOOKUP(A21,[13]MVTRESUME25!$A$7:$AQ$41,31,0)</f>
        <v>0</v>
      </c>
      <c r="D21" s="14"/>
      <c r="E21" s="14"/>
      <c r="F21" s="15"/>
    </row>
    <row r="22" spans="1:6" ht="17.5" x14ac:dyDescent="0.35">
      <c r="A22" s="19" t="s">
        <v>72</v>
      </c>
      <c r="B22" s="14" t="str">
        <f>VLOOKUP(A22,[12]LISTADHERENT!$A$5:$K$43,3,0)</f>
        <v>LOWE JEAN</v>
      </c>
      <c r="C22" s="108">
        <f>VLOOKUP(A22,[13]MVTRESUME25!$A$7:$AQ$41,31,0)</f>
        <v>0</v>
      </c>
      <c r="D22" s="14"/>
      <c r="E22" s="14"/>
      <c r="F22" s="15"/>
    </row>
    <row r="23" spans="1:6" ht="17.5" x14ac:dyDescent="0.35">
      <c r="A23" s="19" t="s">
        <v>163</v>
      </c>
      <c r="B23" s="14" t="str">
        <f>VLOOKUP(A23,[12]LISTADHERENT!$A$5:$K$43,3,0)</f>
        <v>MASSEUNGOUE DAGOBERT</v>
      </c>
      <c r="C23" s="108">
        <f>VLOOKUP(A23,[13]MVTRESUME25!$A$7:$AQ$41,31,0)</f>
        <v>0</v>
      </c>
      <c r="D23" s="14"/>
      <c r="E23" s="14"/>
      <c r="F23" s="15"/>
    </row>
    <row r="24" spans="1:6" ht="17.5" x14ac:dyDescent="0.35">
      <c r="A24" s="19" t="s">
        <v>86</v>
      </c>
      <c r="B24" s="14" t="str">
        <f>VLOOKUP(A24,[12]LISTADHERENT!$A$5:$K$43,3,0)</f>
        <v>MBOGNING TUGMA GUY</v>
      </c>
      <c r="C24" s="108">
        <f>VLOOKUP(A24,[13]MVTRESUME25!$A$7:$AQ$41,31,0)</f>
        <v>0</v>
      </c>
      <c r="D24" s="14"/>
      <c r="E24" s="14"/>
      <c r="F24" s="15"/>
    </row>
    <row r="25" spans="1:6" ht="17.5" x14ac:dyDescent="0.35">
      <c r="A25" s="19" t="s">
        <v>81</v>
      </c>
      <c r="B25" s="14" t="str">
        <f>VLOOKUP(A25,[12]LISTADHERENT!$A$5:$K$43,3,0)</f>
        <v>NANGUEN MARTIN</v>
      </c>
      <c r="C25" s="108">
        <f>VLOOKUP(A25,[13]MVTRESUME25!$A$7:$AQ$41,31,0)</f>
        <v>0</v>
      </c>
      <c r="D25" s="14"/>
      <c r="E25" s="14"/>
      <c r="F25" s="15"/>
    </row>
    <row r="26" spans="1:6" ht="17.5" x14ac:dyDescent="0.35">
      <c r="A26" s="19" t="s">
        <v>73</v>
      </c>
      <c r="B26" s="14" t="str">
        <f>VLOOKUP(A26,[12]LISTADHERENT!$A$5:$K$43,3,0)</f>
        <v>NANKAM APPOLINAIRE</v>
      </c>
      <c r="C26" s="108">
        <f>VLOOKUP(A26,[13]MVTRESUME25!$A$7:$AQ$41,31,0)</f>
        <v>0</v>
      </c>
      <c r="D26" s="14"/>
      <c r="E26" s="14"/>
      <c r="F26" s="15"/>
    </row>
    <row r="27" spans="1:6" ht="17.5" x14ac:dyDescent="0.35">
      <c r="A27" s="19" t="s">
        <v>74</v>
      </c>
      <c r="B27" s="14" t="str">
        <f>VLOOKUP(A27,[12]LISTADHERENT!$A$5:$K$43,3,0)</f>
        <v>NDJOMO ETIENNE</v>
      </c>
      <c r="C27" s="108">
        <f>VLOOKUP(A27,[13]MVTRESUME25!$A$7:$AQ$41,31,0)</f>
        <v>0</v>
      </c>
      <c r="D27" s="14"/>
      <c r="E27" s="14"/>
      <c r="F27" s="15"/>
    </row>
    <row r="28" spans="1:6" ht="17.5" x14ac:dyDescent="0.35">
      <c r="A28" s="19" t="s">
        <v>75</v>
      </c>
      <c r="B28" s="14" t="str">
        <f>VLOOKUP(A28,[12]LISTADHERENT!$A$5:$K$43,3,0)</f>
        <v>NGONDIEP CLAUDE</v>
      </c>
      <c r="C28" s="108">
        <f>VLOOKUP(A28,[13]MVTRESUME25!$A$7:$AQ$41,31,0)</f>
        <v>0</v>
      </c>
      <c r="D28" s="14"/>
      <c r="E28" s="14"/>
      <c r="F28" s="15"/>
    </row>
    <row r="29" spans="1:6" ht="17.5" x14ac:dyDescent="0.35">
      <c r="A29" s="19" t="s">
        <v>77</v>
      </c>
      <c r="B29" s="14" t="str">
        <f>VLOOKUP(A29,[12]LISTADHERENT!$A$5:$K$43,3,0)</f>
        <v>NGUIEMEGNI MATHIEU BLAISE</v>
      </c>
      <c r="C29" s="108">
        <f>VLOOKUP(A29,[13]MVTRESUME25!$A$7:$AQ$41,31,0)</f>
        <v>0</v>
      </c>
      <c r="D29" s="14"/>
      <c r="E29" s="14"/>
      <c r="F29" s="15"/>
    </row>
    <row r="30" spans="1:6" ht="17.5" x14ac:dyDescent="0.35">
      <c r="A30" s="19" t="s">
        <v>78</v>
      </c>
      <c r="B30" s="14" t="str">
        <f>VLOOKUP(A30,[12]LISTADHERENT!$A$5:$K$43,3,0)</f>
        <v>NKAMGANG JUSTIN DEJOLIE</v>
      </c>
      <c r="C30" s="108">
        <f>VLOOKUP(A30,[13]MVTRESUME25!$A$7:$AQ$41,31,0)</f>
        <v>0</v>
      </c>
      <c r="D30" s="14"/>
      <c r="E30" s="14"/>
      <c r="F30" s="15"/>
    </row>
    <row r="31" spans="1:6" ht="17.5" x14ac:dyDescent="0.35">
      <c r="A31" s="19" t="s">
        <v>104</v>
      </c>
      <c r="B31" s="14" t="str">
        <f>VLOOKUP(A31,[12]LISTADHERENT!$A$5:$K$43,3,0)</f>
        <v>NOUBE ETIENNE</v>
      </c>
      <c r="C31" s="108">
        <f>VLOOKUP(A31,[13]MVTRESUME25!$A$7:$AQ$41,31,0)</f>
        <v>0</v>
      </c>
      <c r="D31" s="14"/>
      <c r="E31" s="14"/>
      <c r="F31" s="15"/>
    </row>
    <row r="32" spans="1:6" ht="17.5" x14ac:dyDescent="0.35">
      <c r="A32" s="19" t="s">
        <v>79</v>
      </c>
      <c r="B32" s="14" t="str">
        <f>VLOOKUP(A32,[12]LISTADHERENT!$A$5:$K$43,3,0)</f>
        <v>PATEGO NJOSSU GUSTAVE</v>
      </c>
      <c r="C32" s="108">
        <f>VLOOKUP(A32,[13]MVTRESUME25!$A$7:$AQ$41,31,0)</f>
        <v>0</v>
      </c>
      <c r="D32" s="14"/>
      <c r="E32" s="14"/>
      <c r="F32" s="15"/>
    </row>
    <row r="33" spans="1:6" ht="17.5" x14ac:dyDescent="0.35">
      <c r="A33" s="19" t="s">
        <v>127</v>
      </c>
      <c r="B33" s="14" t="str">
        <f>VLOOKUP(A33,[12]LISTADHERENT!$A$5:$K$43,3,0)</f>
        <v>SEUMO POLYCARPE</v>
      </c>
      <c r="C33" s="108">
        <f>VLOOKUP(A33,[13]MVTRESUME25!$A$7:$AQ$41,31,0)</f>
        <v>0</v>
      </c>
      <c r="D33" s="14"/>
      <c r="E33" s="14"/>
      <c r="F33" s="15"/>
    </row>
    <row r="34" spans="1:6" ht="17.5" x14ac:dyDescent="0.35">
      <c r="A34" s="19" t="s">
        <v>89</v>
      </c>
      <c r="B34" s="14" t="str">
        <f>VLOOKUP(A34,[12]LISTADHERENT!$A$5:$K$43,3,0)</f>
        <v>SIME BRICE</v>
      </c>
      <c r="C34" s="108">
        <f>VLOOKUP(A34,[13]MVTRESUME25!$A$7:$AQ$41,31,0)</f>
        <v>0</v>
      </c>
      <c r="D34" s="14"/>
      <c r="E34" s="14"/>
      <c r="F34" s="15"/>
    </row>
    <row r="35" spans="1:6" ht="17.5" x14ac:dyDescent="0.35">
      <c r="A35" s="19" t="s">
        <v>182</v>
      </c>
      <c r="B35" s="14" t="str">
        <f>VLOOKUP(A35,[12]LISTADHERENT!$A$5:$K$43,3,0)</f>
        <v>SIMO FONGANG ERIC</v>
      </c>
      <c r="C35" s="108">
        <f>VLOOKUP(A35,[13]MVTRESUME25!$A$7:$AQ$41,31,0)</f>
        <v>300000</v>
      </c>
      <c r="D35" s="14"/>
      <c r="E35" s="14"/>
      <c r="F35" s="15"/>
    </row>
    <row r="36" spans="1:6" ht="17.5" x14ac:dyDescent="0.35">
      <c r="A36" s="19" t="s">
        <v>80</v>
      </c>
      <c r="B36" s="14" t="str">
        <f>VLOOKUP(A36,[12]LISTADHERENT!$A$5:$K$43,3,0)</f>
        <v>SIMO PIERRE</v>
      </c>
      <c r="C36" s="108">
        <f>VLOOKUP(A36,[13]MVTRESUME25!$A$7:$AQ$41,31,0)</f>
        <v>0</v>
      </c>
      <c r="D36" s="14"/>
      <c r="E36" s="14"/>
      <c r="F36" s="15"/>
    </row>
    <row r="37" spans="1:6" ht="17.5" x14ac:dyDescent="0.35">
      <c r="A37" s="19" t="s">
        <v>82</v>
      </c>
      <c r="B37" s="14" t="str">
        <f>VLOOKUP(A37,[12]LISTADHERENT!$A$5:$K$43,3,0)</f>
        <v>TCHOUAMOU MATHIEU</v>
      </c>
      <c r="C37" s="108">
        <f>VLOOKUP(A37,[13]MVTRESUME25!$A$7:$AQ$41,31,0)</f>
        <v>0</v>
      </c>
      <c r="D37" s="14"/>
      <c r="E37" s="14"/>
      <c r="F37" s="15"/>
    </row>
    <row r="38" spans="1:6" ht="17.5" x14ac:dyDescent="0.35">
      <c r="A38" s="19" t="s">
        <v>164</v>
      </c>
      <c r="B38" s="14" t="str">
        <f>VLOOKUP(A38,[12]LISTADHERENT!$A$5:$K$43,3,0)</f>
        <v>TCHOUATEU AUGUSTIN</v>
      </c>
      <c r="C38" s="108">
        <f>VLOOKUP(A38,[13]MVTRESUME25!$A$7:$AQ$41,31,0)</f>
        <v>0</v>
      </c>
      <c r="D38" s="14"/>
      <c r="E38" s="14"/>
      <c r="F38" s="15"/>
    </row>
    <row r="39" spans="1:6" ht="17.5" x14ac:dyDescent="0.35">
      <c r="A39" s="19" t="s">
        <v>83</v>
      </c>
      <c r="B39" s="14" t="str">
        <f>VLOOKUP(A39,[12]LISTADHERENT!$A$5:$K$43,3,0)</f>
        <v>TCHOUTOU NANA CLAUDE</v>
      </c>
      <c r="C39" s="108">
        <f>VLOOKUP(A39,[13]MVTRESUME25!$A$7:$AQ$41,31,0)</f>
        <v>0</v>
      </c>
      <c r="D39" s="14"/>
      <c r="E39" s="14"/>
      <c r="F39" s="15"/>
    </row>
    <row r="40" spans="1:6" ht="17.5" x14ac:dyDescent="0.35">
      <c r="A40" s="19" t="s">
        <v>183</v>
      </c>
      <c r="B40" s="14" t="str">
        <f>VLOOKUP(A40,[12]LISTADHERENT!$A$5:$K$43,3,0)</f>
        <v>TIEYAM ERNEST</v>
      </c>
      <c r="C40" s="108">
        <f>VLOOKUP(A40,[13]MVTRESUME25!$A$7:$AQ$41,31,0)</f>
        <v>0</v>
      </c>
      <c r="D40" s="14"/>
      <c r="E40" s="14"/>
      <c r="F40" s="15"/>
    </row>
    <row r="41" spans="1:6" ht="17.5" x14ac:dyDescent="0.35">
      <c r="A41" s="19" t="s">
        <v>128</v>
      </c>
      <c r="B41" s="14" t="str">
        <f>VLOOKUP(A41,[12]LISTADHERENT!$A$5:$K$43,3,0)</f>
        <v>YANTCHOU GERVAIS</v>
      </c>
      <c r="C41" s="108">
        <f>VLOOKUP(A41,[13]MVTRESUME25!$A$7:$AQ$41,31,0)</f>
        <v>0</v>
      </c>
      <c r="D41" s="14"/>
      <c r="E41" s="14"/>
      <c r="F41" s="15"/>
    </row>
    <row r="42" spans="1:6" ht="17.5" x14ac:dyDescent="0.35">
      <c r="A42" s="19" t="s">
        <v>84</v>
      </c>
      <c r="B42" s="14" t="str">
        <f>VLOOKUP(A42,[12]LISTADHERENT!$A$5:$K$43,3,0)</f>
        <v>YEPMOU JEAN JACQUES</v>
      </c>
      <c r="C42" s="108">
        <f>VLOOKUP(A42,[13]MVTRESUME25!$A$7:$AQ$41,31,0)</f>
        <v>0</v>
      </c>
      <c r="D42" s="14"/>
      <c r="E42" s="14"/>
      <c r="F42" s="15"/>
    </row>
    <row r="43" spans="1:6" ht="17.5" x14ac:dyDescent="0.35">
      <c r="A43" s="19" t="s">
        <v>165</v>
      </c>
      <c r="B43" s="14" t="str">
        <f>VLOOKUP(A43,[12]LISTADHERENT!$A$5:$K$43,3,0)</f>
        <v>YIALA ALAIN OSCAR</v>
      </c>
      <c r="C43" s="108">
        <f>VLOOKUP(A43,[13]MVTRESUME25!$A$7:$AQ$41,31,0)</f>
        <v>0</v>
      </c>
      <c r="D43" s="14"/>
      <c r="E43" s="14"/>
      <c r="F43" s="15"/>
    </row>
    <row r="44" spans="1:6" ht="17.5" x14ac:dyDescent="0.35">
      <c r="A44" s="19" t="s">
        <v>85</v>
      </c>
      <c r="B44" s="14" t="str">
        <f>VLOOKUP(A44,[12]LISTADHERENT!$A$5:$K$43,3,0)</f>
        <v>YOUMBI EMMANUEL</v>
      </c>
      <c r="C44" s="108">
        <f>VLOOKUP(A44,[13]MVTRESUME25!$A$7:$AQ$42,31,0)</f>
        <v>0</v>
      </c>
      <c r="D44" s="14"/>
      <c r="E44" s="14"/>
      <c r="F44" s="15"/>
    </row>
    <row r="45" spans="1:6" ht="17.5" x14ac:dyDescent="0.35">
      <c r="A45" s="13"/>
      <c r="B45" s="14"/>
      <c r="C45" s="108"/>
      <c r="D45" s="14"/>
      <c r="E45" s="14"/>
      <c r="F45" s="15"/>
    </row>
    <row r="46" spans="1:6" ht="18" thickBot="1" x14ac:dyDescent="0.4">
      <c r="A46" s="31" t="s">
        <v>23</v>
      </c>
      <c r="B46" s="57"/>
      <c r="C46" s="58">
        <f>SUM(C8:C45)</f>
        <v>475000</v>
      </c>
      <c r="D46" s="58"/>
      <c r="E46" s="58">
        <f>SUM(E6:E45)</f>
        <v>0</v>
      </c>
      <c r="F46" s="59">
        <f>SUM(F6:F45)</f>
        <v>30000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9"/>
  <sheetViews>
    <sheetView workbookViewId="0">
      <selection activeCell="G11" sqref="G11"/>
    </sheetView>
  </sheetViews>
  <sheetFormatPr baseColWidth="10" defaultRowHeight="14.5" x14ac:dyDescent="0.35"/>
  <cols>
    <col min="1" max="1" width="18.1796875" customWidth="1"/>
    <col min="2" max="2" width="30" bestFit="1" customWidth="1"/>
    <col min="3" max="3" width="16.81640625" bestFit="1" customWidth="1"/>
    <col min="4" max="4" width="15" bestFit="1" customWidth="1"/>
    <col min="5" max="5" width="30.26953125" bestFit="1" customWidth="1"/>
  </cols>
  <sheetData>
    <row r="1" spans="1:5" x14ac:dyDescent="0.35">
      <c r="A1" s="1" t="s">
        <v>94</v>
      </c>
      <c r="B1" s="1" t="s">
        <v>95</v>
      </c>
    </row>
    <row r="2" spans="1:5" x14ac:dyDescent="0.35">
      <c r="A2" s="1" t="s">
        <v>10</v>
      </c>
      <c r="B2" s="1">
        <v>2025</v>
      </c>
    </row>
    <row r="4" spans="1:5" ht="26" x14ac:dyDescent="0.35">
      <c r="A4" s="163" t="s">
        <v>125</v>
      </c>
      <c r="B4" s="164"/>
      <c r="C4" s="164"/>
      <c r="D4" s="164"/>
      <c r="E4" s="164"/>
    </row>
    <row r="5" spans="1:5" ht="26" x14ac:dyDescent="0.35">
      <c r="A5" s="130"/>
      <c r="B5" s="131"/>
      <c r="C5" s="131"/>
      <c r="D5" s="131"/>
      <c r="E5" s="131"/>
    </row>
    <row r="6" spans="1:5" ht="15" thickBot="1" x14ac:dyDescent="0.4">
      <c r="A6" s="70"/>
      <c r="B6" s="71"/>
      <c r="C6" s="72"/>
      <c r="D6" s="72"/>
      <c r="E6" s="73"/>
    </row>
    <row r="7" spans="1:5" ht="48" customHeight="1" thickTop="1" x14ac:dyDescent="0.35">
      <c r="A7" s="112" t="s">
        <v>96</v>
      </c>
      <c r="B7" s="111" t="s">
        <v>52</v>
      </c>
      <c r="C7" s="113" t="s">
        <v>130</v>
      </c>
      <c r="D7" s="113" t="s">
        <v>92</v>
      </c>
      <c r="E7" s="114" t="s">
        <v>138</v>
      </c>
    </row>
    <row r="8" spans="1:5" ht="17.5" x14ac:dyDescent="0.35">
      <c r="A8" s="19" t="s">
        <v>90</v>
      </c>
      <c r="B8" s="14" t="str">
        <f>VLOOKUP($A8,[12]LISTADHERENT!$A$5:$K$43,3,0)</f>
        <v>ASELBY</v>
      </c>
      <c r="C8" s="108">
        <f>VLOOKUP($A8,[13]MVTDEC25!$A$6:$AL$50,19,0)</f>
        <v>0</v>
      </c>
      <c r="D8" s="108">
        <f>VLOOKUP($A8,[13]MVTDEC25!$A$6:$AL$50,20,0)</f>
        <v>0</v>
      </c>
      <c r="E8" s="115" t="str">
        <f>IF(C8=0,"",VLOOKUP(A8,[17]MVTRESUME24!$A$7:$AQ$41,38,0))</f>
        <v/>
      </c>
    </row>
    <row r="9" spans="1:5" ht="17.5" x14ac:dyDescent="0.35">
      <c r="A9" s="19" t="s">
        <v>62</v>
      </c>
      <c r="B9" s="14" t="str">
        <f>VLOOKUP($A9,[12]LISTADHERENT!$A$5:$K$43,3,0)</f>
        <v>BAKOP ACHILLE</v>
      </c>
      <c r="C9" s="108">
        <f>VLOOKUP($A9,[13]MVTDEC25!$A$6:$AL$50,19,0)</f>
        <v>1000000</v>
      </c>
      <c r="D9" s="108">
        <f>VLOOKUP($A9,[13]MVTDEC25!$A$6:$AL$50,20,0)</f>
        <v>20000</v>
      </c>
      <c r="E9" s="115">
        <v>46054</v>
      </c>
    </row>
    <row r="10" spans="1:5" ht="17.5" x14ac:dyDescent="0.35">
      <c r="A10" s="19" t="s">
        <v>63</v>
      </c>
      <c r="B10" s="14" t="str">
        <f>VLOOKUP($A10,[12]LISTADHERENT!$A$5:$K$43,3,0)</f>
        <v>BOUTCHOUANG WILLIAM</v>
      </c>
      <c r="C10" s="108">
        <f>VLOOKUP($A10,[13]MVTDEC25!$A$6:$AL$50,19,0)</f>
        <v>500000</v>
      </c>
      <c r="D10" s="108">
        <f>VLOOKUP($A10,[13]MVTDEC25!$A$6:$AL$50,20,0)</f>
        <v>10000</v>
      </c>
      <c r="E10" s="115">
        <v>46024</v>
      </c>
    </row>
    <row r="11" spans="1:5" ht="17.5" x14ac:dyDescent="0.35">
      <c r="A11" s="19" t="s">
        <v>64</v>
      </c>
      <c r="B11" s="14" t="str">
        <f>VLOOKUP($A11,[12]LISTADHERENT!$A$5:$K$43,3,0)</f>
        <v xml:space="preserve">DJOMO JEAN PAUL </v>
      </c>
      <c r="C11" s="108">
        <f>VLOOKUP($A11,[13]MVTDEC25!$A$6:$AL$50,19,0)</f>
        <v>1000000</v>
      </c>
      <c r="D11" s="108">
        <f>VLOOKUP($A11,[13]MVTDEC25!$A$6:$AL$50,20,0)</f>
        <v>120000</v>
      </c>
      <c r="E11" s="115">
        <v>46359</v>
      </c>
    </row>
    <row r="12" spans="1:5" ht="17.5" x14ac:dyDescent="0.35">
      <c r="A12" s="19" t="s">
        <v>103</v>
      </c>
      <c r="B12" s="14" t="str">
        <f>VLOOKUP($A12,[12]LISTADHERENT!$A$5:$K$43,3,0)</f>
        <v>DJOMOU TCHAPDA</v>
      </c>
      <c r="C12" s="108">
        <f>VLOOKUP($A12,[13]MVTDEC25!$A$6:$AL$50,19,0)</f>
        <v>1000000</v>
      </c>
      <c r="D12" s="108">
        <f>VLOOKUP($A12,[13]MVTDEC25!$A$6:$AL$50,20,0)</f>
        <v>120000</v>
      </c>
      <c r="E12" s="115">
        <v>46360</v>
      </c>
    </row>
    <row r="13" spans="1:5" ht="17.5" x14ac:dyDescent="0.35">
      <c r="A13" s="19" t="s">
        <v>65</v>
      </c>
      <c r="B13" s="14" t="str">
        <f>VLOOKUP($A13,[12]LISTADHERENT!$A$5:$K$43,3,0)</f>
        <v>DJOUKWE NANGUEN GUY BLAISE</v>
      </c>
      <c r="C13" s="108">
        <f>VLOOKUP($A13,[13]MVTDEC25!$A$6:$AL$50,19,0)</f>
        <v>1000000</v>
      </c>
      <c r="D13" s="108">
        <f>VLOOKUP($A13,[13]MVTDEC25!$A$6:$AL$50,20,0)</f>
        <v>120000</v>
      </c>
      <c r="E13" s="115">
        <v>46360</v>
      </c>
    </row>
    <row r="14" spans="1:5" ht="17.5" x14ac:dyDescent="0.35">
      <c r="A14" s="19" t="s">
        <v>66</v>
      </c>
      <c r="B14" s="14" t="str">
        <f>VLOOKUP($A14,[12]LISTADHERENT!$A$5:$K$43,3,0)</f>
        <v>DJUOMBESSY ANTOINE</v>
      </c>
      <c r="C14" s="108">
        <f>VLOOKUP($A14,[13]MVTDEC25!$A$6:$AL$50,19,0)</f>
        <v>1000000</v>
      </c>
      <c r="D14" s="108">
        <f>VLOOKUP($A14,[13]MVTDEC25!$A$6:$AL$50,20,0)</f>
        <v>60000</v>
      </c>
      <c r="E14" s="115">
        <v>46177</v>
      </c>
    </row>
    <row r="15" spans="1:5" ht="17.5" x14ac:dyDescent="0.35">
      <c r="A15" s="19" t="s">
        <v>87</v>
      </c>
      <c r="B15" s="14" t="str">
        <f>VLOOKUP($A15,[12]LISTADHERENT!$A$5:$K$43,3,0)</f>
        <v>DOMOU FABIEN</v>
      </c>
      <c r="C15" s="108">
        <f>VLOOKUP($A15,[13]MVTDEC25!$A$6:$AL$50,19,0)</f>
        <v>0</v>
      </c>
      <c r="D15" s="108">
        <f>VLOOKUP($A15,[13]MVTDEC25!$A$6:$AL$50,20,0)</f>
        <v>0</v>
      </c>
      <c r="E15" s="115" t="str">
        <f>IF(C15=0,"",VLOOKUP(A15,[13]MVTRESUME25!$A$7:$AQ$41,24,0))</f>
        <v/>
      </c>
    </row>
    <row r="16" spans="1:5" ht="17.5" x14ac:dyDescent="0.35">
      <c r="A16" s="19" t="s">
        <v>67</v>
      </c>
      <c r="B16" s="14" t="str">
        <f>VLOOKUP($A16,[12]LISTADHERENT!$A$5:$K$43,3,0)</f>
        <v>DONHOU DAVID</v>
      </c>
      <c r="C16" s="108">
        <f>VLOOKUP($A16,[13]MVTDEC25!$A$6:$AL$50,19,0)</f>
        <v>0</v>
      </c>
      <c r="D16" s="108">
        <f>VLOOKUP($A16,[13]MVTDEC25!$A$6:$AL$50,20,0)</f>
        <v>0</v>
      </c>
      <c r="E16" s="115" t="str">
        <f>IF(C16=0,"",VLOOKUP(A16,[13]MVTRESUME25!$A$7:$AQ$41,24,0))</f>
        <v/>
      </c>
    </row>
    <row r="17" spans="1:5" ht="17.5" x14ac:dyDescent="0.35">
      <c r="A17" s="19" t="s">
        <v>181</v>
      </c>
      <c r="B17" s="14" t="str">
        <f>VLOOKUP($A17,[12]LISTADHERENT!$A$5:$K$43,3,0)</f>
        <v>FAMPOU PAUL</v>
      </c>
      <c r="C17" s="108">
        <f>VLOOKUP($A17,[13]MVTDEC25!$A$6:$AL$50,19,0)</f>
        <v>0</v>
      </c>
      <c r="D17" s="108">
        <f>VLOOKUP($A17,[13]MVTDEC25!$A$6:$AL$50,20,0)</f>
        <v>0</v>
      </c>
      <c r="E17" s="115" t="str">
        <f>IF(C17=0,"",VLOOKUP(A17,[13]MVTRESUME25!$A$7:$AQ$41,24,0))</f>
        <v/>
      </c>
    </row>
    <row r="18" spans="1:5" ht="17.5" x14ac:dyDescent="0.35">
      <c r="A18" s="19" t="s">
        <v>68</v>
      </c>
      <c r="B18" s="14" t="str">
        <f>VLOOKUP($A18,[12]LISTADHERENT!$A$5:$K$43,3,0)</f>
        <v>HENGUE PAUL OMER</v>
      </c>
      <c r="C18" s="108">
        <f>VLOOKUP($A18,[13]MVTDEC25!$A$6:$AL$50,19,0)</f>
        <v>0</v>
      </c>
      <c r="D18" s="108">
        <f>VLOOKUP($A18,[13]MVTDEC25!$A$6:$AL$50,20,0)</f>
        <v>0</v>
      </c>
      <c r="E18" s="115"/>
    </row>
    <row r="19" spans="1:5" ht="17.5" x14ac:dyDescent="0.35">
      <c r="A19" s="19" t="s">
        <v>69</v>
      </c>
      <c r="B19" s="14" t="str">
        <f>VLOOKUP($A19,[12]LISTADHERENT!$A$5:$K$43,3,0)</f>
        <v>HOTCHO BENJAMIN</v>
      </c>
      <c r="C19" s="108">
        <f>VLOOKUP($A19,[13]MVTDEC25!$A$6:$AL$50,19,0)</f>
        <v>400000</v>
      </c>
      <c r="D19" s="108">
        <f>VLOOKUP($A19,[13]MVTDEC25!$A$6:$AL$50,20,0)</f>
        <v>8000</v>
      </c>
      <c r="E19" s="115">
        <v>46057</v>
      </c>
    </row>
    <row r="20" spans="1:5" ht="17.5" x14ac:dyDescent="0.35">
      <c r="A20" s="19" t="s">
        <v>70</v>
      </c>
      <c r="B20" s="14" t="str">
        <f>VLOOKUP($A20,[12]LISTADHERENT!$A$5:$K$43,3,0)</f>
        <v>KOUAMOU MOISE</v>
      </c>
      <c r="C20" s="108">
        <f>VLOOKUP($A20,[13]MVTDEC25!$A$6:$AL$50,19,0)</f>
        <v>525000</v>
      </c>
      <c r="D20" s="108">
        <f>VLOOKUP($A20,[13]MVTDEC25!$A$6:$AL$50,20,0)</f>
        <v>5250</v>
      </c>
      <c r="E20" s="115">
        <v>46026</v>
      </c>
    </row>
    <row r="21" spans="1:5" ht="17.5" x14ac:dyDescent="0.35">
      <c r="A21" s="19" t="s">
        <v>71</v>
      </c>
      <c r="B21" s="14" t="str">
        <f>VLOOKUP($A21,[12]LISTADHERENT!$A$5:$K$43,3,0)</f>
        <v>KOUATCHO MESSACK</v>
      </c>
      <c r="C21" s="108">
        <f>VLOOKUP($A21,[13]MVTDEC25!$A$6:$AL$50,19,0)</f>
        <v>1000000</v>
      </c>
      <c r="D21" s="108">
        <f>VLOOKUP($A21,[13]MVTDEC25!$A$6:$AL$50,20,0)</f>
        <v>120000</v>
      </c>
      <c r="E21" s="115">
        <v>46360</v>
      </c>
    </row>
    <row r="22" spans="1:5" ht="17.5" x14ac:dyDescent="0.35">
      <c r="A22" s="19" t="s">
        <v>72</v>
      </c>
      <c r="B22" s="14" t="str">
        <f>VLOOKUP($A22,[12]LISTADHERENT!$A$5:$K$43,3,0)</f>
        <v>LOWE JEAN</v>
      </c>
      <c r="C22" s="108">
        <f>VLOOKUP($A22,[13]MVTDEC25!$A$6:$AL$50,19,0)</f>
        <v>0</v>
      </c>
      <c r="D22" s="108">
        <f>VLOOKUP($A22,[13]MVTDEC25!$A$6:$AL$50,20,0)</f>
        <v>0</v>
      </c>
      <c r="E22" s="115"/>
    </row>
    <row r="23" spans="1:5" ht="17.5" x14ac:dyDescent="0.35">
      <c r="A23" s="19" t="s">
        <v>163</v>
      </c>
      <c r="B23" s="14" t="str">
        <f>VLOOKUP($A23,[12]LISTADHERENT!$A$5:$K$43,3,0)</f>
        <v>MASSEUNGOUE DAGOBERT</v>
      </c>
      <c r="C23" s="108">
        <f>VLOOKUP($A23,[13]MVTDEC25!$A$6:$AL$50,19,0)</f>
        <v>0</v>
      </c>
      <c r="D23" s="108">
        <f>VLOOKUP($A23,[13]MVTDEC25!$A$6:$AL$50,20,0)</f>
        <v>0</v>
      </c>
      <c r="E23" s="115"/>
    </row>
    <row r="24" spans="1:5" ht="17.5" x14ac:dyDescent="0.35">
      <c r="A24" s="19" t="s">
        <v>86</v>
      </c>
      <c r="B24" s="14" t="str">
        <f>VLOOKUP($A24,[12]LISTADHERENT!$A$5:$K$43,3,0)</f>
        <v>MBOGNING TUGMA GUY</v>
      </c>
      <c r="C24" s="108">
        <f>VLOOKUP($A24,[13]MVTDEC25!$A$6:$AL$50,19,0)</f>
        <v>1000000</v>
      </c>
      <c r="D24" s="108">
        <f>VLOOKUP($A24,[13]MVTDEC25!$A$6:$AL$50,20,0)</f>
        <v>120000</v>
      </c>
      <c r="E24" s="115">
        <v>46360</v>
      </c>
    </row>
    <row r="25" spans="1:5" ht="17.5" x14ac:dyDescent="0.35">
      <c r="A25" s="19" t="s">
        <v>81</v>
      </c>
      <c r="B25" s="14" t="str">
        <f>VLOOKUP($A25,[12]LISTADHERENT!$A$5:$K$43,3,0)</f>
        <v>NANGUEN MARTIN</v>
      </c>
      <c r="C25" s="108">
        <f>VLOOKUP($A25,[13]MVTDEC25!$A$6:$AL$50,19,0)</f>
        <v>0</v>
      </c>
      <c r="D25" s="108">
        <f>VLOOKUP($A25,[13]MVTDEC25!$A$6:$AL$50,20,0)</f>
        <v>0</v>
      </c>
      <c r="E25" s="115" t="str">
        <f>IF(C25=0,"",VLOOKUP(A25,[13]MVTRESUME25!$A$7:$AQ$41,24,0))</f>
        <v/>
      </c>
    </row>
    <row r="26" spans="1:5" ht="17.5" x14ac:dyDescent="0.35">
      <c r="A26" s="19" t="s">
        <v>73</v>
      </c>
      <c r="B26" s="14" t="str">
        <f>VLOOKUP($A26,[12]LISTADHERENT!$A$5:$K$43,3,0)</f>
        <v>NANKAM APPOLINAIRE</v>
      </c>
      <c r="C26" s="108">
        <f>VLOOKUP($A26,[13]MVTDEC25!$A$6:$AL$50,19,0)</f>
        <v>900000</v>
      </c>
      <c r="D26" s="108">
        <f>VLOOKUP($A26,[13]MVTDEC25!$A$6:$AL$50,20,0)</f>
        <v>108000</v>
      </c>
      <c r="E26" s="115">
        <v>46360</v>
      </c>
    </row>
    <row r="27" spans="1:5" ht="17.5" x14ac:dyDescent="0.35">
      <c r="A27" s="19" t="s">
        <v>74</v>
      </c>
      <c r="B27" s="14" t="str">
        <f>VLOOKUP($A27,[12]LISTADHERENT!$A$5:$K$43,3,0)</f>
        <v>NDJOMO ETIENNE</v>
      </c>
      <c r="C27" s="108">
        <f>VLOOKUP($A27,[13]MVTDEC25!$A$6:$AL$50,19,0)</f>
        <v>500000</v>
      </c>
      <c r="D27" s="108">
        <f>VLOOKUP($A27,[13]MVTDEC25!$A$6:$AL$50,20,0)</f>
        <v>30000</v>
      </c>
      <c r="E27" s="115">
        <v>46085</v>
      </c>
    </row>
    <row r="28" spans="1:5" ht="17.5" x14ac:dyDescent="0.35">
      <c r="A28" s="19" t="s">
        <v>75</v>
      </c>
      <c r="B28" s="14" t="str">
        <f>VLOOKUP($A28,[12]LISTADHERENT!$A$5:$K$43,3,0)</f>
        <v>NGONDIEP CLAUDE</v>
      </c>
      <c r="C28" s="108">
        <f>VLOOKUP($A28,[13]MVTDEC25!$A$6:$AL$50,19,0)</f>
        <v>1000000</v>
      </c>
      <c r="D28" s="108">
        <f>VLOOKUP($A28,[13]MVTDEC25!$A$6:$AL$50,20,0)</f>
        <v>120000</v>
      </c>
      <c r="E28" s="115">
        <v>46360</v>
      </c>
    </row>
    <row r="29" spans="1:5" ht="17.5" x14ac:dyDescent="0.35">
      <c r="A29" s="19" t="s">
        <v>77</v>
      </c>
      <c r="B29" s="14" t="str">
        <f>VLOOKUP($A29,[12]LISTADHERENT!$A$5:$K$43,3,0)</f>
        <v>NGUIEMEGNI MATHIEU BLAISE</v>
      </c>
      <c r="C29" s="108">
        <f>VLOOKUP($A29,[13]MVTDEC25!$A$6:$AL$50,19,0)</f>
        <v>1050000</v>
      </c>
      <c r="D29" s="108">
        <f>VLOOKUP($A29,[13]MVTDEC25!$A$6:$AL$50,20,0)</f>
        <v>10500</v>
      </c>
      <c r="E29" s="115">
        <v>46026</v>
      </c>
    </row>
    <row r="30" spans="1:5" ht="17.5" x14ac:dyDescent="0.35">
      <c r="A30" s="19" t="s">
        <v>78</v>
      </c>
      <c r="B30" s="14" t="str">
        <f>VLOOKUP($A30,[12]LISTADHERENT!$A$5:$K$43,3,0)</f>
        <v>NKAMGANG JUSTIN DEJOLIE</v>
      </c>
      <c r="C30" s="108">
        <f>VLOOKUP($A30,[13]MVTDEC25!$A$6:$AL$50,19,0)</f>
        <v>1000000</v>
      </c>
      <c r="D30" s="108">
        <f>VLOOKUP($A30,[13]MVTDEC25!$A$6:$AL$50,20,0)</f>
        <v>30000</v>
      </c>
      <c r="E30" s="115">
        <v>46085</v>
      </c>
    </row>
    <row r="31" spans="1:5" ht="17.5" x14ac:dyDescent="0.35">
      <c r="A31" s="19" t="s">
        <v>104</v>
      </c>
      <c r="B31" s="14" t="str">
        <f>VLOOKUP($A31,[12]LISTADHERENT!$A$5:$K$43,3,0)</f>
        <v>NOUBE ETIENNE</v>
      </c>
      <c r="C31" s="108">
        <f>VLOOKUP($A31,[13]MVTDEC25!$A$6:$AL$50,19,0)</f>
        <v>0</v>
      </c>
      <c r="D31" s="108">
        <f>VLOOKUP($A31,[13]MVTDEC25!$A$6:$AL$50,20,0)</f>
        <v>0</v>
      </c>
      <c r="E31" s="115" t="str">
        <f>IF(C31=0,"",VLOOKUP(A31,[13]MVTRESUME25!$A$7:$AQ$41,24,0))</f>
        <v/>
      </c>
    </row>
    <row r="32" spans="1:5" ht="17.5" x14ac:dyDescent="0.35">
      <c r="A32" s="19" t="s">
        <v>79</v>
      </c>
      <c r="B32" s="14" t="str">
        <f>VLOOKUP($A32,[12]LISTADHERENT!$A$5:$K$43,3,0)</f>
        <v>PATEGO NJOSSU GUSTAVE</v>
      </c>
      <c r="C32" s="108">
        <f>VLOOKUP($A32,[13]MVTDEC25!$A$6:$AL$50,19,0)</f>
        <v>0</v>
      </c>
      <c r="D32" s="108">
        <f>VLOOKUP($A32,[13]MVTDEC25!$A$6:$AL$50,20,0)</f>
        <v>0</v>
      </c>
      <c r="E32" s="115" t="str">
        <f>IF(C32=0,"",VLOOKUP(A32,[13]MVTRESUME25!$A$7:$AQ$41,24,0))</f>
        <v/>
      </c>
    </row>
    <row r="33" spans="1:5" ht="17.5" x14ac:dyDescent="0.35">
      <c r="A33" s="19" t="s">
        <v>127</v>
      </c>
      <c r="B33" s="14" t="str">
        <f>VLOOKUP($A33,[12]LISTADHERENT!$A$5:$K$43,3,0)</f>
        <v>SEUMO POLYCARPE</v>
      </c>
      <c r="C33" s="108">
        <f>VLOOKUP($A33,[13]MVTDEC25!$A$6:$AL$50,19,0)</f>
        <v>945000</v>
      </c>
      <c r="D33" s="108">
        <f>VLOOKUP($A33,[13]MVTDEC25!$A$6:$AL$50,20,0)</f>
        <v>9450</v>
      </c>
      <c r="E33" s="115">
        <v>46026</v>
      </c>
    </row>
    <row r="34" spans="1:5" ht="17.5" x14ac:dyDescent="0.35">
      <c r="A34" s="19" t="s">
        <v>89</v>
      </c>
      <c r="B34" s="14" t="str">
        <f>VLOOKUP($A34,[12]LISTADHERENT!$A$5:$K$43,3,0)</f>
        <v>SIME BRICE</v>
      </c>
      <c r="C34" s="108">
        <f>VLOOKUP($A34,[13]MVTDEC25!$A$6:$AL$50,19,0)</f>
        <v>1000000</v>
      </c>
      <c r="D34" s="108">
        <f>VLOOKUP($A34,[13]MVTDEC25!$A$6:$AL$50,20,0)</f>
        <v>30000</v>
      </c>
      <c r="E34" s="115">
        <v>46085</v>
      </c>
    </row>
    <row r="35" spans="1:5" ht="17.5" x14ac:dyDescent="0.35">
      <c r="A35" s="19" t="s">
        <v>182</v>
      </c>
      <c r="B35" s="14" t="str">
        <f>VLOOKUP($A35,[12]LISTADHERENT!$A$5:$K$43,3,0)</f>
        <v>SIMO FONGANG ERIC</v>
      </c>
      <c r="C35" s="108">
        <f>VLOOKUP($A35,[13]MVTDEC25!$A$6:$AL$50,19,0)</f>
        <v>0</v>
      </c>
      <c r="D35" s="108">
        <f>VLOOKUP($A35,[13]MVTDEC25!$A$6:$AL$50,20,0)</f>
        <v>0</v>
      </c>
      <c r="E35" s="115" t="str">
        <f>IF(C35=0,"",VLOOKUP(A35,[13]MVTRESUME25!$A$7:$AQ$41,24,0))</f>
        <v/>
      </c>
    </row>
    <row r="36" spans="1:5" ht="17.5" x14ac:dyDescent="0.35">
      <c r="A36" s="19" t="s">
        <v>80</v>
      </c>
      <c r="B36" s="14" t="str">
        <f>VLOOKUP($A36,[12]LISTADHERENT!$A$5:$K$43,3,0)</f>
        <v>SIMO PIERRE</v>
      </c>
      <c r="C36" s="108">
        <f>VLOOKUP($A36,[13]MVTDEC25!$A$6:$AL$50,19,0)</f>
        <v>0</v>
      </c>
      <c r="D36" s="108">
        <f>VLOOKUP($A36,[13]MVTDEC25!$A$6:$AL$50,20,0)</f>
        <v>0</v>
      </c>
      <c r="E36" s="115" t="str">
        <f>IF(C36=0,"",VLOOKUP(A36,[13]MVTRESUME25!$A$7:$AQ$41,24,0))</f>
        <v/>
      </c>
    </row>
    <row r="37" spans="1:5" ht="17.5" x14ac:dyDescent="0.35">
      <c r="A37" s="19" t="s">
        <v>82</v>
      </c>
      <c r="B37" s="14" t="str">
        <f>VLOOKUP($A37,[12]LISTADHERENT!$A$5:$K$43,3,0)</f>
        <v>TCHOUAMOU MATHIEU</v>
      </c>
      <c r="C37" s="108">
        <f>VLOOKUP($A37,[13]MVTDEC25!$A$6:$AL$50,19,0)</f>
        <v>1000000</v>
      </c>
      <c r="D37" s="108">
        <f>VLOOKUP($A37,[13]MVTDEC25!$A$6:$AL$50,20,0)</f>
        <v>60000</v>
      </c>
      <c r="E37" s="115">
        <v>46177</v>
      </c>
    </row>
    <row r="38" spans="1:5" ht="17.5" x14ac:dyDescent="0.35">
      <c r="A38" s="19" t="s">
        <v>164</v>
      </c>
      <c r="B38" s="14" t="str">
        <f>VLOOKUP($A38,[12]LISTADHERENT!$A$5:$K$43,3,0)</f>
        <v>TCHOUATEU AUGUSTIN</v>
      </c>
      <c r="C38" s="108">
        <f>VLOOKUP($A38,[13]MVTDEC25!$A$6:$AL$50,19,0)</f>
        <v>1000000</v>
      </c>
      <c r="D38" s="108">
        <f>VLOOKUP($A38,[13]MVTDEC25!$A$6:$AL$50,20,0)</f>
        <v>120000</v>
      </c>
      <c r="E38" s="115">
        <v>46360</v>
      </c>
    </row>
    <row r="39" spans="1:5" ht="17.5" x14ac:dyDescent="0.35">
      <c r="A39" s="19" t="s">
        <v>83</v>
      </c>
      <c r="B39" s="14" t="str">
        <f>VLOOKUP($A39,[12]LISTADHERENT!$A$5:$K$43,3,0)</f>
        <v>TCHOUTOU NANA CLAUDE</v>
      </c>
      <c r="C39" s="108">
        <f>VLOOKUP($A39,[13]MVTDEC25!$A$6:$AL$50,19,0)</f>
        <v>0</v>
      </c>
      <c r="D39" s="108">
        <f>VLOOKUP($A39,[13]MVTDEC25!$A$6:$AL$50,20,0)</f>
        <v>0</v>
      </c>
      <c r="E39" s="115" t="str">
        <f>IF(C39=0,"",VLOOKUP(A39,[13]MVTRESUME25!$A$7:$AQ$41,24,0))</f>
        <v/>
      </c>
    </row>
    <row r="40" spans="1:5" ht="17.5" x14ac:dyDescent="0.35">
      <c r="A40" s="19" t="s">
        <v>183</v>
      </c>
      <c r="B40" s="14" t="str">
        <f>VLOOKUP($A40,[12]LISTADHERENT!$A$5:$K$43,3,0)</f>
        <v>TIEYAM ERNEST</v>
      </c>
      <c r="C40" s="108">
        <f>VLOOKUP($A40,[13]MVTDEC25!$A$6:$AL$50,19,0)</f>
        <v>0</v>
      </c>
      <c r="D40" s="108">
        <f>VLOOKUP($A40,[13]MVTDEC25!$A$6:$AL$50,20,0)</f>
        <v>0</v>
      </c>
      <c r="E40" s="115" t="str">
        <f>IF(C40=0,"",VLOOKUP(A40,[13]MVTRESUME25!$A$7:$AQ$41,24,0))</f>
        <v/>
      </c>
    </row>
    <row r="41" spans="1:5" ht="17.5" x14ac:dyDescent="0.35">
      <c r="A41" s="19" t="s">
        <v>128</v>
      </c>
      <c r="B41" s="14" t="str">
        <f>VLOOKUP($A41,[12]LISTADHERENT!$A$5:$K$43,3,0)</f>
        <v>YANTCHOU GERVAIS</v>
      </c>
      <c r="C41" s="108">
        <f>VLOOKUP($A41,[13]MVTDEC25!$A$6:$AL$50,19,0)</f>
        <v>500000</v>
      </c>
      <c r="D41" s="108">
        <f>VLOOKUP($A41,[13]MVTDEC25!$A$6:$AL$50,20,0)</f>
        <v>30000</v>
      </c>
      <c r="E41" s="115">
        <v>46085</v>
      </c>
    </row>
    <row r="42" spans="1:5" ht="17.5" x14ac:dyDescent="0.35">
      <c r="A42" s="19" t="s">
        <v>84</v>
      </c>
      <c r="B42" s="14" t="str">
        <f>VLOOKUP($A42,[12]LISTADHERENT!$A$5:$K$43,3,0)</f>
        <v>YEPMOU JEAN JACQUES</v>
      </c>
      <c r="C42" s="108">
        <f>VLOOKUP($A42,[13]MVTDEC25!$A$6:$AL$50,19,0)</f>
        <v>0</v>
      </c>
      <c r="D42" s="108">
        <f>VLOOKUP($A42,[13]MVTDEC25!$A$6:$AL$50,20,0)</f>
        <v>0</v>
      </c>
      <c r="E42" s="115" t="str">
        <f>IF(C42=0,"",VLOOKUP(A42,[13]MVTRESUME25!$A$7:$AQ$41,24,0))</f>
        <v/>
      </c>
    </row>
    <row r="43" spans="1:5" ht="17.5" x14ac:dyDescent="0.35">
      <c r="A43" s="19" t="s">
        <v>165</v>
      </c>
      <c r="B43" s="14" t="str">
        <f>VLOOKUP($A43,[12]LISTADHERENT!$A$5:$K$43,3,0)</f>
        <v>YIALA ALAIN OSCAR</v>
      </c>
      <c r="C43" s="108">
        <f>VLOOKUP($A43,[13]MVTDEC25!$A$6:$AL$50,19,0)</f>
        <v>0</v>
      </c>
      <c r="D43" s="108">
        <f>VLOOKUP($A43,[13]MVTDEC25!$A$6:$AL$50,20,0)</f>
        <v>0</v>
      </c>
      <c r="E43" s="115" t="str">
        <f>IF(C43=0,"",VLOOKUP(A43,[13]MVTRESUME25!$A$7:$AQ$41,24,0))</f>
        <v/>
      </c>
    </row>
    <row r="44" spans="1:5" ht="17.5" x14ac:dyDescent="0.35">
      <c r="A44" s="19" t="s">
        <v>85</v>
      </c>
      <c r="B44" s="14" t="str">
        <f>VLOOKUP($A44,[12]LISTADHERENT!$A$5:$K$43,3,0)</f>
        <v>YOUMBI EMMANUEL</v>
      </c>
      <c r="C44" s="108">
        <f>VLOOKUP($A44,[13]MVTDEC25!$A$6:$AL$50,19,0)</f>
        <v>0</v>
      </c>
      <c r="D44" s="108">
        <f>VLOOKUP($A44,[13]MVTDEC25!$A$6:$AL$50,20,0)</f>
        <v>0</v>
      </c>
      <c r="E44" s="115" t="str">
        <f>IF(C44=0,"",VLOOKUP(A44,[13]MVTRESUME25!$A$7:$AQ$41,24,0))</f>
        <v/>
      </c>
    </row>
    <row r="45" spans="1:5" ht="17.5" x14ac:dyDescent="0.35">
      <c r="A45" s="13"/>
      <c r="B45" s="14"/>
      <c r="C45" s="108"/>
      <c r="D45" s="108"/>
      <c r="E45" s="115"/>
    </row>
    <row r="46" spans="1:5" ht="18" thickBot="1" x14ac:dyDescent="0.4">
      <c r="A46" s="31" t="s">
        <v>23</v>
      </c>
      <c r="B46" s="57"/>
      <c r="C46" s="58">
        <f>SUM(C8:C45)</f>
        <v>17320000</v>
      </c>
      <c r="D46" s="58">
        <f>SUM(D8:D45)</f>
        <v>1251200</v>
      </c>
      <c r="E46" s="59"/>
    </row>
    <row r="47" spans="1:5" ht="15" thickTop="1" x14ac:dyDescent="0.35"/>
    <row r="48" spans="1:5" x14ac:dyDescent="0.35">
      <c r="A48" t="s">
        <v>177</v>
      </c>
    </row>
    <row r="50" spans="1:3" ht="17.5" x14ac:dyDescent="0.35">
      <c r="A50" t="str">
        <f>DETAILLISTEROUGE!A7</f>
        <v>AS201648</v>
      </c>
      <c r="B50" t="str">
        <f>DETAILLISTEROUGE!B7</f>
        <v>FOTSO THOMAS</v>
      </c>
      <c r="C50" s="108">
        <f>DETAILLISTEROUGE!E7</f>
        <v>572079</v>
      </c>
    </row>
    <row r="51" spans="1:3" ht="17.5" x14ac:dyDescent="0.35">
      <c r="A51" t="str">
        <f>DETAILLISTEROUGE!A9</f>
        <v>AS201602</v>
      </c>
      <c r="B51" t="str">
        <f>DETAILLISTEROUGE!B9</f>
        <v>TYAM ERNEST</v>
      </c>
      <c r="C51" s="108">
        <f>DETAILLISTEROUGE!E9</f>
        <v>0</v>
      </c>
    </row>
    <row r="52" spans="1:3" ht="17.5" x14ac:dyDescent="0.35">
      <c r="A52" t="str">
        <f>DETAILLISTEROUGE!A11</f>
        <v>AS201654</v>
      </c>
      <c r="B52" t="str">
        <f>DETAILLISTEROUGE!B11</f>
        <v>TCHOUANTE FRANCOIS</v>
      </c>
      <c r="C52" s="108">
        <f>DETAILLISTEROUGE!E11</f>
        <v>243805</v>
      </c>
    </row>
    <row r="53" spans="1:3" ht="17.5" x14ac:dyDescent="0.35">
      <c r="A53" t="str">
        <f>DETAILLISTEROUGE!A12</f>
        <v>AS201605</v>
      </c>
      <c r="B53" t="str">
        <f>DETAILLISTEROUGE!B12</f>
        <v>CHINGUE FABRICE</v>
      </c>
      <c r="C53" s="108">
        <f>DETAILLISTEROUGE!E12</f>
        <v>428899.37129714503</v>
      </c>
    </row>
    <row r="54" spans="1:3" ht="17.5" x14ac:dyDescent="0.35">
      <c r="A54" t="str">
        <f>DETAILLISTEROUGE!A13</f>
        <v>AS201608</v>
      </c>
      <c r="B54" t="str">
        <f>DETAILLISTEROUGE!B13</f>
        <v>NJEPDIO MBOUKAM DELUXE</v>
      </c>
      <c r="C54" s="108">
        <f>DETAILLISTEROUGE!E13</f>
        <v>496118</v>
      </c>
    </row>
    <row r="55" spans="1:3" x14ac:dyDescent="0.35">
      <c r="C55" s="27"/>
    </row>
    <row r="56" spans="1:3" ht="18" thickBot="1" x14ac:dyDescent="0.4">
      <c r="A56" t="str">
        <f>DETAILLISTEROUGE!A17</f>
        <v>TOTAL</v>
      </c>
      <c r="C56" s="58">
        <f>SUM(C50:C55)</f>
        <v>1740901.371297145</v>
      </c>
    </row>
    <row r="57" spans="1:3" ht="15" thickTop="1" x14ac:dyDescent="0.35"/>
    <row r="58" spans="1:3" ht="18" thickBot="1" x14ac:dyDescent="0.4">
      <c r="A58" t="s">
        <v>218</v>
      </c>
      <c r="C58" s="58">
        <f>+C46+C56</f>
        <v>19060901.371297143</v>
      </c>
    </row>
    <row r="59" spans="1:3" ht="15" thickTop="1" x14ac:dyDescent="0.35"/>
  </sheetData>
  <mergeCells count="1">
    <mergeCell ref="A4:E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workbookViewId="0">
      <selection activeCell="E13" sqref="E13"/>
    </sheetView>
  </sheetViews>
  <sheetFormatPr baseColWidth="10" defaultRowHeight="14.5" x14ac:dyDescent="0.35"/>
  <cols>
    <col min="1" max="1" width="21.54296875" customWidth="1"/>
    <col min="2" max="2" width="30" bestFit="1" customWidth="1"/>
    <col min="3" max="3" width="16.81640625" bestFit="1" customWidth="1"/>
    <col min="4" max="4" width="18.7265625" customWidth="1"/>
    <col min="5" max="6" width="22.7265625" customWidth="1"/>
    <col min="7" max="7" width="19.453125" bestFit="1" customWidth="1"/>
  </cols>
  <sheetData>
    <row r="1" spans="1:7" x14ac:dyDescent="0.35">
      <c r="A1" s="1" t="s">
        <v>94</v>
      </c>
      <c r="B1" s="1" t="s">
        <v>95</v>
      </c>
    </row>
    <row r="2" spans="1:7" x14ac:dyDescent="0.35">
      <c r="A2" s="1" t="s">
        <v>10</v>
      </c>
      <c r="B2" s="1">
        <v>2025</v>
      </c>
    </row>
    <row r="4" spans="1:7" ht="26" x14ac:dyDescent="0.35">
      <c r="A4" s="163" t="s">
        <v>139</v>
      </c>
      <c r="B4" s="164"/>
      <c r="C4" s="164"/>
      <c r="D4" s="164"/>
      <c r="E4" s="164"/>
      <c r="F4" s="95"/>
    </row>
    <row r="5" spans="1:7" ht="15" thickBot="1" x14ac:dyDescent="0.4">
      <c r="A5" s="70"/>
      <c r="B5" s="71"/>
      <c r="C5" s="72"/>
      <c r="D5" s="72"/>
      <c r="E5" s="73"/>
      <c r="F5" s="73"/>
    </row>
    <row r="6" spans="1:7" ht="48" customHeight="1" thickTop="1" x14ac:dyDescent="0.35">
      <c r="A6" s="112" t="s">
        <v>96</v>
      </c>
      <c r="B6" s="111" t="s">
        <v>52</v>
      </c>
      <c r="C6" s="113" t="s">
        <v>9</v>
      </c>
      <c r="D6" s="113" t="s">
        <v>140</v>
      </c>
      <c r="E6" s="113" t="s">
        <v>30</v>
      </c>
      <c r="F6" s="120" t="s">
        <v>146</v>
      </c>
      <c r="G6" s="116" t="s">
        <v>142</v>
      </c>
    </row>
    <row r="7" spans="1:7" ht="17.5" x14ac:dyDescent="0.35">
      <c r="A7" s="13" t="s">
        <v>90</v>
      </c>
      <c r="B7" s="14" t="s">
        <v>141</v>
      </c>
      <c r="C7" s="119">
        <f>[17]CPTEFOTSOTHOMAS!$B$6</f>
        <v>1132500</v>
      </c>
      <c r="D7" s="108">
        <f>[17]CPTEFOTSOTHOMAS!$C$8+20000</f>
        <v>560421</v>
      </c>
      <c r="E7" s="118">
        <f>C7-D7</f>
        <v>572079</v>
      </c>
      <c r="F7" s="121"/>
      <c r="G7" s="15" t="s">
        <v>170</v>
      </c>
    </row>
    <row r="8" spans="1:7" ht="17.5" x14ac:dyDescent="0.35">
      <c r="A8" s="13" t="s">
        <v>62</v>
      </c>
      <c r="B8" s="14" t="s">
        <v>143</v>
      </c>
      <c r="C8" s="119">
        <f>'[17]CPTEKEHEPDAVID)'!$B$6</f>
        <v>2518500</v>
      </c>
      <c r="D8" s="108">
        <f>'[17]CPTEKEHEPDAVID)'!$C$31</f>
        <v>2518500</v>
      </c>
      <c r="E8" s="118">
        <f>C8-D8</f>
        <v>0</v>
      </c>
      <c r="F8" s="121"/>
      <c r="G8" s="15" t="s">
        <v>170</v>
      </c>
    </row>
    <row r="9" spans="1:7" ht="17.5" x14ac:dyDescent="0.35">
      <c r="A9" s="13" t="s">
        <v>63</v>
      </c>
      <c r="B9" s="14" t="s">
        <v>144</v>
      </c>
      <c r="C9" s="119">
        <f>[17]CPTETYAMERNEST!$B$6</f>
        <v>1667000</v>
      </c>
      <c r="D9" s="108">
        <f>[17]CPTETYAMERNEST!$C$28+529783</f>
        <v>1667000</v>
      </c>
      <c r="E9" s="118">
        <f t="shared" ref="E9:E13" si="0">C9-D9</f>
        <v>0</v>
      </c>
      <c r="F9" s="121"/>
      <c r="G9" s="15" t="s">
        <v>170</v>
      </c>
    </row>
    <row r="10" spans="1:7" ht="17.5" x14ac:dyDescent="0.35">
      <c r="A10" s="13" t="s">
        <v>64</v>
      </c>
      <c r="B10" s="14" t="s">
        <v>145</v>
      </c>
      <c r="C10" s="119">
        <f>[17]CPTEFOGANGERIC!$B$6</f>
        <v>1553000</v>
      </c>
      <c r="D10" s="108">
        <f>[17]CPTEFOGANGERIC!$C$14</f>
        <v>1706468</v>
      </c>
      <c r="E10" s="108"/>
      <c r="F10" s="122">
        <f>D10-C10</f>
        <v>153468</v>
      </c>
      <c r="G10" s="15" t="s">
        <v>170</v>
      </c>
    </row>
    <row r="11" spans="1:7" ht="17.5" x14ac:dyDescent="0.35">
      <c r="A11" s="13" t="s">
        <v>103</v>
      </c>
      <c r="B11" s="14" t="s">
        <v>147</v>
      </c>
      <c r="C11" s="119">
        <f>[17]CPTETCHOUANTE!$B$6</f>
        <v>319855</v>
      </c>
      <c r="D11" s="108">
        <f>[17]CPTETCHOUANTE!$C$11</f>
        <v>76050</v>
      </c>
      <c r="E11" s="118">
        <f t="shared" si="0"/>
        <v>243805</v>
      </c>
      <c r="F11" s="121"/>
      <c r="G11" s="15" t="s">
        <v>170</v>
      </c>
    </row>
    <row r="12" spans="1:7" ht="17.5" x14ac:dyDescent="0.35">
      <c r="A12" s="13" t="s">
        <v>65</v>
      </c>
      <c r="B12" s="14" t="s">
        <v>148</v>
      </c>
      <c r="C12" s="119">
        <f>[17]CPTECHINGUE!$B$6</f>
        <v>763899.37129714503</v>
      </c>
      <c r="D12" s="108">
        <f>[17]CPTECHINGUE!$D$20</f>
        <v>335000</v>
      </c>
      <c r="E12" s="118">
        <f t="shared" si="0"/>
        <v>428899.37129714503</v>
      </c>
      <c r="F12" s="121"/>
      <c r="G12" s="15" t="s">
        <v>170</v>
      </c>
    </row>
    <row r="13" spans="1:7" ht="17.5" x14ac:dyDescent="0.35">
      <c r="A13" s="13" t="s">
        <v>66</v>
      </c>
      <c r="B13" s="14" t="s">
        <v>149</v>
      </c>
      <c r="C13" s="119">
        <f>[17]CPTENJEPDJIO!$B$6</f>
        <v>996118</v>
      </c>
      <c r="D13" s="108">
        <f>[17]CPTENJEPDJIO!$C$11</f>
        <v>500000</v>
      </c>
      <c r="E13" s="118">
        <f t="shared" si="0"/>
        <v>496118</v>
      </c>
      <c r="F13" s="121"/>
      <c r="G13" s="15" t="s">
        <v>170</v>
      </c>
    </row>
    <row r="14" spans="1:7" ht="17.5" x14ac:dyDescent="0.35">
      <c r="A14" s="13" t="s">
        <v>87</v>
      </c>
      <c r="B14" s="14" t="s">
        <v>150</v>
      </c>
      <c r="C14" s="119">
        <v>1011250</v>
      </c>
      <c r="D14" s="108">
        <v>227500</v>
      </c>
      <c r="E14" s="118">
        <f>C14-D14-267500-516250</f>
        <v>0</v>
      </c>
      <c r="F14" s="121"/>
      <c r="G14" s="15"/>
    </row>
    <row r="15" spans="1:7" ht="17.5" x14ac:dyDescent="0.35">
      <c r="A15" s="13" t="s">
        <v>67</v>
      </c>
      <c r="B15" s="14" t="s">
        <v>151</v>
      </c>
      <c r="C15" s="119">
        <f>[17]CPTETCHOUTOU!$B$6</f>
        <v>51453.696796924203</v>
      </c>
      <c r="D15" s="108">
        <f>[17]CPTETCHOUTOU!$C$12</f>
        <v>127454</v>
      </c>
      <c r="E15" s="118"/>
      <c r="F15" s="122">
        <v>76000</v>
      </c>
      <c r="G15" s="15" t="s">
        <v>170</v>
      </c>
    </row>
    <row r="16" spans="1:7" x14ac:dyDescent="0.35">
      <c r="A16" s="19"/>
      <c r="B16" s="14"/>
      <c r="C16" s="14"/>
      <c r="D16" s="14"/>
      <c r="E16" s="14"/>
      <c r="F16" s="44"/>
      <c r="G16" s="15"/>
    </row>
    <row r="17" spans="1:7" ht="18" thickBot="1" x14ac:dyDescent="0.4">
      <c r="A17" s="31" t="s">
        <v>23</v>
      </c>
      <c r="B17" s="57"/>
      <c r="C17" s="58">
        <f>SUM(C7:C16)</f>
        <v>10013576.068094069</v>
      </c>
      <c r="D17" s="58">
        <f>SUM(D7:D16)</f>
        <v>7718393</v>
      </c>
      <c r="E17" s="58">
        <f>SUM(E6:E16)</f>
        <v>1740901.371297145</v>
      </c>
      <c r="F17" s="123"/>
      <c r="G17" s="117"/>
    </row>
    <row r="18" spans="1:7" ht="15" thickTop="1" x14ac:dyDescent="0.35"/>
    <row r="19" spans="1:7" ht="17.5" x14ac:dyDescent="0.35">
      <c r="F19" s="119"/>
    </row>
  </sheetData>
  <mergeCells count="1">
    <mergeCell ref="A4:E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47"/>
  <sheetViews>
    <sheetView workbookViewId="0">
      <selection activeCell="C44" sqref="C44"/>
    </sheetView>
  </sheetViews>
  <sheetFormatPr baseColWidth="10" defaultRowHeight="14.5" x14ac:dyDescent="0.35"/>
  <cols>
    <col min="2" max="2" width="30" bestFit="1" customWidth="1"/>
    <col min="3" max="3" width="1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6</v>
      </c>
      <c r="B4" s="164"/>
      <c r="C4" s="164"/>
      <c r="D4" s="164"/>
      <c r="E4" s="164"/>
      <c r="F4" s="164"/>
    </row>
    <row r="5" spans="1:6" ht="15" thickBot="1" x14ac:dyDescent="0.4">
      <c r="A5" s="70"/>
      <c r="B5" s="71"/>
      <c r="C5" s="72"/>
      <c r="D5" s="72"/>
      <c r="E5" s="73"/>
      <c r="F5" s="72"/>
    </row>
    <row r="6" spans="1:6" ht="15.75" customHeight="1" thickTop="1" x14ac:dyDescent="0.4">
      <c r="A6" s="169" t="s">
        <v>96</v>
      </c>
      <c r="B6" s="171" t="s">
        <v>52</v>
      </c>
      <c r="C6" s="106" t="s">
        <v>134</v>
      </c>
      <c r="D6" s="171" t="s">
        <v>131</v>
      </c>
      <c r="E6" s="171"/>
      <c r="F6" s="173"/>
    </row>
    <row r="7" spans="1:6" ht="21.75" customHeight="1" x14ac:dyDescent="0.35">
      <c r="A7" s="170"/>
      <c r="B7" s="172"/>
      <c r="C7" s="107" t="s">
        <v>130</v>
      </c>
      <c r="D7" s="107" t="s">
        <v>132</v>
      </c>
      <c r="E7" s="107" t="s">
        <v>133</v>
      </c>
      <c r="F7" s="26" t="s">
        <v>130</v>
      </c>
    </row>
    <row r="8" spans="1:6" ht="18.5" x14ac:dyDescent="0.45">
      <c r="A8" s="19" t="s">
        <v>90</v>
      </c>
      <c r="B8" s="14" t="str">
        <f>VLOOKUP($A8,[12]LISTADHERENT!$A$5:$K$43,3,0)</f>
        <v>ASELBY</v>
      </c>
      <c r="C8" s="108"/>
      <c r="D8" s="14"/>
      <c r="E8" s="14"/>
      <c r="F8" s="109"/>
    </row>
    <row r="9" spans="1:6" ht="17.5" x14ac:dyDescent="0.35">
      <c r="A9" s="19" t="s">
        <v>62</v>
      </c>
      <c r="B9" s="14" t="str">
        <f>VLOOKUP($A9,[12]LISTADHERENT!$A$5:$K$43,3,0)</f>
        <v>BAKOP ACHILLE</v>
      </c>
      <c r="C9" s="108">
        <f>VLOOKUP(A9,[13]MVTRESUME25!$A$7:$Q$50,17,0)</f>
        <v>0</v>
      </c>
      <c r="D9" s="14"/>
      <c r="E9" s="14"/>
      <c r="F9" s="15"/>
    </row>
    <row r="10" spans="1:6" ht="17.5" x14ac:dyDescent="0.35">
      <c r="A10" s="19" t="s">
        <v>63</v>
      </c>
      <c r="B10" s="14" t="str">
        <f>VLOOKUP($A10,[12]LISTADHERENT!$A$5:$K$43,3,0)</f>
        <v>BOUTCHOUANG WILLIAM</v>
      </c>
      <c r="C10" s="108">
        <f>VLOOKUP(A10,[13]MVTRESUME25!$A$7:$Q$50,17,0)</f>
        <v>0</v>
      </c>
      <c r="D10" s="14"/>
      <c r="E10" s="14"/>
      <c r="F10" s="15"/>
    </row>
    <row r="11" spans="1:6" ht="17.5" x14ac:dyDescent="0.35">
      <c r="A11" s="19" t="s">
        <v>64</v>
      </c>
      <c r="B11" s="14" t="str">
        <f>VLOOKUP($A11,[12]LISTADHERENT!$A$5:$K$43,3,0)</f>
        <v xml:space="preserve">DJOMO JEAN PAUL </v>
      </c>
      <c r="C11" s="108">
        <f>VLOOKUP(A11,[13]MVTRESUME25!$A$7:$Q$50,17,0)</f>
        <v>0</v>
      </c>
      <c r="D11" s="14"/>
      <c r="E11" s="14"/>
      <c r="F11" s="15"/>
    </row>
    <row r="12" spans="1:6" ht="17.5" x14ac:dyDescent="0.35">
      <c r="A12" s="19" t="s">
        <v>103</v>
      </c>
      <c r="B12" s="14" t="str">
        <f>VLOOKUP($A12,[12]LISTADHERENT!$A$5:$K$43,3,0)</f>
        <v>DJOMOU TCHAPDA</v>
      </c>
      <c r="C12" s="108">
        <f>VLOOKUP(A12,[13]MVTRESUME25!$A$7:$Q$50,17,0)</f>
        <v>0</v>
      </c>
      <c r="D12" s="14"/>
      <c r="E12" s="14"/>
      <c r="F12" s="15"/>
    </row>
    <row r="13" spans="1:6" ht="17.5" x14ac:dyDescent="0.35">
      <c r="A13" s="19" t="s">
        <v>65</v>
      </c>
      <c r="B13" s="14" t="str">
        <f>VLOOKUP($A13,[12]LISTADHERENT!$A$5:$K$43,3,0)</f>
        <v>DJOUKWE NANGUEN GUY BLAISE</v>
      </c>
      <c r="C13" s="108">
        <f>VLOOKUP(A13,[13]MVTRESUME25!$A$7:$Q$50,17,0)</f>
        <v>0</v>
      </c>
      <c r="D13" s="14"/>
      <c r="E13" s="14"/>
      <c r="F13" s="15"/>
    </row>
    <row r="14" spans="1:6" ht="17.5" x14ac:dyDescent="0.35">
      <c r="A14" s="19" t="s">
        <v>66</v>
      </c>
      <c r="B14" s="14" t="str">
        <f>VLOOKUP($A14,[12]LISTADHERENT!$A$5:$K$43,3,0)</f>
        <v>DJUOMBESSY ANTOINE</v>
      </c>
      <c r="C14" s="108">
        <f>VLOOKUP(A14,[13]MVTRESUME25!$A$7:$Q$50,17,0)</f>
        <v>0</v>
      </c>
      <c r="D14" s="14"/>
      <c r="E14" s="14"/>
      <c r="F14" s="15"/>
    </row>
    <row r="15" spans="1:6" ht="17.5" x14ac:dyDescent="0.35">
      <c r="A15" s="19" t="s">
        <v>87</v>
      </c>
      <c r="B15" s="14" t="str">
        <f>VLOOKUP($A15,[12]LISTADHERENT!$A$5:$K$43,3,0)</f>
        <v>DOMOU FABIEN</v>
      </c>
      <c r="C15" s="108">
        <f>VLOOKUP(A15,[13]MVTRESUME25!$A$7:$Q$50,17,0)</f>
        <v>0</v>
      </c>
      <c r="D15" s="14"/>
      <c r="E15" s="14"/>
      <c r="F15" s="15"/>
    </row>
    <row r="16" spans="1:6" ht="17.5" x14ac:dyDescent="0.35">
      <c r="A16" s="19" t="s">
        <v>67</v>
      </c>
      <c r="B16" s="14" t="str">
        <f>VLOOKUP($A16,[12]LISTADHERENT!$A$5:$K$43,3,0)</f>
        <v>DONHOU DAVID</v>
      </c>
      <c r="C16" s="108">
        <f>VLOOKUP(A16,[13]MVTRESUME25!$A$7:$Q$50,17,0)</f>
        <v>0</v>
      </c>
      <c r="D16" s="14"/>
      <c r="E16" s="14"/>
      <c r="F16" s="15"/>
    </row>
    <row r="17" spans="1:6" ht="17.5" x14ac:dyDescent="0.35">
      <c r="A17" s="19" t="s">
        <v>181</v>
      </c>
      <c r="B17" s="14" t="str">
        <f>VLOOKUP($A17,[12]LISTADHERENT!$A$5:$K$43,3,0)</f>
        <v>FAMPOU PAUL</v>
      </c>
      <c r="C17" s="108">
        <f>VLOOKUP(A17,[13]MVTRESUME25!$A$7:$Q$50,17,0)</f>
        <v>25000</v>
      </c>
      <c r="D17" s="14"/>
      <c r="E17" s="14"/>
      <c r="F17" s="15"/>
    </row>
    <row r="18" spans="1:6" ht="17.5" x14ac:dyDescent="0.35">
      <c r="A18" s="19" t="s">
        <v>68</v>
      </c>
      <c r="B18" s="14" t="str">
        <f>VLOOKUP($A18,[12]LISTADHERENT!$A$5:$K$43,3,0)</f>
        <v>HENGUE PAUL OMER</v>
      </c>
      <c r="C18" s="108">
        <f>VLOOKUP(A18,[13]MVTRESUME25!$A$7:$Q$50,17,0)</f>
        <v>0</v>
      </c>
      <c r="D18" s="14"/>
      <c r="E18" s="14"/>
      <c r="F18" s="15"/>
    </row>
    <row r="19" spans="1:6" ht="17.5" x14ac:dyDescent="0.35">
      <c r="A19" s="19" t="s">
        <v>69</v>
      </c>
      <c r="B19" s="14" t="str">
        <f>VLOOKUP($A19,[12]LISTADHERENT!$A$5:$K$43,3,0)</f>
        <v>HOTCHO BENJAMIN</v>
      </c>
      <c r="C19" s="108">
        <f>VLOOKUP(A19,[13]MVTRESUME25!$A$7:$Q$50,17,0)</f>
        <v>0</v>
      </c>
      <c r="D19" s="14"/>
      <c r="E19" s="14"/>
      <c r="F19" s="15"/>
    </row>
    <row r="20" spans="1:6" ht="17.5" x14ac:dyDescent="0.35">
      <c r="A20" s="19" t="s">
        <v>70</v>
      </c>
      <c r="B20" s="14" t="str">
        <f>VLOOKUP($A20,[12]LISTADHERENT!$A$5:$K$43,3,0)</f>
        <v>KOUAMOU MOISE</v>
      </c>
      <c r="C20" s="108">
        <f>VLOOKUP(A20,[13]MVTRESUME25!$A$7:$Q$50,17,0)</f>
        <v>0</v>
      </c>
      <c r="D20" s="14"/>
      <c r="E20" s="14"/>
      <c r="F20" s="15"/>
    </row>
    <row r="21" spans="1:6" ht="17.5" x14ac:dyDescent="0.35">
      <c r="A21" s="19" t="s">
        <v>71</v>
      </c>
      <c r="B21" s="14" t="str">
        <f>VLOOKUP($A21,[12]LISTADHERENT!$A$5:$K$43,3,0)</f>
        <v>KOUATCHO MESSACK</v>
      </c>
      <c r="C21" s="108">
        <f>VLOOKUP(A21,[13]MVTRESUME25!$A$7:$Q$50,17,0)</f>
        <v>0</v>
      </c>
      <c r="D21" s="14"/>
      <c r="E21" s="14"/>
      <c r="F21" s="15"/>
    </row>
    <row r="22" spans="1:6" ht="17.5" x14ac:dyDescent="0.35">
      <c r="A22" s="19" t="s">
        <v>72</v>
      </c>
      <c r="B22" s="14" t="str">
        <f>VLOOKUP($A22,[12]LISTADHERENT!$A$5:$K$43,3,0)</f>
        <v>LOWE JEAN</v>
      </c>
      <c r="C22" s="108">
        <f>VLOOKUP(A22,[13]MVTRESUME25!$A$7:$Q$50,17,0)</f>
        <v>0</v>
      </c>
      <c r="D22" s="14"/>
      <c r="E22" s="14"/>
      <c r="F22" s="15"/>
    </row>
    <row r="23" spans="1:6" ht="17.5" x14ac:dyDescent="0.35">
      <c r="A23" s="19" t="s">
        <v>163</v>
      </c>
      <c r="B23" s="14" t="str">
        <f>VLOOKUP($A23,[12]LISTADHERENT!$A$5:$K$43,3,0)</f>
        <v>MASSEUNGOUE DAGOBERT</v>
      </c>
      <c r="C23" s="108">
        <f>VLOOKUP(A23,[13]MVTRESUME25!$A$7:$Q$50,17,0)</f>
        <v>0</v>
      </c>
      <c r="D23" s="14"/>
      <c r="E23" s="14"/>
      <c r="F23" s="15"/>
    </row>
    <row r="24" spans="1:6" ht="17.5" x14ac:dyDescent="0.35">
      <c r="A24" s="19" t="s">
        <v>86</v>
      </c>
      <c r="B24" s="14" t="str">
        <f>VLOOKUP($A24,[12]LISTADHERENT!$A$5:$K$43,3,0)</f>
        <v>MBOGNING TUGMA GUY</v>
      </c>
      <c r="C24" s="108">
        <f>VLOOKUP(A24,[13]MVTRESUME25!$A$7:$Q$50,17,0)</f>
        <v>0</v>
      </c>
      <c r="D24" s="14"/>
      <c r="E24" s="14"/>
      <c r="F24" s="15"/>
    </row>
    <row r="25" spans="1:6" ht="17.5" x14ac:dyDescent="0.35">
      <c r="A25" s="19" t="s">
        <v>81</v>
      </c>
      <c r="B25" s="14" t="str">
        <f>VLOOKUP($A25,[12]LISTADHERENT!$A$5:$K$43,3,0)</f>
        <v>NANGUEN MARTIN</v>
      </c>
      <c r="C25" s="108">
        <f>VLOOKUP(A25,[13]MVTRESUME25!$A$7:$Q$50,17,0)</f>
        <v>0</v>
      </c>
      <c r="D25" s="14"/>
      <c r="E25" s="14"/>
      <c r="F25" s="15"/>
    </row>
    <row r="26" spans="1:6" ht="17.5" x14ac:dyDescent="0.35">
      <c r="A26" s="19" t="s">
        <v>73</v>
      </c>
      <c r="B26" s="14" t="str">
        <f>VLOOKUP($A26,[12]LISTADHERENT!$A$5:$K$43,3,0)</f>
        <v>NANKAM APPOLINAIRE</v>
      </c>
      <c r="C26" s="108">
        <f>VLOOKUP(A26,[13]MVTRESUME25!$A$7:$Q$50,17,0)</f>
        <v>0</v>
      </c>
      <c r="D26" s="14"/>
      <c r="E26" s="14"/>
      <c r="F26" s="15"/>
    </row>
    <row r="27" spans="1:6" ht="17.5" x14ac:dyDescent="0.35">
      <c r="A27" s="19" t="s">
        <v>74</v>
      </c>
      <c r="B27" s="14" t="str">
        <f>VLOOKUP($A27,[12]LISTADHERENT!$A$5:$K$43,3,0)</f>
        <v>NDJOMO ETIENNE</v>
      </c>
      <c r="C27" s="108">
        <f>VLOOKUP(A27,[13]MVTRESUME25!$A$7:$Q$50,17,0)</f>
        <v>0</v>
      </c>
      <c r="D27" s="14"/>
      <c r="E27" s="14"/>
      <c r="F27" s="15"/>
    </row>
    <row r="28" spans="1:6" ht="17.5" x14ac:dyDescent="0.35">
      <c r="A28" s="19" t="s">
        <v>75</v>
      </c>
      <c r="B28" s="14" t="str">
        <f>VLOOKUP($A28,[12]LISTADHERENT!$A$5:$K$43,3,0)</f>
        <v>NGONDIEP CLAUDE</v>
      </c>
      <c r="C28" s="108">
        <f>VLOOKUP(A28,[13]MVTRESUME25!$A$7:$Q$50,17,0)</f>
        <v>0</v>
      </c>
      <c r="D28" s="14"/>
      <c r="E28" s="14"/>
      <c r="F28" s="15"/>
    </row>
    <row r="29" spans="1:6" ht="17.5" x14ac:dyDescent="0.35">
      <c r="A29" s="19" t="s">
        <v>77</v>
      </c>
      <c r="B29" s="14" t="str">
        <f>VLOOKUP($A29,[12]LISTADHERENT!$A$5:$K$43,3,0)</f>
        <v>NGUIEMEGNI MATHIEU BLAISE</v>
      </c>
      <c r="C29" s="108">
        <f>VLOOKUP(A29,[13]MVTRESUME25!$A$7:$Q$50,17,0)</f>
        <v>0</v>
      </c>
      <c r="D29" s="14"/>
      <c r="E29" s="14"/>
      <c r="F29" s="15"/>
    </row>
    <row r="30" spans="1:6" ht="17.5" x14ac:dyDescent="0.35">
      <c r="A30" s="19" t="s">
        <v>78</v>
      </c>
      <c r="B30" s="14" t="str">
        <f>VLOOKUP($A30,[12]LISTADHERENT!$A$5:$K$43,3,0)</f>
        <v>NKAMGANG JUSTIN DEJOLIE</v>
      </c>
      <c r="C30" s="108">
        <f>VLOOKUP(A30,[13]MVTRESUME25!$A$7:$Q$50,17,0)</f>
        <v>0</v>
      </c>
      <c r="D30" s="14"/>
      <c r="E30" s="14"/>
      <c r="F30" s="15"/>
    </row>
    <row r="31" spans="1:6" ht="17.5" x14ac:dyDescent="0.35">
      <c r="A31" s="19" t="s">
        <v>104</v>
      </c>
      <c r="B31" s="14" t="str">
        <f>VLOOKUP($A31,[12]LISTADHERENT!$A$5:$K$43,3,0)</f>
        <v>NOUBE ETIENNE</v>
      </c>
      <c r="C31" s="108">
        <f>VLOOKUP(A31,[13]MVTRESUME25!$A$7:$Q$50,17,0)</f>
        <v>0</v>
      </c>
      <c r="D31" s="14"/>
      <c r="E31" s="14"/>
      <c r="F31" s="15"/>
    </row>
    <row r="32" spans="1:6" ht="17.5" x14ac:dyDescent="0.35">
      <c r="A32" s="19" t="s">
        <v>79</v>
      </c>
      <c r="B32" s="14" t="str">
        <f>VLOOKUP($A32,[12]LISTADHERENT!$A$5:$K$43,3,0)</f>
        <v>PATEGO NJOSSU GUSTAVE</v>
      </c>
      <c r="C32" s="108">
        <f>VLOOKUP(A32,[13]MVTRESUME25!$A$7:$Q$50,17,0)</f>
        <v>0</v>
      </c>
      <c r="D32" s="14"/>
      <c r="E32" s="14"/>
      <c r="F32" s="15"/>
    </row>
    <row r="33" spans="1:6" ht="17.5" x14ac:dyDescent="0.35">
      <c r="A33" s="19" t="s">
        <v>127</v>
      </c>
      <c r="B33" s="14" t="str">
        <f>VLOOKUP($A33,[12]LISTADHERENT!$A$5:$K$43,3,0)</f>
        <v>SEUMO POLYCARPE</v>
      </c>
      <c r="C33" s="108">
        <f>VLOOKUP(A33,[13]MVTRESUME25!$A$7:$Q$50,17,0)</f>
        <v>0</v>
      </c>
      <c r="D33" s="14"/>
      <c r="E33" s="14"/>
      <c r="F33" s="15"/>
    </row>
    <row r="34" spans="1:6" ht="17.5" x14ac:dyDescent="0.35">
      <c r="A34" s="19" t="s">
        <v>89</v>
      </c>
      <c r="B34" s="14" t="str">
        <f>VLOOKUP($A34,[12]LISTADHERENT!$A$5:$K$43,3,0)</f>
        <v>SIME BRICE</v>
      </c>
      <c r="C34" s="108">
        <f>VLOOKUP(A34,[13]MVTRESUME25!$A$7:$Q$50,17,0)</f>
        <v>0</v>
      </c>
      <c r="D34" s="14"/>
      <c r="E34" s="14"/>
      <c r="F34" s="15"/>
    </row>
    <row r="35" spans="1:6" ht="17.5" x14ac:dyDescent="0.35">
      <c r="A35" s="19" t="s">
        <v>182</v>
      </c>
      <c r="B35" s="14" t="str">
        <f>VLOOKUP($A35,[12]LISTADHERENT!$A$5:$K$43,3,0)</f>
        <v>SIMO FONGANG ERIC</v>
      </c>
      <c r="C35" s="108">
        <f>VLOOKUP(A35,[13]MVTRESUME25!$A$7:$Q$50,17,0)</f>
        <v>0</v>
      </c>
      <c r="D35" s="14"/>
      <c r="E35" s="14"/>
      <c r="F35" s="15"/>
    </row>
    <row r="36" spans="1:6" ht="17.5" x14ac:dyDescent="0.35">
      <c r="A36" s="19" t="s">
        <v>80</v>
      </c>
      <c r="B36" s="14" t="str">
        <f>VLOOKUP($A36,[12]LISTADHERENT!$A$5:$K$43,3,0)</f>
        <v>SIMO PIERRE</v>
      </c>
      <c r="C36" s="108">
        <f>VLOOKUP(A36,[13]MVTRESUME25!$A$7:$Q$50,17,0)</f>
        <v>0</v>
      </c>
      <c r="D36" s="14"/>
      <c r="E36" s="14"/>
      <c r="F36" s="15"/>
    </row>
    <row r="37" spans="1:6" ht="17.5" x14ac:dyDescent="0.35">
      <c r="A37" s="19" t="s">
        <v>82</v>
      </c>
      <c r="B37" s="14" t="str">
        <f>VLOOKUP($A37,[12]LISTADHERENT!$A$5:$K$43,3,0)</f>
        <v>TCHOUAMOU MATHIEU</v>
      </c>
      <c r="C37" s="108">
        <f>VLOOKUP(A37,[13]MVTRESUME25!$A$7:$Q$50,17,0)</f>
        <v>0</v>
      </c>
      <c r="D37" s="14"/>
      <c r="E37" s="14"/>
      <c r="F37" s="15"/>
    </row>
    <row r="38" spans="1:6" ht="17.5" x14ac:dyDescent="0.35">
      <c r="A38" s="19" t="s">
        <v>164</v>
      </c>
      <c r="B38" s="14" t="str">
        <f>VLOOKUP($A38,[12]LISTADHERENT!$A$5:$K$43,3,0)</f>
        <v>TCHOUATEU AUGUSTIN</v>
      </c>
      <c r="C38" s="108">
        <f>VLOOKUP(A38,[13]MVTRESUME25!$A$7:$Q$50,17,0)</f>
        <v>0</v>
      </c>
      <c r="D38" s="14"/>
      <c r="E38" s="14"/>
      <c r="F38" s="15"/>
    </row>
    <row r="39" spans="1:6" ht="17.5" x14ac:dyDescent="0.35">
      <c r="A39" s="19" t="s">
        <v>83</v>
      </c>
      <c r="B39" s="14" t="str">
        <f>VLOOKUP($A39,[12]LISTADHERENT!$A$5:$K$43,3,0)</f>
        <v>TCHOUTOU NANA CLAUDE</v>
      </c>
      <c r="C39" s="108">
        <f>VLOOKUP(A39,[13]MVTRESUME25!$A$7:$Q$50,17,0)</f>
        <v>0</v>
      </c>
      <c r="D39" s="14"/>
      <c r="E39" s="14"/>
      <c r="F39" s="15"/>
    </row>
    <row r="40" spans="1:6" ht="17.5" x14ac:dyDescent="0.35">
      <c r="A40" s="19" t="s">
        <v>183</v>
      </c>
      <c r="B40" s="14" t="str">
        <f>VLOOKUP($A40,[12]LISTADHERENT!$A$5:$K$43,3,0)</f>
        <v>TIEYAM ERNEST</v>
      </c>
      <c r="C40" s="108">
        <f>VLOOKUP(A40,[13]MVTRESUME25!$A$7:$Q$50,17,0)</f>
        <v>0</v>
      </c>
      <c r="D40" s="14"/>
      <c r="E40" s="14"/>
      <c r="F40" s="15"/>
    </row>
    <row r="41" spans="1:6" ht="17.5" x14ac:dyDescent="0.35">
      <c r="A41" s="19" t="s">
        <v>128</v>
      </c>
      <c r="B41" s="14" t="str">
        <f>VLOOKUP($A41,[12]LISTADHERENT!$A$5:$K$43,3,0)</f>
        <v>YANTCHOU GERVAIS</v>
      </c>
      <c r="C41" s="108">
        <f>VLOOKUP(A41,[13]MVTRESUME25!$A$7:$Q$50,17,0)</f>
        <v>0</v>
      </c>
      <c r="D41" s="14"/>
      <c r="E41" s="14"/>
      <c r="F41" s="15"/>
    </row>
    <row r="42" spans="1:6" ht="17.5" x14ac:dyDescent="0.35">
      <c r="A42" s="19" t="s">
        <v>84</v>
      </c>
      <c r="B42" s="14" t="str">
        <f>VLOOKUP($A42,[12]LISTADHERENT!$A$5:$K$43,3,0)</f>
        <v>YEPMOU JEAN JACQUES</v>
      </c>
      <c r="C42" s="108">
        <f>VLOOKUP(A42,[13]MVTRESUME25!$A$7:$Q$50,17,0)</f>
        <v>0</v>
      </c>
      <c r="D42" s="14"/>
      <c r="E42" s="14"/>
      <c r="F42" s="15"/>
    </row>
    <row r="43" spans="1:6" ht="17.5" x14ac:dyDescent="0.35">
      <c r="A43" s="19" t="s">
        <v>165</v>
      </c>
      <c r="B43" s="14" t="str">
        <f>VLOOKUP($A43,[12]LISTADHERENT!$A$5:$K$43,3,0)</f>
        <v>YIALA ALAIN OSCAR</v>
      </c>
      <c r="C43" s="108">
        <f>VLOOKUP(A43,[13]MVTRESUME25!$A$7:$Q$50,17,0)</f>
        <v>0</v>
      </c>
      <c r="D43" s="14"/>
      <c r="E43" s="14"/>
      <c r="F43" s="15"/>
    </row>
    <row r="44" spans="1:6" ht="17.5" x14ac:dyDescent="0.35">
      <c r="A44" s="19" t="s">
        <v>85</v>
      </c>
      <c r="B44" s="14" t="str">
        <f>VLOOKUP($A44,[12]LISTADHERENT!$A$5:$K$43,3,0)</f>
        <v>YOUMBI EMMANUEL</v>
      </c>
      <c r="C44" s="108">
        <f>VLOOKUP(A44,[13]MVTRESUME25!$A$7:$Q$50,17,0)</f>
        <v>0</v>
      </c>
      <c r="D44" s="14"/>
      <c r="E44" s="14"/>
      <c r="F44" s="15"/>
    </row>
    <row r="45" spans="1:6" x14ac:dyDescent="0.35">
      <c r="A45" s="19"/>
      <c r="B45" s="14"/>
      <c r="C45" s="14"/>
      <c r="D45" s="14"/>
      <c r="E45" s="14"/>
      <c r="F45" s="15"/>
    </row>
    <row r="46" spans="1:6" ht="18" thickBot="1" x14ac:dyDescent="0.4">
      <c r="A46" s="31" t="s">
        <v>23</v>
      </c>
      <c r="B46" s="57"/>
      <c r="C46" s="58">
        <f>SUM(C8:C45)</f>
        <v>25000</v>
      </c>
      <c r="D46" s="58"/>
      <c r="E46" s="58">
        <f t="shared" ref="E46:F46" si="0">SUM(E6:E45)</f>
        <v>0</v>
      </c>
      <c r="F46" s="59">
        <f t="shared" si="0"/>
        <v>0</v>
      </c>
    </row>
    <row r="47" spans="1:6" ht="15" thickTop="1" x14ac:dyDescent="0.35"/>
  </sheetData>
  <mergeCells count="4">
    <mergeCell ref="A4:F4"/>
    <mergeCell ref="A6:A7"/>
    <mergeCell ref="B6:B7"/>
    <mergeCell ref="D6:F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workbookViewId="0">
      <selection activeCell="F11" sqref="F11"/>
    </sheetView>
  </sheetViews>
  <sheetFormatPr baseColWidth="10" defaultRowHeight="14.5" x14ac:dyDescent="0.35"/>
  <cols>
    <col min="2" max="2" width="15.81640625" bestFit="1" customWidth="1"/>
    <col min="3" max="3" width="20.2695312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129</v>
      </c>
      <c r="B4" s="164"/>
      <c r="C4" s="164"/>
      <c r="D4" s="164"/>
      <c r="E4" s="164"/>
      <c r="F4" s="164"/>
    </row>
    <row r="5" spans="1:6" ht="26" x14ac:dyDescent="0.35">
      <c r="A5" s="130"/>
      <c r="B5" s="131"/>
      <c r="C5" s="131"/>
      <c r="D5" s="131"/>
      <c r="E5" s="131"/>
      <c r="F5" s="131"/>
    </row>
    <row r="6" spans="1:6" ht="15.5" x14ac:dyDescent="0.35">
      <c r="B6" s="128" t="s">
        <v>159</v>
      </c>
      <c r="C6" s="128" t="s">
        <v>160</v>
      </c>
    </row>
    <row r="8" spans="1:6" ht="17.5" x14ac:dyDescent="0.35">
      <c r="A8" t="s">
        <v>156</v>
      </c>
      <c r="B8" s="108">
        <f>[21]TONTRESUME25!$R$47</f>
        <v>376500</v>
      </c>
      <c r="C8" s="108">
        <f>[21]TONTRESUME25!$R$49</f>
        <v>10757.142857142857</v>
      </c>
    </row>
    <row r="9" spans="1:6" ht="17.5" x14ac:dyDescent="0.35">
      <c r="A9" t="s">
        <v>157</v>
      </c>
      <c r="B9" s="108">
        <f>[22]TONTRESUME25!$Q$24</f>
        <v>223500</v>
      </c>
      <c r="C9" s="108">
        <f>[22]TONTRESUME25!$Q$26</f>
        <v>17192.307692307691</v>
      </c>
    </row>
    <row r="10" spans="1:6" ht="17.5" x14ac:dyDescent="0.35">
      <c r="A10" t="s">
        <v>158</v>
      </c>
      <c r="B10" s="108">
        <f>[23]TONTRESUME25!$Q$29</f>
        <v>1244000</v>
      </c>
      <c r="C10" s="108">
        <f>[23]TONTRESUME25!$Q$31</f>
        <v>51833.333333333336</v>
      </c>
    </row>
    <row r="12" spans="1:6" ht="17.5" x14ac:dyDescent="0.35">
      <c r="A12" t="s">
        <v>161</v>
      </c>
      <c r="B12" s="118">
        <f>SUM(B8:B11)</f>
        <v>1844000</v>
      </c>
    </row>
  </sheetData>
  <mergeCells count="1">
    <mergeCell ref="A4:F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943B-BF10-4B11-A108-CC0F699323FD}">
  <dimension ref="A1:C44"/>
  <sheetViews>
    <sheetView topLeftCell="A10" workbookViewId="0">
      <selection activeCell="B21" sqref="B21"/>
    </sheetView>
  </sheetViews>
  <sheetFormatPr baseColWidth="10" defaultRowHeight="14.5" x14ac:dyDescent="0.35"/>
  <cols>
    <col min="1" max="1" width="14.81640625" customWidth="1"/>
    <col min="2" max="2" width="37.7265625" customWidth="1"/>
    <col min="3" max="3" width="27.54296875" bestFit="1" customWidth="1"/>
  </cols>
  <sheetData>
    <row r="1" spans="1:3" x14ac:dyDescent="0.35">
      <c r="A1" s="1" t="s">
        <v>94</v>
      </c>
      <c r="B1" s="1" t="s">
        <v>95</v>
      </c>
    </row>
    <row r="2" spans="1:3" x14ac:dyDescent="0.35">
      <c r="A2" s="1" t="s">
        <v>10</v>
      </c>
      <c r="B2" s="1">
        <v>2025</v>
      </c>
    </row>
    <row r="4" spans="1:3" ht="26" x14ac:dyDescent="0.35">
      <c r="A4" s="163" t="s">
        <v>171</v>
      </c>
      <c r="B4" s="164"/>
    </row>
    <row r="5" spans="1:3" ht="15" thickBot="1" x14ac:dyDescent="0.4">
      <c r="A5" s="70"/>
      <c r="B5" s="71"/>
    </row>
    <row r="6" spans="1:3" ht="15.75" customHeight="1" thickTop="1" x14ac:dyDescent="0.35">
      <c r="A6" s="169" t="s">
        <v>8</v>
      </c>
      <c r="B6" s="171" t="s">
        <v>174</v>
      </c>
      <c r="C6" s="173" t="s">
        <v>175</v>
      </c>
    </row>
    <row r="7" spans="1:3" ht="21.75" customHeight="1" x14ac:dyDescent="0.35">
      <c r="A7" s="170"/>
      <c r="B7" s="172"/>
      <c r="C7" s="174"/>
    </row>
    <row r="8" spans="1:3" x14ac:dyDescent="0.35">
      <c r="A8" s="19" t="s">
        <v>15</v>
      </c>
      <c r="B8" s="28">
        <f>[24]HISTOJANV25!$E$6</f>
        <v>4770</v>
      </c>
      <c r="C8" s="15"/>
    </row>
    <row r="9" spans="1:3" x14ac:dyDescent="0.35">
      <c r="A9" s="19" t="s">
        <v>172</v>
      </c>
      <c r="B9" s="28">
        <f>[24]HISTOFEV25!$E$6</f>
        <v>1191</v>
      </c>
      <c r="C9" s="15"/>
    </row>
    <row r="10" spans="1:3" x14ac:dyDescent="0.35">
      <c r="A10" s="19" t="s">
        <v>17</v>
      </c>
      <c r="B10" s="28">
        <f>[24]HISTOMARS25!$E$6</f>
        <v>2395</v>
      </c>
      <c r="C10" s="15"/>
    </row>
    <row r="11" spans="1:3" x14ac:dyDescent="0.35">
      <c r="A11" s="19" t="s">
        <v>18</v>
      </c>
      <c r="B11" s="28">
        <f>[24]HISTOAVRIL25!$E$6</f>
        <v>2385</v>
      </c>
      <c r="C11" s="15"/>
    </row>
    <row r="12" spans="1:3" x14ac:dyDescent="0.35">
      <c r="A12" s="19" t="s">
        <v>19</v>
      </c>
      <c r="B12" s="28">
        <f>[24]HISTOMAI25!$E$6</f>
        <v>2385</v>
      </c>
      <c r="C12" s="15"/>
    </row>
    <row r="13" spans="1:3" x14ac:dyDescent="0.35">
      <c r="A13" s="19" t="s">
        <v>20</v>
      </c>
      <c r="B13" s="28">
        <f>[24]HISTOJUIN25!$E$6</f>
        <v>2385</v>
      </c>
      <c r="C13" s="15"/>
    </row>
    <row r="14" spans="1:3" x14ac:dyDescent="0.35">
      <c r="A14" s="19" t="s">
        <v>21</v>
      </c>
      <c r="B14" s="28">
        <f>[24]HISTOJUIL25!$E$6</f>
        <v>4770</v>
      </c>
      <c r="C14" s="29">
        <f>+[24]HISTOJUIL25!$F$6</f>
        <v>17444</v>
      </c>
    </row>
    <row r="15" spans="1:3" x14ac:dyDescent="0.35">
      <c r="A15" s="19" t="s">
        <v>22</v>
      </c>
      <c r="B15" s="28">
        <f>[24]HISTOAOUT25!$E$6</f>
        <v>2385</v>
      </c>
      <c r="C15" s="15"/>
    </row>
    <row r="16" spans="1:3" x14ac:dyDescent="0.35">
      <c r="A16" s="19" t="s">
        <v>11</v>
      </c>
      <c r="B16" s="28">
        <f>[24]HISTOSEPT25!$E$6</f>
        <v>1193</v>
      </c>
      <c r="C16" s="15"/>
    </row>
    <row r="17" spans="1:3" x14ac:dyDescent="0.35">
      <c r="A17" s="19" t="s">
        <v>12</v>
      </c>
      <c r="B17" s="28">
        <f>[24]HISTOOCT25!$E$6</f>
        <v>3578</v>
      </c>
      <c r="C17" s="15"/>
    </row>
    <row r="18" spans="1:3" x14ac:dyDescent="0.35">
      <c r="A18" s="19" t="s">
        <v>13</v>
      </c>
      <c r="B18" s="28">
        <f>[24]HISTONOV25!$E$6</f>
        <v>2385</v>
      </c>
      <c r="C18" s="15"/>
    </row>
    <row r="19" spans="1:3" x14ac:dyDescent="0.35">
      <c r="A19" s="19" t="s">
        <v>14</v>
      </c>
      <c r="B19" s="28">
        <f>[24]HISTODEC25!$E$6</f>
        <v>2385</v>
      </c>
      <c r="C19" s="15"/>
    </row>
    <row r="20" spans="1:3" x14ac:dyDescent="0.35">
      <c r="A20" s="19"/>
      <c r="B20" s="14"/>
      <c r="C20" s="15"/>
    </row>
    <row r="21" spans="1:3" ht="18" thickBot="1" x14ac:dyDescent="0.4">
      <c r="A21" s="31" t="s">
        <v>23</v>
      </c>
      <c r="B21" s="58">
        <f>SUM(B8:B20)</f>
        <v>32207</v>
      </c>
      <c r="C21" s="59">
        <f>SUM(C8:C20)</f>
        <v>17444</v>
      </c>
    </row>
    <row r="22" spans="1:3" ht="15" thickTop="1" x14ac:dyDescent="0.35">
      <c r="A22" s="19"/>
      <c r="B22" s="14"/>
    </row>
    <row r="23" spans="1:3" x14ac:dyDescent="0.35">
      <c r="A23" s="19"/>
      <c r="B23" s="14"/>
    </row>
    <row r="24" spans="1:3" x14ac:dyDescent="0.35">
      <c r="A24" s="19"/>
      <c r="B24" s="14"/>
    </row>
    <row r="25" spans="1:3" x14ac:dyDescent="0.35">
      <c r="A25" s="19"/>
      <c r="B25" s="14"/>
    </row>
    <row r="26" spans="1:3" x14ac:dyDescent="0.35">
      <c r="A26" s="19"/>
      <c r="B26" s="14"/>
    </row>
    <row r="27" spans="1:3" x14ac:dyDescent="0.35">
      <c r="A27" s="19"/>
      <c r="B27" s="14"/>
    </row>
    <row r="28" spans="1:3" x14ac:dyDescent="0.35">
      <c r="A28" s="19"/>
      <c r="B28" s="14"/>
    </row>
    <row r="29" spans="1:3" x14ac:dyDescent="0.35">
      <c r="A29" s="19"/>
      <c r="B29" s="14"/>
    </row>
    <row r="30" spans="1:3" x14ac:dyDescent="0.35">
      <c r="A30" s="19"/>
      <c r="B30" s="14"/>
    </row>
    <row r="31" spans="1:3" x14ac:dyDescent="0.35">
      <c r="A31" s="19"/>
      <c r="B31" s="14"/>
    </row>
    <row r="32" spans="1:3" x14ac:dyDescent="0.35">
      <c r="A32" s="19"/>
      <c r="B32" s="14"/>
    </row>
    <row r="33" spans="1:2" x14ac:dyDescent="0.35">
      <c r="A33" s="19"/>
      <c r="B33" s="14"/>
    </row>
    <row r="34" spans="1:2" x14ac:dyDescent="0.35">
      <c r="A34" s="19"/>
      <c r="B34" s="14"/>
    </row>
    <row r="35" spans="1:2" x14ac:dyDescent="0.35">
      <c r="A35" s="19"/>
      <c r="B35" s="14"/>
    </row>
    <row r="36" spans="1:2" x14ac:dyDescent="0.35">
      <c r="A36" s="19"/>
      <c r="B36" s="14"/>
    </row>
    <row r="37" spans="1:2" x14ac:dyDescent="0.35">
      <c r="A37" s="19"/>
      <c r="B37" s="14"/>
    </row>
    <row r="38" spans="1:2" x14ac:dyDescent="0.35">
      <c r="A38" s="19"/>
      <c r="B38" s="14"/>
    </row>
    <row r="39" spans="1:2" x14ac:dyDescent="0.35">
      <c r="A39" s="19"/>
      <c r="B39" s="14"/>
    </row>
    <row r="40" spans="1:2" x14ac:dyDescent="0.35">
      <c r="A40" s="19"/>
      <c r="B40" s="14"/>
    </row>
    <row r="41" spans="1:2" x14ac:dyDescent="0.35">
      <c r="A41" s="19"/>
      <c r="B41" s="14"/>
    </row>
    <row r="42" spans="1:2" x14ac:dyDescent="0.35">
      <c r="A42" s="19"/>
      <c r="B42" s="14"/>
    </row>
    <row r="43" spans="1:2" ht="15" thickBot="1" x14ac:dyDescent="0.4">
      <c r="A43" s="31" t="s">
        <v>23</v>
      </c>
      <c r="B43" s="57"/>
    </row>
    <row r="44" spans="1:2" ht="15" thickTop="1" x14ac:dyDescent="0.35"/>
  </sheetData>
  <mergeCells count="4">
    <mergeCell ref="A4:B4"/>
    <mergeCell ref="A6:A7"/>
    <mergeCell ref="B6:B7"/>
    <mergeCell ref="C6:C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7BB-89AA-481A-BDFC-845C55C4C6CC}">
  <dimension ref="A1:F32"/>
  <sheetViews>
    <sheetView workbookViewId="0">
      <selection activeCell="C11" sqref="C11"/>
    </sheetView>
  </sheetViews>
  <sheetFormatPr baseColWidth="10" defaultRowHeight="14.5" x14ac:dyDescent="0.35"/>
  <cols>
    <col min="1" max="1" width="13.81640625" bestFit="1" customWidth="1"/>
    <col min="2" max="2" width="30" bestFit="1" customWidth="1"/>
    <col min="3" max="3" width="15" bestFit="1" customWidth="1"/>
    <col min="5" max="5" width="30.26953125" bestFit="1" customWidth="1"/>
    <col min="6" max="6" width="15" bestFit="1" customWidth="1"/>
  </cols>
  <sheetData>
    <row r="1" spans="1:6" x14ac:dyDescent="0.35">
      <c r="A1" s="1" t="s">
        <v>94</v>
      </c>
      <c r="B1" s="1" t="s">
        <v>95</v>
      </c>
    </row>
    <row r="2" spans="1:6" x14ac:dyDescent="0.35">
      <c r="A2" s="1" t="s">
        <v>10</v>
      </c>
      <c r="B2" s="1">
        <v>2025</v>
      </c>
    </row>
    <row r="4" spans="1:6" ht="26" x14ac:dyDescent="0.35">
      <c r="A4" s="163" t="s">
        <v>173</v>
      </c>
      <c r="B4" s="164"/>
      <c r="C4" s="164"/>
      <c r="D4" s="164"/>
      <c r="E4" s="164"/>
      <c r="F4" s="164"/>
    </row>
    <row r="5" spans="1:6" ht="15" thickBot="1" x14ac:dyDescent="0.4">
      <c r="A5" s="70"/>
      <c r="B5" s="71"/>
      <c r="C5" s="72"/>
      <c r="D5" s="72"/>
      <c r="E5" s="73"/>
      <c r="F5" s="72"/>
    </row>
    <row r="6" spans="1:6" ht="15.75" customHeight="1" thickTop="1" x14ac:dyDescent="0.35">
      <c r="A6" s="171" t="s">
        <v>131</v>
      </c>
      <c r="B6" s="171"/>
      <c r="C6" s="173"/>
    </row>
    <row r="7" spans="1:6" ht="21.75" customHeight="1" x14ac:dyDescent="0.35">
      <c r="A7" s="107" t="s">
        <v>132</v>
      </c>
      <c r="B7" s="107" t="s">
        <v>133</v>
      </c>
      <c r="C7" s="26" t="s">
        <v>130</v>
      </c>
    </row>
    <row r="8" spans="1:6" ht="18.5" x14ac:dyDescent="0.45">
      <c r="A8" s="110">
        <v>45748</v>
      </c>
      <c r="B8" s="14" t="s">
        <v>186</v>
      </c>
      <c r="C8" s="109">
        <f>[20]HISTOAVRIL25!$BQ$21</f>
        <v>350000</v>
      </c>
    </row>
    <row r="9" spans="1:6" ht="18.5" x14ac:dyDescent="0.45">
      <c r="A9" s="110">
        <v>45748</v>
      </c>
      <c r="B9" s="14" t="s">
        <v>187</v>
      </c>
      <c r="C9" s="109">
        <f>[20]HISTOAVRIL25!$BQ$19</f>
        <v>50000</v>
      </c>
    </row>
    <row r="10" spans="1:6" ht="18.5" x14ac:dyDescent="0.45">
      <c r="A10" s="110"/>
      <c r="B10" s="14" t="s">
        <v>222</v>
      </c>
      <c r="C10" s="109">
        <v>30000</v>
      </c>
    </row>
    <row r="11" spans="1:6" ht="18.5" x14ac:dyDescent="0.45">
      <c r="A11" s="110"/>
      <c r="B11" s="14"/>
      <c r="C11" s="109"/>
    </row>
    <row r="12" spans="1:6" ht="18.5" x14ac:dyDescent="0.45">
      <c r="A12" s="110"/>
      <c r="B12" s="14"/>
      <c r="C12" s="109"/>
    </row>
    <row r="13" spans="1:6" ht="18.5" x14ac:dyDescent="0.45">
      <c r="A13" s="110"/>
      <c r="B13" s="14"/>
      <c r="C13" s="109"/>
    </row>
    <row r="14" spans="1:6" ht="18.5" x14ac:dyDescent="0.45">
      <c r="A14" s="110"/>
      <c r="B14" s="14"/>
      <c r="C14" s="109"/>
    </row>
    <row r="15" spans="1:6" ht="18.5" x14ac:dyDescent="0.45">
      <c r="A15" s="110"/>
      <c r="B15" s="14"/>
      <c r="C15" s="109"/>
    </row>
    <row r="16" spans="1:6" ht="18.5" x14ac:dyDescent="0.45">
      <c r="A16" s="14"/>
      <c r="B16" s="14"/>
      <c r="C16" s="109"/>
    </row>
    <row r="17" spans="1:3" ht="18.5" x14ac:dyDescent="0.45">
      <c r="A17" s="14"/>
      <c r="B17" s="14"/>
      <c r="C17" s="109"/>
    </row>
    <row r="18" spans="1:3" ht="18.5" x14ac:dyDescent="0.45">
      <c r="A18" s="14"/>
      <c r="B18" s="14"/>
      <c r="C18" s="109"/>
    </row>
    <row r="19" spans="1:3" ht="18.5" x14ac:dyDescent="0.45">
      <c r="A19" s="14"/>
      <c r="B19" s="14"/>
      <c r="C19" s="109"/>
    </row>
    <row r="20" spans="1:3" ht="18.5" x14ac:dyDescent="0.45">
      <c r="A20" s="14"/>
      <c r="B20" s="14"/>
      <c r="C20" s="109"/>
    </row>
    <row r="21" spans="1:3" ht="18.5" x14ac:dyDescent="0.45">
      <c r="A21" s="14"/>
      <c r="B21" s="14"/>
      <c r="C21" s="109"/>
    </row>
    <row r="22" spans="1:3" ht="18.5" x14ac:dyDescent="0.45">
      <c r="A22" s="14"/>
      <c r="B22" s="14"/>
      <c r="C22" s="109"/>
    </row>
    <row r="23" spans="1:3" ht="18.5" x14ac:dyDescent="0.45">
      <c r="A23" s="14"/>
      <c r="B23" s="14"/>
      <c r="C23" s="109"/>
    </row>
    <row r="24" spans="1:3" ht="18.5" x14ac:dyDescent="0.45">
      <c r="A24" s="14"/>
      <c r="B24" s="14"/>
      <c r="C24" s="109"/>
    </row>
    <row r="25" spans="1:3" ht="18.5" x14ac:dyDescent="0.45">
      <c r="A25" s="14"/>
      <c r="B25" s="14"/>
      <c r="C25" s="109"/>
    </row>
    <row r="26" spans="1:3" ht="18.5" x14ac:dyDescent="0.45">
      <c r="A26" s="14"/>
      <c r="B26" s="14"/>
      <c r="C26" s="109"/>
    </row>
    <row r="27" spans="1:3" ht="18.5" x14ac:dyDescent="0.45">
      <c r="A27" s="14"/>
      <c r="B27" s="14"/>
      <c r="C27" s="109"/>
    </row>
    <row r="28" spans="1:3" ht="18.5" x14ac:dyDescent="0.45">
      <c r="A28" s="14"/>
      <c r="B28" s="14"/>
      <c r="C28" s="109"/>
    </row>
    <row r="29" spans="1:3" ht="18.5" x14ac:dyDescent="0.45">
      <c r="A29" s="14"/>
      <c r="B29" s="14"/>
      <c r="C29" s="109"/>
    </row>
    <row r="30" spans="1:3" ht="18.5" x14ac:dyDescent="0.45">
      <c r="A30" s="14"/>
      <c r="B30" s="14"/>
      <c r="C30" s="109"/>
    </row>
    <row r="31" spans="1:3" ht="18" thickBot="1" x14ac:dyDescent="0.4">
      <c r="A31" s="58"/>
      <c r="B31" s="58">
        <f>SUM(B6:B30)</f>
        <v>0</v>
      </c>
      <c r="C31" s="59">
        <f>SUM(C6:C30)</f>
        <v>430000</v>
      </c>
    </row>
    <row r="32" spans="1:3" ht="15" thickTop="1" x14ac:dyDescent="0.35"/>
  </sheetData>
  <mergeCells count="2">
    <mergeCell ref="A4:F4"/>
    <mergeCell ref="A6:C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8B85-1489-452C-99EE-66C2B353AF07}">
  <dimension ref="A3:G23"/>
  <sheetViews>
    <sheetView topLeftCell="A4" workbookViewId="0">
      <selection activeCell="H13" sqref="H13"/>
    </sheetView>
  </sheetViews>
  <sheetFormatPr baseColWidth="10" defaultRowHeight="14.5" x14ac:dyDescent="0.35"/>
  <cols>
    <col min="2" max="2" width="32.08984375" bestFit="1" customWidth="1"/>
    <col min="3" max="3" width="14.36328125" customWidth="1"/>
    <col min="4" max="4" width="17.54296875" customWidth="1"/>
  </cols>
  <sheetData>
    <row r="3" spans="1:7" ht="28.5" x14ac:dyDescent="0.65">
      <c r="B3" s="150" t="s">
        <v>213</v>
      </c>
    </row>
    <row r="4" spans="1:7" x14ac:dyDescent="0.35">
      <c r="G4" s="27"/>
    </row>
    <row r="5" spans="1:7" ht="15" thickBot="1" x14ac:dyDescent="0.4">
      <c r="G5" s="27"/>
    </row>
    <row r="6" spans="1:7" ht="15" thickTop="1" x14ac:dyDescent="0.35">
      <c r="A6" s="151" t="s">
        <v>204</v>
      </c>
      <c r="B6" s="152" t="s">
        <v>205</v>
      </c>
      <c r="C6" s="152" t="s">
        <v>206</v>
      </c>
      <c r="D6" s="153" t="s">
        <v>207</v>
      </c>
      <c r="G6" s="27"/>
    </row>
    <row r="7" spans="1:7" x14ac:dyDescent="0.35">
      <c r="A7" s="19"/>
      <c r="B7" s="14"/>
      <c r="C7" s="14"/>
      <c r="D7" s="15"/>
      <c r="G7" s="27"/>
    </row>
    <row r="8" spans="1:7" x14ac:dyDescent="0.35">
      <c r="A8" s="19">
        <v>1</v>
      </c>
      <c r="B8" s="14" t="s">
        <v>208</v>
      </c>
      <c r="C8" s="28">
        <v>800000</v>
      </c>
      <c r="D8" s="29"/>
      <c r="G8" s="27"/>
    </row>
    <row r="9" spans="1:7" x14ac:dyDescent="0.35">
      <c r="A9" s="19">
        <v>2</v>
      </c>
      <c r="B9" s="14" t="s">
        <v>209</v>
      </c>
      <c r="C9" s="28">
        <v>157000</v>
      </c>
      <c r="D9" s="29"/>
      <c r="G9" s="27"/>
    </row>
    <row r="10" spans="1:7" x14ac:dyDescent="0.35">
      <c r="A10" s="19">
        <v>3</v>
      </c>
      <c r="B10" s="14" t="s">
        <v>212</v>
      </c>
      <c r="C10" s="28">
        <v>70800</v>
      </c>
      <c r="D10" s="29"/>
      <c r="G10" s="27"/>
    </row>
    <row r="11" spans="1:7" x14ac:dyDescent="0.35">
      <c r="A11" s="19">
        <v>4</v>
      </c>
      <c r="B11" s="14" t="s">
        <v>210</v>
      </c>
      <c r="C11" s="28">
        <v>48000</v>
      </c>
      <c r="D11" s="29"/>
      <c r="G11" s="27"/>
    </row>
    <row r="12" spans="1:7" x14ac:dyDescent="0.35">
      <c r="A12" s="19">
        <v>5</v>
      </c>
      <c r="B12" s="14" t="s">
        <v>211</v>
      </c>
      <c r="C12" s="28">
        <v>10000</v>
      </c>
      <c r="D12" s="29"/>
      <c r="G12" s="27"/>
    </row>
    <row r="13" spans="1:7" x14ac:dyDescent="0.35">
      <c r="A13" s="19">
        <v>6</v>
      </c>
      <c r="B13" s="14" t="s">
        <v>152</v>
      </c>
      <c r="C13" s="28">
        <v>46700</v>
      </c>
      <c r="D13" s="29"/>
      <c r="G13" s="27"/>
    </row>
    <row r="14" spans="1:7" x14ac:dyDescent="0.35">
      <c r="A14" s="19">
        <v>7</v>
      </c>
      <c r="B14" s="14" t="s">
        <v>214</v>
      </c>
      <c r="C14" s="28"/>
      <c r="D14" s="29">
        <v>500000</v>
      </c>
      <c r="G14" s="27"/>
    </row>
    <row r="15" spans="1:7" x14ac:dyDescent="0.35">
      <c r="A15" s="19">
        <v>8</v>
      </c>
      <c r="B15" s="14" t="s">
        <v>215</v>
      </c>
      <c r="C15" s="28"/>
      <c r="D15" s="29">
        <v>400000</v>
      </c>
    </row>
    <row r="16" spans="1:7" x14ac:dyDescent="0.35">
      <c r="A16" s="19">
        <v>9</v>
      </c>
      <c r="B16" s="14" t="s">
        <v>216</v>
      </c>
      <c r="C16" s="28"/>
      <c r="D16" s="29">
        <v>100000</v>
      </c>
      <c r="G16" s="27"/>
    </row>
    <row r="17" spans="1:7" x14ac:dyDescent="0.35">
      <c r="A17" s="19">
        <v>10</v>
      </c>
      <c r="B17" s="14" t="s">
        <v>217</v>
      </c>
      <c r="C17" s="28"/>
      <c r="D17" s="29">
        <v>30500</v>
      </c>
    </row>
    <row r="18" spans="1:7" x14ac:dyDescent="0.35">
      <c r="A18" s="19"/>
      <c r="B18" s="14"/>
      <c r="C18" s="14"/>
      <c r="D18" s="15"/>
      <c r="G18" s="27"/>
    </row>
    <row r="19" spans="1:7" ht="18.5" x14ac:dyDescent="0.45">
      <c r="A19" s="19"/>
      <c r="B19" s="145" t="s">
        <v>218</v>
      </c>
      <c r="C19" s="146">
        <f>SUM(C8:C18)</f>
        <v>1132500</v>
      </c>
      <c r="D19" s="147">
        <f>SUM(D8:D18)</f>
        <v>1030500</v>
      </c>
    </row>
    <row r="20" spans="1:7" ht="18.5" x14ac:dyDescent="0.45">
      <c r="A20" s="19"/>
      <c r="B20" s="145"/>
      <c r="C20" s="145"/>
      <c r="D20" s="148"/>
    </row>
    <row r="21" spans="1:7" ht="18.5" x14ac:dyDescent="0.45">
      <c r="A21" s="19"/>
      <c r="B21" s="145" t="s">
        <v>219</v>
      </c>
      <c r="C21" s="145"/>
      <c r="D21" s="149">
        <f>C19-D19</f>
        <v>102000</v>
      </c>
    </row>
    <row r="22" spans="1:7" ht="15" thickBot="1" x14ac:dyDescent="0.4">
      <c r="A22" s="67"/>
      <c r="B22" s="136"/>
      <c r="C22" s="136"/>
      <c r="D22" s="117"/>
    </row>
    <row r="23" spans="1:7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BILAN 2016</vt:lpstr>
      <vt:lpstr>BILAN 2017</vt:lpstr>
      <vt:lpstr>BILAN 2022</vt:lpstr>
      <vt:lpstr>DETAILFICHECASSATION (2)</vt:lpstr>
      <vt:lpstr>BILAN 2024</vt:lpstr>
      <vt:lpstr>BILAN 2025</vt:lpstr>
      <vt:lpstr>ENTREE</vt:lpstr>
      <vt:lpstr>SORTIE</vt:lpstr>
      <vt:lpstr>SYNTHESECOMPTE</vt:lpstr>
      <vt:lpstr>DETAILFICHECASSATION</vt:lpstr>
      <vt:lpstr>DISPOFONDS</vt:lpstr>
      <vt:lpstr>DETAILFPNDSROULT</vt:lpstr>
      <vt:lpstr>DETAILFRAISEXCEPTIONNEL</vt:lpstr>
      <vt:lpstr>DETAILCOLLATION</vt:lpstr>
      <vt:lpstr>DETAILFONDSMUTUEL</vt:lpstr>
      <vt:lpstr>DETAILPENALITES</vt:lpstr>
      <vt:lpstr>DETAILFOYER</vt:lpstr>
      <vt:lpstr>DETAILAIDES</vt:lpstr>
      <vt:lpstr>DETAIL PRETENCIRCULATION</vt:lpstr>
      <vt:lpstr>DETAILLISTEROUGE</vt:lpstr>
      <vt:lpstr>DETAILINSCRIPTION</vt:lpstr>
      <vt:lpstr>DETAIL INTERETTONTINE</vt:lpstr>
      <vt:lpstr>DETAILAGIOS</vt:lpstr>
      <vt:lpstr>DETAILAUTREDEPENSE</vt:lpstr>
      <vt:lpstr>SITUATIONSIMEPIERRE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cp:lastPrinted>2018-08-03T12:05:54Z</cp:lastPrinted>
  <dcterms:created xsi:type="dcterms:W3CDTF">2018-07-05T07:24:12Z</dcterms:created>
  <dcterms:modified xsi:type="dcterms:W3CDTF">2026-02-09T20:42:55Z</dcterms:modified>
</cp:coreProperties>
</file>